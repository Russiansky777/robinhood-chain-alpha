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c32050b2e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9bfa03deb615483d"/>
    <x:sheet xmlns:r="http://schemas.openxmlformats.org/officeDocument/2006/relationships" name="Покупки" sheetId="2" r:id="R78331c25fb444f88"/>
    <x:sheet xmlns:r="http://schemas.openxmlformats.org/officeDocument/2006/relationships" name="Цены" sheetId="3" r:id="R86fba58a1fd5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#,##0.00"/>
    <x:numFmt numFmtId="202" formatCode="#,##0.000000"/>
    <x:numFmt numFmtId="203" formatCode="0.000000000000"/>
    <x:numFmt numFmtId="204" formatCode="0.00%"/>
    <x:numFmt numFmtId="205" formatCode="0.00%;[Red](0.00%);0.00%"/>
    <x:numFmt numFmtId="206" formatCode="0.000000000"/>
  </x:numFmts>
  <x:fonts count="5">
    <x:font>
      <x:sz val="11"/>
      <x:name val="Carlito"/>
    </x:font>
    <x:font>
      <x:sz val="10"/>
      <x:color rgb="FF182B3A"/>
      <x:name val="Arial"/>
    </x:font>
    <x:font>
      <x:b/>
      <x:sz val="15"/>
      <x:color rgb="FF182B3A"/>
      <x:name val="Arial"/>
    </x:font>
    <x:font>
      <x:b/>
      <x:sz val="10"/>
      <x:color rgb="FFFFFFFF"/>
      <x:name val="Arial"/>
    </x:font>
    <x:font>
      <x:b/>
      <x:sz val="10"/>
      <x:color rgb="FF18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63E50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AE3535"/>
      </x:font>
    </x:dxf>
    <x:dxf>
      <x:font>
        <x:color rgb="FFAE3535"/>
      </x:font>
    </x:dxf>
    <x:dxf>
      <x:font>
        <x:color rgb="FFAE3535"/>
      </x:font>
    </x:dxf>
    <x:dxf>
      <x:font>
        <x:color rgb="FF725A1E"/>
      </x:font>
      <x:fill>
        <x:patternFill patternType="solid">
          <x:bgColor rgb="FFFFF1CC"/>
        </x:patternFill>
      </x:fill>
    </x:dxf>
    <x:dxf>
      <x:font>
        <x:color rgb="FFAE3535"/>
      </x:font>
    </x:dxf>
    <x:dxf>
      <x:font>
        <x:color rgb="FFAE353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dbca1047c454c" /><Relationship Type="http://schemas.openxmlformats.org/officeDocument/2006/relationships/theme" Target="/xl/theme/theme1.xml" Id="Rd1a5c05db7dc437d" /><Relationship Type="http://schemas.openxmlformats.org/officeDocument/2006/relationships/sharedStrings" Target="/xl/sharedStrings.xml" Id="R84d8c690160647ad" /><Relationship Type="http://schemas.openxmlformats.org/officeDocument/2006/relationships/worksheet" Target="/xl/worksheets/sheet1.xml" Id="R9bfa03deb615483d" /><Relationship Type="http://schemas.openxmlformats.org/officeDocument/2006/relationships/worksheet" Target="/xl/worksheets/sheet2.xml" Id="R78331c25fb444f88" /><Relationship Type="http://schemas.openxmlformats.org/officeDocument/2006/relationships/worksheet" Target="/xl/worksheets/sheet3.xml" Id="R86fba58a1fd54572" /></Relationships>
</file>

<file path=xl/tables/table1.xml><?xml version="1.0" encoding="utf-8"?>
<x:table xmlns:x="http://schemas.openxmlformats.org/spreadsheetml/2006/main" id="1" name="Purchases" displayName="Purchases" ref="A7:AB107" headerRowCount="1" totalsRowCount="0" totalsRowShown="0">
  <x:tableColumns count="28">
    <x:tableColumn id="1" name="№"/>
    <x:tableColumn id="2" name="Время UTC"/>
    <x:tableColumn id="3" name="Тип входа"/>
    <x:tableColumn id="4" name="Токен (mint)"/>
    <x:tableColumn id="5" name="Расход USDC"/>
    <x:tableColumn id="6" name="Получено токенов"/>
    <x:tableColumn id="7" name="Остаток до"/>
    <x:tableColumn id="8" name="Цена входа USDC"/>
    <x:tableColumn id="9" name="Комиссия выбранного пула"/>
    <x:tableColumn id="10" name="5 с"/>
    <x:tableColumn id="11" name="15 с"/>
    <x:tableColumn id="12" name="30 с"/>
    <x:tableColumn id="13" name="1 мин"/>
    <x:tableColumn id="14" name="3 мин"/>
    <x:tableColumn id="15" name="5 мин"/>
    <x:tableColumn id="16" name="15 мин"/>
    <x:tableColumn id="17" name="1 ч"/>
    <x:tableColumn id="18" name="6 ч"/>
    <x:tableColumn id="19" name="24 ч"/>
    <x:tableColumn id="20" name="Точек из 10"/>
    <x:tableColumn id="21" name="Причины пропусков"/>
    <x:tableColumn id="22" name="Слот"/>
    <x:tableColumn id="23" name="Индекс в блоке"/>
    <x:tableColumn id="24" name="Комиссия tx, SOL"/>
    <x:tableColumn id="25" name="Сигнатура"/>
    <x:tableColumn id="26" name="Источник"/>
    <x:tableColumn id="27" name="Площадка / комиссия"/>
    <x:tableColumn id="28" name="Пул котиров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Points" displayName="PricePoints" ref="A7:S1007" headerRowCount="1" totalsRowCount="0" totalsRowShown="0">
  <x:tableColumns count="19">
    <x:tableColumn id="1" name="№ покупки"/>
    <x:tableColumn id="2" name="Секунд после"/>
    <x:tableColumn id="3" name="Группа"/>
    <x:tableColumn id="4" name="Целевое время UTC"/>
    <x:tableColumn id="5" name="Цена USDC"/>
    <x:tableColumn id="6" name="Цена входа USDC"/>
    <x:tableColumn id="7" name="К цене покупки"/>
    <x:tableColumn id="8" name="К цене +5 с"/>
    <x:tableColumn id="9" name="Статус"/>
    <x:tableColumn id="10" name="Слот цены"/>
    <x:tableColumn id="11" name="Время цены UTC"/>
    <x:tableColumn id="12" name="Возраст цены, с"/>
    <x:tableColumn id="13" name="Возраст курса, с"/>
    <x:tableColumn id="14" name="Пул котировки"/>
    <x:tableColumn id="15" name="Источник цены"/>
    <x:tableColumn id="16" name="Причина / источник"/>
    <x:tableColumn id="17" name="Обмены курса"/>
    <x:tableColumn id="18" name="Для медианы: нулевые"/>
    <x:tableColumn id="19" name="Для медианы: докуп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b8d7b6be164f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cf6867eaa54bc7" /></Relationships>
</file>

<file path=xl/worksheets/sheet1.xml><?xml version="1.0" encoding="utf-8"?>
<x:worksheet xmlns:x="http://schemas.openxmlformats.org/spreadsheetml/2006/main">
  <x:sheetPr>
    <x:tabColor rgb="FF263E50"/>
  </x:sheetPr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100 покупок больше 500 USDC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23 входа с нулевого остатка, 77 докупок. 39 токенов. Срез: 2026-09-17 20:52 UTC.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4" t="str">
        <x:v>Ценовой расчёт НЕ ПОЛНЫЙ: 140 из 1 000 точек; 17 полных последовательностей до 5 минут.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1" customHeight="1">
      <x:c r="A5" s="2" t="str">
        <x:v>Средние ниже относятся только к доступным ценам. Это не результат всех 100 покупок.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6" customHeight="1">
      <x:c r="A7" s="8" t="str">
        <x:v>Группа</x:v>
      </x:c>
      <x:c r="B7" s="8" t="str">
        <x:v>Горизонт</x:v>
      </x:c>
      <x:c r="C7" s="8" t="str">
        <x:v>Выбрано</x:v>
      </x:c>
      <x:c r="D7" s="8" t="str">
        <x:v>Есть цена</x:v>
      </x:c>
      <x:c r="E7" s="8" t="str">
        <x:v>Нет цены</x:v>
      </x:c>
      <x:c r="F7" s="8" t="str">
        <x:v>Ещё рано</x:v>
      </x:c>
      <x:c r="G7" s="8" t="str">
        <x:v>Среднее</x:v>
      </x:c>
      <x:c r="H7" s="8" t="str">
        <x:v>Медиана</x:v>
      </x:c>
      <x:c r="I7" s="8" t="str">
        <x:v>Доля &gt; 0</x:v>
      </x:c>
      <x:c r="J7" s="8" t="str">
        <x:v>Доля ≥ 5%</x:v>
      </x:c>
      <x:c r="K7" s="8" t="str">
        <x:v>Минимум</x:v>
      </x:c>
      <x:c r="L7" s="8" t="str">
        <x:v>Максимум</x:v>
      </x:c>
    </x:row>
    <x:row r="8" ht="21" customHeight="1">
      <x:c r="A8" s="2" t="str">
        <x:v>Все</x:v>
      </x:c>
      <x:c r="B8" s="2" t="str">
        <x:v>5 с</x:v>
      </x:c>
      <x:c r="C8" s="2" t="n">
        <x:f>COUNT('Покупки'!$A$8:$A$107)</x:f>
        <x:v>100</x:v>
      </x:c>
      <x:c r="D8" s="2" t="n">
        <x:f>COUNTIFS('Цены'!$B$8:$B$1007,5,'Цены'!$I$8:$I$1007,"Есть цена")</x:f>
        <x:v>17</x:v>
      </x:c>
      <x:c r="E8" s="2" t="n">
        <x:f>C8-D8-F8</x:f>
        <x:v>83</x:v>
      </x:c>
      <x:c r="F8" s="2" t="n">
        <x:f>COUNTIFS('Цены'!$B$8:$B$1007,5,'Цены'!$I$8:$I$1007,"Ещё рано")</x:f>
        <x:v>0</x:v>
      </x:c>
      <x:c r="G8" s="14" t="n">
        <x:f>IF(D8=0,"",AVERAGE('Цены'!G8,'Цены'!G18,'Цены'!G28,'Цены'!G38,'Цены'!G48,'Цены'!G58,'Цены'!G68,'Цены'!G78,'Цены'!G88,'Цены'!G98,'Цены'!G108,'Цены'!G118,'Цены'!G128,'Цены'!G138,'Цены'!G148,'Цены'!G158,'Цены'!G168,'Цены'!G178,'Цены'!G188,'Цены'!G198,'Цены'!G208,'Цены'!G218,'Цены'!G228,'Цены'!G238,'Цены'!G248,'Цены'!G258,'Цены'!G268,'Цены'!G278,'Цены'!G288,'Цены'!G298,'Цены'!G308,'Цены'!G318,'Цены'!G328,'Цены'!G338,'Цены'!G348,'Цены'!G358,'Цены'!G368,'Цены'!G378,'Цены'!G388,'Цены'!G398,'Цены'!G408,'Цены'!G418,'Цены'!G428,'Цены'!G438,'Цены'!G448,'Цены'!G458,'Цены'!G468,'Цены'!G478,'Цены'!G488,'Цены'!G498,'Цены'!G508,'Цены'!G518,'Цены'!G528,'Цены'!G538,'Цены'!G548,'Цены'!G558,'Цены'!G568,'Цены'!G578,'Цены'!G588,'Цены'!G598,'Цены'!G608,'Цены'!G618,'Цены'!G628,'Цены'!G638,'Цены'!G648,'Цены'!G658,'Цены'!G668,'Цены'!G678,'Цены'!G688,'Цены'!G698,'Цены'!G708,'Цены'!G718,'Цены'!G728,'Цены'!G738,'Цены'!G748,'Цены'!G758,'Цены'!G768,'Цены'!G778,'Цены'!G788,'Цены'!G798,'Цены'!G808,'Цены'!G818,'Цены'!G828,'Цены'!G838,'Цены'!G848,'Цены'!G858,'Цены'!G868,'Цены'!G878,'Цены'!G888,'Цены'!G898,'Цены'!G908,'Цены'!G918,'Цены'!G928,'Цены'!G938,'Цены'!G948,'Цены'!G958,'Цены'!G968,'Цены'!G978,'Цены'!G988,'Цены'!G998))</x:f>
        <x:v>0.30012927348811885</x:v>
      </x:c>
      <x:c r="H8" s="14" t="n">
        <x:f>IF(D8=0,"",MEDIAN('Цены'!G8,'Цены'!G18,'Цены'!G28,'Цены'!G38,'Цены'!G48,'Цены'!G58,'Цены'!G68,'Цены'!G78,'Цены'!G88,'Цены'!G98,'Цены'!G108,'Цены'!G118,'Цены'!G128,'Цены'!G138,'Цены'!G148,'Цены'!G158,'Цены'!G168,'Цены'!G178,'Цены'!G188,'Цены'!G198,'Цены'!G208,'Цены'!G218,'Цены'!G228,'Цены'!G238,'Цены'!G248,'Цены'!G258,'Цены'!G268,'Цены'!G278,'Цены'!G288,'Цены'!G298,'Цены'!G308,'Цены'!G318,'Цены'!G328,'Цены'!G338,'Цены'!G348,'Цены'!G358,'Цены'!G368,'Цены'!G378,'Цены'!G388,'Цены'!G398,'Цены'!G408,'Цены'!G418,'Цены'!G428,'Цены'!G438,'Цены'!G448,'Цены'!G458,'Цены'!G468,'Цены'!G478,'Цены'!G488,'Цены'!G498,'Цены'!G508,'Цены'!G518,'Цены'!G528,'Цены'!G538,'Цены'!G548,'Цены'!G558,'Цены'!G568,'Цены'!G578,'Цены'!G588,'Цены'!G598,'Цены'!G608,'Цены'!G618,'Цены'!G628,'Цены'!G638,'Цены'!G648,'Цены'!G658,'Цены'!G668,'Цены'!G678,'Цены'!G688,'Цены'!G698,'Цены'!G708,'Цены'!G718,'Цены'!G728,'Цены'!G738,'Цены'!G748,'Цены'!G758,'Цены'!G768,'Цены'!G778,'Цены'!G788,'Цены'!G798,'Цены'!G808,'Цены'!G818,'Цены'!G828,'Цены'!G838,'Цены'!G848,'Цены'!G858,'Цены'!G868,'Цены'!G878,'Цены'!G888,'Цены'!G898,'Цены'!G908,'Цены'!G918,'Цены'!G928,'Цены'!G938,'Цены'!G948,'Цены'!G958,'Цены'!G968,'Цены'!G978,'Цены'!G988,'Цены'!G998))</x:f>
        <x:v>0.04034666695714284</x:v>
      </x:c>
      <x:c r="I8" s="14" t="n">
        <x:f>IF(D8=0,"",COUNTIFS('Цены'!$B$8:$B$1007,5,'Цены'!$I$8:$I$1007,"Есть цена",'Цены'!$G$8:$G$1007,"&gt;0")/D8)</x:f>
        <x:v>0.5882352941176471</x:v>
      </x:c>
      <x:c r="J8" s="14" t="n">
        <x:f>IF(D8=0,"",COUNTIFS('Цены'!$B$8:$B$1007,5,'Цены'!$I$8:$I$1007,"Есть цена",'Цены'!$G$8:$G$1007,"&gt;=0.05")/D8)</x:f>
        <x:v>0.4117647058823529</x:v>
      </x:c>
      <x:c r="K8" s="14" t="n">
        <x:f>IF(D8=0,"",MIN('Цены'!G8,'Цены'!G18,'Цены'!G28,'Цены'!G38,'Цены'!G48,'Цены'!G58,'Цены'!G68,'Цены'!G78,'Цены'!G88,'Цены'!G98,'Цены'!G108,'Цены'!G118,'Цены'!G128,'Цены'!G138,'Цены'!G148,'Цены'!G158,'Цены'!G168,'Цены'!G178,'Цены'!G188,'Цены'!G198,'Цены'!G208,'Цены'!G218,'Цены'!G228,'Цены'!G238,'Цены'!G248,'Цены'!G258,'Цены'!G268,'Цены'!G278,'Цены'!G288,'Цены'!G298,'Цены'!G308,'Цены'!G318,'Цены'!G328,'Цены'!G338,'Цены'!G348,'Цены'!G358,'Цены'!G368,'Цены'!G378,'Цены'!G388,'Цены'!G398,'Цены'!G408,'Цены'!G418,'Цены'!G428,'Цены'!G438,'Цены'!G448,'Цены'!G458,'Цены'!G468,'Цены'!G478,'Цены'!G488,'Цены'!G498,'Цены'!G508,'Цены'!G518,'Цены'!G528,'Цены'!G538,'Цены'!G548,'Цены'!G558,'Цены'!G568,'Цены'!G578,'Цены'!G588,'Цены'!G598,'Цены'!G608,'Цены'!G618,'Цены'!G628,'Цены'!G638,'Цены'!G648,'Цены'!G658,'Цены'!G668,'Цены'!G678,'Цены'!G688,'Цены'!G698,'Цены'!G708,'Цены'!G718,'Цены'!G728,'Цены'!G738,'Цены'!G748,'Цены'!G758,'Цены'!G768,'Цены'!G778,'Цены'!G788,'Цены'!G798,'Цены'!G808,'Цены'!G818,'Цены'!G828,'Цены'!G838,'Цены'!G848,'Цены'!G858,'Цены'!G868,'Цены'!G878,'Цены'!G888,'Цены'!G898,'Цены'!G908,'Цены'!G918,'Цены'!G928,'Цены'!G938,'Цены'!G948,'Цены'!G958,'Цены'!G968,'Цены'!G978,'Цены'!G988,'Цены'!G998))</x:f>
        <x:v>-0.3293493806607013</x:v>
      </x:c>
      <x:c r="L8" s="14" t="n">
        <x:f>IF(D8=0,"",MAX('Цены'!G8,'Цены'!G18,'Цены'!G28,'Цены'!G38,'Цены'!G48,'Цены'!G58,'Цены'!G68,'Цены'!G78,'Цены'!G88,'Цены'!G98,'Цены'!G108,'Цены'!G118,'Цены'!G128,'Цены'!G138,'Цены'!G148,'Цены'!G158,'Цены'!G168,'Цены'!G178,'Цены'!G188,'Цены'!G198,'Цены'!G208,'Цены'!G218,'Цены'!G228,'Цены'!G238,'Цены'!G248,'Цены'!G258,'Цены'!G268,'Цены'!G278,'Цены'!G288,'Цены'!G298,'Цены'!G308,'Цены'!G318,'Цены'!G328,'Цены'!G338,'Цены'!G348,'Цены'!G358,'Цены'!G368,'Цены'!G378,'Цены'!G388,'Цены'!G398,'Цены'!G408,'Цены'!G418,'Цены'!G428,'Цены'!G438,'Цены'!G448,'Цены'!G458,'Цены'!G468,'Цены'!G478,'Цены'!G488,'Цены'!G498,'Цены'!G508,'Цены'!G518,'Цены'!G528,'Цены'!G538,'Цены'!G548,'Цены'!G558,'Цены'!G568,'Цены'!G578,'Цены'!G588,'Цены'!G598,'Цены'!G608,'Цены'!G618,'Цены'!G628,'Цены'!G638,'Цены'!G648,'Цены'!G658,'Цены'!G668,'Цены'!G678,'Цены'!G688,'Цены'!G698,'Цены'!G708,'Цены'!G718,'Цены'!G728,'Цены'!G738,'Цены'!G748,'Цены'!G758,'Цены'!G768,'Цены'!G778,'Цены'!G788,'Цены'!G798,'Цены'!G808,'Цены'!G818,'Цены'!G828,'Цены'!G838,'Цены'!G848,'Цены'!G858,'Цены'!G868,'Цены'!G878,'Цены'!G888,'Цены'!G898,'Цены'!G908,'Цены'!G918,'Цены'!G928,'Цены'!G938,'Цены'!G948,'Цены'!G958,'Цены'!G968,'Цены'!G978,'Цены'!G988,'Цены'!G998))</x:f>
        <x:v>1.2699109550396162</x:v>
      </x:c>
    </x:row>
    <x:row r="9" ht="21" customHeight="1">
      <x:c r="A9" s="2" t="str">
        <x:v>Все</x:v>
      </x:c>
      <x:c r="B9" s="2" t="str">
        <x:v>15 с</x:v>
      </x:c>
      <x:c r="C9" s="2" t="n">
        <x:f>COUNT('Покупки'!$A$8:$A$107)</x:f>
        <x:v>100</x:v>
      </x:c>
      <x:c r="D9" s="2" t="n">
        <x:f>COUNTIFS('Цены'!$B$8:$B$1007,15,'Цены'!$I$8:$I$1007,"Есть цена")</x:f>
        <x:v>18</x:v>
      </x:c>
      <x:c r="E9" s="2" t="n">
        <x:f>C9-D9-F9</x:f>
        <x:v>82</x:v>
      </x:c>
      <x:c r="F9" s="2" t="n">
        <x:f>COUNTIFS('Цены'!$B$8:$B$1007,15,'Цены'!$I$8:$I$1007,"Ещё рано")</x:f>
        <x:v>0</x:v>
      </x:c>
      <x:c r="G9" s="14" t="n">
        <x:f>IF(D9=0,"",AVERAGE('Цены'!G9,'Цены'!G19,'Цены'!G29,'Цены'!G39,'Цены'!G49,'Цены'!G59,'Цены'!G69,'Цены'!G79,'Цены'!G89,'Цены'!G99,'Цены'!G109,'Цены'!G119,'Цены'!G129,'Цены'!G139,'Цены'!G149,'Цены'!G159,'Цены'!G169,'Цены'!G179,'Цены'!G189,'Цены'!G199,'Цены'!G209,'Цены'!G219,'Цены'!G229,'Цены'!G239,'Цены'!G249,'Цены'!G259,'Цены'!G269,'Цены'!G279,'Цены'!G289,'Цены'!G299,'Цены'!G309,'Цены'!G319,'Цены'!G329,'Цены'!G339,'Цены'!G349,'Цены'!G359,'Цены'!G369,'Цены'!G379,'Цены'!G389,'Цены'!G399,'Цены'!G409,'Цены'!G419,'Цены'!G429,'Цены'!G439,'Цены'!G449,'Цены'!G459,'Цены'!G469,'Цены'!G479,'Цены'!G489,'Цены'!G499,'Цены'!G509,'Цены'!G519,'Цены'!G529,'Цены'!G539,'Цены'!G549,'Цены'!G559,'Цены'!G569,'Цены'!G579,'Цены'!G589,'Цены'!G599,'Цены'!G609,'Цены'!G619,'Цены'!G629,'Цены'!G639,'Цены'!G649,'Цены'!G659,'Цены'!G669,'Цены'!G679,'Цены'!G689,'Цены'!G699,'Цены'!G709,'Цены'!G719,'Цены'!G729,'Цены'!G739,'Цены'!G749,'Цены'!G759,'Цены'!G769,'Цены'!G779,'Цены'!G789,'Цены'!G799,'Цены'!G809,'Цены'!G819,'Цены'!G829,'Цены'!G839,'Цены'!G849,'Цены'!G859,'Цены'!G869,'Цены'!G879,'Цены'!G889,'Цены'!G899,'Цены'!G909,'Цены'!G919,'Цены'!G929,'Цены'!G939,'Цены'!G949,'Цены'!G959,'Цены'!G969,'Цены'!G979,'Цены'!G989,'Цены'!G999))</x:f>
        <x:v>0.37064463680012394</x:v>
      </x:c>
      <x:c r="H9" s="14" t="n">
        <x:f>IF(D9=0,"",MEDIAN('Цены'!G9,'Цены'!G19,'Цены'!G29,'Цены'!G39,'Цены'!G49,'Цены'!G59,'Цены'!G69,'Цены'!G79,'Цены'!G89,'Цены'!G99,'Цены'!G109,'Цены'!G119,'Цены'!G129,'Цены'!G139,'Цены'!G149,'Цены'!G159,'Цены'!G169,'Цены'!G179,'Цены'!G189,'Цены'!G199,'Цены'!G209,'Цены'!G219,'Цены'!G229,'Цены'!G239,'Цены'!G249,'Цены'!G259,'Цены'!G269,'Цены'!G279,'Цены'!G289,'Цены'!G299,'Цены'!G309,'Цены'!G319,'Цены'!G329,'Цены'!G339,'Цены'!G349,'Цены'!G359,'Цены'!G369,'Цены'!G379,'Цены'!G389,'Цены'!G399,'Цены'!G409,'Цены'!G419,'Цены'!G429,'Цены'!G439,'Цены'!G449,'Цены'!G459,'Цены'!G469,'Цены'!G479,'Цены'!G489,'Цены'!G499,'Цены'!G509,'Цены'!G519,'Цены'!G529,'Цены'!G539,'Цены'!G549,'Цены'!G559,'Цены'!G569,'Цены'!G579,'Цены'!G589,'Цены'!G599,'Цены'!G609,'Цены'!G619,'Цены'!G629,'Цены'!G639,'Цены'!G649,'Цены'!G659,'Цены'!G669,'Цены'!G679,'Цены'!G689,'Цены'!G699,'Цены'!G709,'Цены'!G719,'Цены'!G729,'Цены'!G739,'Цены'!G749,'Цены'!G759,'Цены'!G769,'Цены'!G779,'Цены'!G789,'Цены'!G799,'Цены'!G809,'Цены'!G819,'Цены'!G829,'Цены'!G839,'Цены'!G849,'Цены'!G859,'Цены'!G869,'Цены'!G879,'Цены'!G889,'Цены'!G899,'Цены'!G909,'Цены'!G919,'Цены'!G929,'Цены'!G939,'Цены'!G949,'Цены'!G959,'Цены'!G969,'Цены'!G979,'Цены'!G989,'Цены'!G999))</x:f>
        <x:v>0.07234363233517105</x:v>
      </x:c>
      <x:c r="I9" s="14" t="n">
        <x:f>IF(D9=0,"",COUNTIFS('Цены'!$B$8:$B$1007,15,'Цены'!$I$8:$I$1007,"Есть цена",'Цены'!$G$8:$G$1007,"&gt;0")/D9)</x:f>
        <x:v>0.5555555555555556</x:v>
      </x:c>
      <x:c r="J9" s="14" t="n">
        <x:f>IF(D9=0,"",COUNTIFS('Цены'!$B$8:$B$1007,15,'Цены'!$I$8:$I$1007,"Есть цена",'Цены'!$G$8:$G$1007,"&gt;=0.05")/D9)</x:f>
        <x:v>0.5555555555555556</x:v>
      </x:c>
      <x:c r="K9" s="14" t="n">
        <x:f>IF(D9=0,"",MIN('Цены'!G9,'Цены'!G19,'Цены'!G29,'Цены'!G39,'Цены'!G49,'Цены'!G59,'Цены'!G69,'Цены'!G79,'Цены'!G89,'Цены'!G99,'Цены'!G109,'Цены'!G119,'Цены'!G129,'Цены'!G139,'Цены'!G149,'Цены'!G159,'Цены'!G169,'Цены'!G179,'Цены'!G189,'Цены'!G199,'Цены'!G209,'Цены'!G219,'Цены'!G229,'Цены'!G239,'Цены'!G249,'Цены'!G259,'Цены'!G269,'Цены'!G279,'Цены'!G289,'Цены'!G299,'Цены'!G309,'Цены'!G319,'Цены'!G329,'Цены'!G339,'Цены'!G349,'Цены'!G359,'Цены'!G369,'Цены'!G379,'Цены'!G389,'Цены'!G399,'Цены'!G409,'Цены'!G419,'Цены'!G429,'Цены'!G439,'Цены'!G449,'Цены'!G459,'Цены'!G469,'Цены'!G479,'Цены'!G489,'Цены'!G499,'Цены'!G509,'Цены'!G519,'Цены'!G529,'Цены'!G539,'Цены'!G549,'Цены'!G559,'Цены'!G569,'Цены'!G579,'Цены'!G589,'Цены'!G599,'Цены'!G609,'Цены'!G619,'Цены'!G629,'Цены'!G639,'Цены'!G649,'Цены'!G659,'Цены'!G669,'Цены'!G679,'Цены'!G689,'Цены'!G699,'Цены'!G709,'Цены'!G719,'Цены'!G729,'Цены'!G739,'Цены'!G749,'Цены'!G759,'Цены'!G769,'Цены'!G779,'Цены'!G789,'Цены'!G799,'Цены'!G809,'Цены'!G819,'Цены'!G829,'Цены'!G839,'Цены'!G849,'Цены'!G859,'Цены'!G869,'Цены'!G879,'Цены'!G889,'Цены'!G899,'Цены'!G909,'Цены'!G919,'Цены'!G929,'Цены'!G939,'Цены'!G949,'Цены'!G959,'Цены'!G969,'Цены'!G979,'Цены'!G989,'Цены'!G999))</x:f>
        <x:v>-0.3162334198503566</x:v>
      </x:c>
      <x:c r="L9" s="14" t="n">
        <x:f>IF(D9=0,"",MAX('Цены'!G9,'Цены'!G19,'Цены'!G29,'Цены'!G39,'Цены'!G49,'Цены'!G59,'Цены'!G69,'Цены'!G79,'Цены'!G89,'Цены'!G99,'Цены'!G109,'Цены'!G119,'Цены'!G129,'Цены'!G139,'Цены'!G149,'Цены'!G159,'Цены'!G169,'Цены'!G179,'Цены'!G189,'Цены'!G199,'Цены'!G209,'Цены'!G219,'Цены'!G229,'Цены'!G239,'Цены'!G249,'Цены'!G259,'Цены'!G269,'Цены'!G279,'Цены'!G289,'Цены'!G299,'Цены'!G309,'Цены'!G319,'Цены'!G329,'Цены'!G339,'Цены'!G349,'Цены'!G359,'Цены'!G369,'Цены'!G379,'Цены'!G389,'Цены'!G399,'Цены'!G409,'Цены'!G419,'Цены'!G429,'Цены'!G439,'Цены'!G449,'Цены'!G459,'Цены'!G469,'Цены'!G479,'Цены'!G489,'Цены'!G499,'Цены'!G509,'Цены'!G519,'Цены'!G529,'Цены'!G539,'Цены'!G549,'Цены'!G559,'Цены'!G569,'Цены'!G579,'Цены'!G589,'Цены'!G599,'Цены'!G609,'Цены'!G619,'Цены'!G629,'Цены'!G639,'Цены'!G649,'Цены'!G659,'Цены'!G669,'Цены'!G679,'Цены'!G689,'Цены'!G699,'Цены'!G709,'Цены'!G719,'Цены'!G729,'Цены'!G739,'Цены'!G749,'Цены'!G759,'Цены'!G769,'Цены'!G779,'Цены'!G789,'Цены'!G799,'Цены'!G809,'Цены'!G819,'Цены'!G829,'Цены'!G839,'Цены'!G849,'Цены'!G859,'Цены'!G869,'Цены'!G879,'Цены'!G889,'Цены'!G899,'Цены'!G909,'Цены'!G919,'Цены'!G929,'Цены'!G939,'Цены'!G949,'Цены'!G959,'Цены'!G969,'Цены'!G979,'Цены'!G989,'Цены'!G999))</x:f>
        <x:v>1.7295954776435423</x:v>
      </x:c>
    </x:row>
    <x:row r="10" ht="21" customHeight="1">
      <x:c r="A10" s="2" t="str">
        <x:v>Все</x:v>
      </x:c>
      <x:c r="B10" s="2" t="str">
        <x:v>30 с</x:v>
      </x:c>
      <x:c r="C10" s="2" t="n">
        <x:f>COUNT('Покупки'!$A$8:$A$107)</x:f>
        <x:v>100</x:v>
      </x:c>
      <x:c r="D10" s="2" t="n">
        <x:f>COUNTIFS('Цены'!$B$8:$B$1007,30,'Цены'!$I$8:$I$1007,"Есть цена")</x:f>
        <x:v>18</x:v>
      </x:c>
      <x:c r="E10" s="2" t="n">
        <x:f>C10-D10-F10</x:f>
        <x:v>82</x:v>
      </x:c>
      <x:c r="F10" s="2" t="n">
        <x:f>COUNTIFS('Цены'!$B$8:$B$1007,30,'Цены'!$I$8:$I$1007,"Ещё рано")</x:f>
        <x:v>0</x:v>
      </x:c>
      <x:c r="G10" s="14" t="n">
        <x:f>IF(D10=0,"",AVERAGE('Цены'!G10,'Цены'!G20,'Цены'!G30,'Цены'!G40,'Цены'!G50,'Цены'!G60,'Цены'!G70,'Цены'!G80,'Цены'!G90,'Цены'!G100,'Цены'!G110,'Цены'!G120,'Цены'!G130,'Цены'!G140,'Цены'!G150,'Цены'!G160,'Цены'!G170,'Цены'!G180,'Цены'!G190,'Цены'!G200,'Цены'!G210,'Цены'!G220,'Цены'!G230,'Цены'!G240,'Цены'!G250,'Цены'!G260,'Цены'!G270,'Цены'!G280,'Цены'!G290,'Цены'!G300,'Цены'!G310,'Цены'!G320,'Цены'!G330,'Цены'!G340,'Цены'!G350,'Цены'!G360,'Цены'!G370,'Цены'!G380,'Цены'!G390,'Цены'!G400,'Цены'!G410,'Цены'!G420,'Цены'!G430,'Цены'!G440,'Цены'!G450,'Цены'!G460,'Цены'!G470,'Цены'!G480,'Цены'!G490,'Цены'!G500,'Цены'!G510,'Цены'!G520,'Цены'!G530,'Цены'!G540,'Цены'!G550,'Цены'!G560,'Цены'!G570,'Цены'!G580,'Цены'!G590,'Цены'!G600,'Цены'!G610,'Цены'!G620,'Цены'!G630,'Цены'!G640,'Цены'!G650,'Цены'!G660,'Цены'!G670,'Цены'!G680,'Цены'!G690,'Цены'!G700,'Цены'!G710,'Цены'!G720,'Цены'!G730,'Цены'!G740,'Цены'!G750,'Цены'!G760,'Цены'!G770,'Цены'!G780,'Цены'!G790,'Цены'!G800,'Цены'!G810,'Цены'!G820,'Цены'!G830,'Цены'!G840,'Цены'!G850,'Цены'!G860,'Цены'!G870,'Цены'!G880,'Цены'!G890,'Цены'!G900,'Цены'!G910,'Цены'!G920,'Цены'!G930,'Цены'!G940,'Цены'!G950,'Цены'!G960,'Цены'!G970,'Цены'!G980,'Цены'!G990,'Цены'!G1000))</x:f>
        <x:v>0.5285584160895868</x:v>
      </x:c>
      <x:c r="H10" s="14" t="n">
        <x:f>IF(D10=0,"",MEDIAN('Цены'!G10,'Цены'!G20,'Цены'!G30,'Цены'!G40,'Цены'!G50,'Цены'!G60,'Цены'!G70,'Цены'!G80,'Цены'!G90,'Цены'!G100,'Цены'!G110,'Цены'!G120,'Цены'!G130,'Цены'!G140,'Цены'!G150,'Цены'!G160,'Цены'!G170,'Цены'!G180,'Цены'!G190,'Цены'!G200,'Цены'!G210,'Цены'!G220,'Цены'!G230,'Цены'!G240,'Цены'!G250,'Цены'!G260,'Цены'!G270,'Цены'!G280,'Цены'!G290,'Цены'!G300,'Цены'!G310,'Цены'!G320,'Цены'!G330,'Цены'!G340,'Цены'!G350,'Цены'!G360,'Цены'!G370,'Цены'!G380,'Цены'!G390,'Цены'!G400,'Цены'!G410,'Цены'!G420,'Цены'!G430,'Цены'!G440,'Цены'!G450,'Цены'!G460,'Цены'!G470,'Цены'!G480,'Цены'!G490,'Цены'!G500,'Цены'!G510,'Цены'!G520,'Цены'!G530,'Цены'!G540,'Цены'!G550,'Цены'!G560,'Цены'!G570,'Цены'!G580,'Цены'!G590,'Цены'!G600,'Цены'!G610,'Цены'!G620,'Цены'!G630,'Цены'!G640,'Цены'!G650,'Цены'!G660,'Цены'!G670,'Цены'!G680,'Цены'!G690,'Цены'!G700,'Цены'!G710,'Цены'!G720,'Цены'!G730,'Цены'!G740,'Цены'!G750,'Цены'!G760,'Цены'!G770,'Цены'!G780,'Цены'!G790,'Цены'!G800,'Цены'!G810,'Цены'!G820,'Цены'!G830,'Цены'!G840,'Цены'!G850,'Цены'!G860,'Цены'!G870,'Цены'!G880,'Цены'!G890,'Цены'!G900,'Цены'!G910,'Цены'!G920,'Цены'!G930,'Цены'!G940,'Цены'!G950,'Цены'!G960,'Цены'!G970,'Цены'!G980,'Цены'!G990,'Цены'!G1000))</x:f>
        <x:v>0.071092461332813</x:v>
      </x:c>
      <x:c r="I10" s="14" t="n">
        <x:f>IF(D10=0,"",COUNTIFS('Цены'!$B$8:$B$1007,30,'Цены'!$I$8:$I$1007,"Есть цена",'Цены'!$G$8:$G$1007,"&gt;0")/D10)</x:f>
        <x:v>0.6111111111111112</x:v>
      </x:c>
      <x:c r="J10" s="14" t="n">
        <x:f>IF(D10=0,"",COUNTIFS('Цены'!$B$8:$B$1007,30,'Цены'!$I$8:$I$1007,"Есть цена",'Цены'!$G$8:$G$1007,"&gt;=0.05")/D10)</x:f>
        <x:v>0.5555555555555556</x:v>
      </x:c>
      <x:c r="K10" s="14" t="n">
        <x:f>IF(D10=0,"",MIN('Цены'!G10,'Цены'!G20,'Цены'!G30,'Цены'!G40,'Цены'!G50,'Цены'!G60,'Цены'!G70,'Цены'!G80,'Цены'!G90,'Цены'!G100,'Цены'!G110,'Цены'!G120,'Цены'!G130,'Цены'!G140,'Цены'!G150,'Цены'!G160,'Цены'!G170,'Цены'!G180,'Цены'!G190,'Цены'!G200,'Цены'!G210,'Цены'!G220,'Цены'!G230,'Цены'!G240,'Цены'!G250,'Цены'!G260,'Цены'!G270,'Цены'!G280,'Цены'!G290,'Цены'!G300,'Цены'!G310,'Цены'!G320,'Цены'!G330,'Цены'!G340,'Цены'!G350,'Цены'!G360,'Цены'!G370,'Цены'!G380,'Цены'!G390,'Цены'!G400,'Цены'!G410,'Цены'!G420,'Цены'!G430,'Цены'!G440,'Цены'!G450,'Цены'!G460,'Цены'!G470,'Цены'!G480,'Цены'!G490,'Цены'!G500,'Цены'!G510,'Цены'!G520,'Цены'!G530,'Цены'!G540,'Цены'!G550,'Цены'!G560,'Цены'!G570,'Цены'!G580,'Цены'!G590,'Цены'!G600,'Цены'!G610,'Цены'!G620,'Цены'!G630,'Цены'!G640,'Цены'!G650,'Цены'!G660,'Цены'!G670,'Цены'!G680,'Цены'!G690,'Цены'!G700,'Цены'!G710,'Цены'!G720,'Цены'!G730,'Цены'!G740,'Цены'!G750,'Цены'!G760,'Цены'!G770,'Цены'!G780,'Цены'!G790,'Цены'!G800,'Цены'!G810,'Цены'!G820,'Цены'!G830,'Цены'!G840,'Цены'!G850,'Цены'!G860,'Цены'!G870,'Цены'!G880,'Цены'!G890,'Цены'!G900,'Цены'!G910,'Цены'!G920,'Цены'!G930,'Цены'!G940,'Цены'!G950,'Цены'!G960,'Цены'!G970,'Цены'!G980,'Цены'!G990,'Цены'!G1000))</x:f>
        <x:v>-0.2972146501263446</x:v>
      </x:c>
      <x:c r="L10" s="14" t="n">
        <x:f>IF(D10=0,"",MAX('Цены'!G10,'Цены'!G20,'Цены'!G30,'Цены'!G40,'Цены'!G50,'Цены'!G60,'Цены'!G70,'Цены'!G80,'Цены'!G90,'Цены'!G100,'Цены'!G110,'Цены'!G120,'Цены'!G130,'Цены'!G140,'Цены'!G150,'Цены'!G160,'Цены'!G170,'Цены'!G180,'Цены'!G190,'Цены'!G200,'Цены'!G210,'Цены'!G220,'Цены'!G230,'Цены'!G240,'Цены'!G250,'Цены'!G260,'Цены'!G270,'Цены'!G280,'Цены'!G290,'Цены'!G300,'Цены'!G310,'Цены'!G320,'Цены'!G330,'Цены'!G340,'Цены'!G350,'Цены'!G360,'Цены'!G370,'Цены'!G380,'Цены'!G390,'Цены'!G400,'Цены'!G410,'Цены'!G420,'Цены'!G430,'Цены'!G440,'Цены'!G450,'Цены'!G460,'Цены'!G470,'Цены'!G480,'Цены'!G490,'Цены'!G500,'Цены'!G510,'Цены'!G520,'Цены'!G530,'Цены'!G540,'Цены'!G550,'Цены'!G560,'Цены'!G570,'Цены'!G580,'Цены'!G590,'Цены'!G600,'Цены'!G610,'Цены'!G620,'Цены'!G630,'Цены'!G640,'Цены'!G650,'Цены'!G660,'Цены'!G670,'Цены'!G680,'Цены'!G690,'Цены'!G700,'Цены'!G710,'Цены'!G720,'Цены'!G730,'Цены'!G740,'Цены'!G750,'Цены'!G760,'Цены'!G770,'Цены'!G780,'Цены'!G790,'Цены'!G800,'Цены'!G810,'Цены'!G820,'Цены'!G830,'Цены'!G840,'Цены'!G850,'Цены'!G860,'Цены'!G870,'Цены'!G880,'Цены'!G890,'Цены'!G900,'Цены'!G910,'Цены'!G920,'Цены'!G930,'Цены'!G940,'Цены'!G950,'Цены'!G960,'Цены'!G970,'Цены'!G980,'Цены'!G990,'Цены'!G1000))</x:f>
        <x:v>2.057213887268794</x:v>
      </x:c>
    </x:row>
    <x:row r="11" ht="21" customHeight="1">
      <x:c r="A11" s="2" t="str">
        <x:v>Все</x:v>
      </x:c>
      <x:c r="B11" s="2" t="str">
        <x:v>1 мин</x:v>
      </x:c>
      <x:c r="C11" s="2" t="n">
        <x:f>COUNT('Покупки'!$A$8:$A$107)</x:f>
        <x:v>100</x:v>
      </x:c>
      <x:c r="D11" s="2" t="n">
        <x:f>COUNTIFS('Цены'!$B$8:$B$1007,60,'Цены'!$I$8:$I$1007,"Есть цена")</x:f>
        <x:v>18</x:v>
      </x:c>
      <x:c r="E11" s="2" t="n">
        <x:f>C11-D11-F11</x:f>
        <x:v>82</x:v>
      </x:c>
      <x:c r="F11" s="2" t="n">
        <x:f>COUNTIFS('Цены'!$B$8:$B$1007,60,'Цены'!$I$8:$I$1007,"Ещё рано")</x:f>
        <x:v>0</x:v>
      </x:c>
      <x:c r="G11" s="14" t="n">
        <x:f>IF(D11=0,"",AVERAGE('Цены'!G11,'Цены'!G21,'Цены'!G31,'Цены'!G41,'Цены'!G51,'Цены'!G61,'Цены'!G71,'Цены'!G81,'Цены'!G91,'Цены'!G101,'Цены'!G111,'Цены'!G121,'Цены'!G131,'Цены'!G141,'Цены'!G151,'Цены'!G161,'Цены'!G171,'Цены'!G181,'Цены'!G191,'Цены'!G201,'Цены'!G211,'Цены'!G221,'Цены'!G231,'Цены'!G241,'Цены'!G251,'Цены'!G261,'Цены'!G271,'Цены'!G281,'Цены'!G291,'Цены'!G301,'Цены'!G311,'Цены'!G321,'Цены'!G331,'Цены'!G341,'Цены'!G351,'Цены'!G361,'Цены'!G371,'Цены'!G381,'Цены'!G391,'Цены'!G401,'Цены'!G411,'Цены'!G421,'Цены'!G431,'Цены'!G441,'Цены'!G451,'Цены'!G461,'Цены'!G471,'Цены'!G481,'Цены'!G491,'Цены'!G501,'Цены'!G511,'Цены'!G521,'Цены'!G531,'Цены'!G541,'Цены'!G551,'Цены'!G561,'Цены'!G571,'Цены'!G581,'Цены'!G591,'Цены'!G601,'Цены'!G611,'Цены'!G621,'Цены'!G631,'Цены'!G641,'Цены'!G651,'Цены'!G661,'Цены'!G671,'Цены'!G681,'Цены'!G691,'Цены'!G701,'Цены'!G711,'Цены'!G721,'Цены'!G731,'Цены'!G741,'Цены'!G751,'Цены'!G761,'Цены'!G771,'Цены'!G781,'Цены'!G791,'Цены'!G801,'Цены'!G811,'Цены'!G821,'Цены'!G831,'Цены'!G841,'Цены'!G851,'Цены'!G861,'Цены'!G871,'Цены'!G881,'Цены'!G891,'Цены'!G901,'Цены'!G911,'Цены'!G921,'Цены'!G931,'Цены'!G941,'Цены'!G951,'Цены'!G961,'Цены'!G971,'Цены'!G981,'Цены'!G991,'Цены'!G1001))</x:f>
        <x:v>0.5171334786155307</x:v>
      </x:c>
      <x:c r="H11" s="14" t="n">
        <x:f>IF(D11=0,"",MEDIAN('Цены'!G11,'Цены'!G21,'Цены'!G31,'Цены'!G41,'Цены'!G51,'Цены'!G61,'Цены'!G71,'Цены'!G81,'Цены'!G91,'Цены'!G101,'Цены'!G111,'Цены'!G121,'Цены'!G131,'Цены'!G141,'Цены'!G151,'Цены'!G161,'Цены'!G171,'Цены'!G181,'Цены'!G191,'Цены'!G201,'Цены'!G211,'Цены'!G221,'Цены'!G231,'Цены'!G241,'Цены'!G251,'Цены'!G261,'Цены'!G271,'Цены'!G281,'Цены'!G291,'Цены'!G301,'Цены'!G311,'Цены'!G321,'Цены'!G331,'Цены'!G341,'Цены'!G351,'Цены'!G361,'Цены'!G371,'Цены'!G381,'Цены'!G391,'Цены'!G401,'Цены'!G411,'Цены'!G421,'Цены'!G431,'Цены'!G441,'Цены'!G451,'Цены'!G461,'Цены'!G471,'Цены'!G481,'Цены'!G491,'Цены'!G501,'Цены'!G511,'Цены'!G521,'Цены'!G531,'Цены'!G541,'Цены'!G551,'Цены'!G561,'Цены'!G571,'Цены'!G581,'Цены'!G591,'Цены'!G601,'Цены'!G611,'Цены'!G621,'Цены'!G631,'Цены'!G641,'Цены'!G651,'Цены'!G661,'Цены'!G671,'Цены'!G681,'Цены'!G691,'Цены'!G701,'Цены'!G711,'Цены'!G721,'Цены'!G731,'Цены'!G741,'Цены'!G751,'Цены'!G761,'Цены'!G771,'Цены'!G781,'Цены'!G791,'Цены'!G801,'Цены'!G811,'Цены'!G821,'Цены'!G831,'Цены'!G841,'Цены'!G851,'Цены'!G861,'Цены'!G871,'Цены'!G881,'Цены'!G891,'Цены'!G901,'Цены'!G911,'Цены'!G921,'Цены'!G931,'Цены'!G941,'Цены'!G951,'Цены'!G961,'Цены'!G971,'Цены'!G981,'Цены'!G991,'Цены'!G1001))</x:f>
        <x:v>0.055315035495374754</x:v>
      </x:c>
      <x:c r="I11" s="14" t="n">
        <x:f>IF(D11=0,"",COUNTIFS('Цены'!$B$8:$B$1007,60,'Цены'!$I$8:$I$1007,"Есть цена",'Цены'!$G$8:$G$1007,"&gt;0")/D11)</x:f>
        <x:v>0.6111111111111112</x:v>
      </x:c>
      <x:c r="J11" s="14" t="n">
        <x:f>IF(D11=0,"",COUNTIFS('Цены'!$B$8:$B$1007,60,'Цены'!$I$8:$I$1007,"Есть цена",'Цены'!$G$8:$G$1007,"&gt;=0.05")/D11)</x:f>
        <x:v>0.5</x:v>
      </x:c>
      <x:c r="K11" s="14" t="n">
        <x:f>IF(D11=0,"",MIN('Цены'!G11,'Цены'!G21,'Цены'!G31,'Цены'!G41,'Цены'!G51,'Цены'!G61,'Цены'!G71,'Цены'!G81,'Цены'!G91,'Цены'!G101,'Цены'!G111,'Цены'!G121,'Цены'!G131,'Цены'!G141,'Цены'!G151,'Цены'!G161,'Цены'!G171,'Цены'!G181,'Цены'!G191,'Цены'!G201,'Цены'!G211,'Цены'!G221,'Цены'!G231,'Цены'!G241,'Цены'!G251,'Цены'!G261,'Цены'!G271,'Цены'!G281,'Цены'!G291,'Цены'!G301,'Цены'!G311,'Цены'!G321,'Цены'!G331,'Цены'!G341,'Цены'!G351,'Цены'!G361,'Цены'!G371,'Цены'!G381,'Цены'!G391,'Цены'!G401,'Цены'!G411,'Цены'!G421,'Цены'!G431,'Цены'!G441,'Цены'!G451,'Цены'!G461,'Цены'!G471,'Цены'!G481,'Цены'!G491,'Цены'!G501,'Цены'!G511,'Цены'!G521,'Цены'!G531,'Цены'!G541,'Цены'!G551,'Цены'!G561,'Цены'!G571,'Цены'!G581,'Цены'!G591,'Цены'!G601,'Цены'!G611,'Цены'!G621,'Цены'!G631,'Цены'!G641,'Цены'!G651,'Цены'!G661,'Цены'!G671,'Цены'!G681,'Цены'!G691,'Цены'!G701,'Цены'!G711,'Цены'!G721,'Цены'!G731,'Цены'!G741,'Цены'!G751,'Цены'!G761,'Цены'!G771,'Цены'!G781,'Цены'!G791,'Цены'!G801,'Цены'!G811,'Цены'!G821,'Цены'!G831,'Цены'!G841,'Цены'!G851,'Цены'!G861,'Цены'!G871,'Цены'!G881,'Цены'!G891,'Цены'!G901,'Цены'!G911,'Цены'!G921,'Цены'!G931,'Цены'!G941,'Цены'!G951,'Цены'!G961,'Цены'!G971,'Цены'!G981,'Цены'!G991,'Цены'!G1001))</x:f>
        <x:v>-0.2948564773065735</x:v>
      </x:c>
      <x:c r="L11" s="14" t="n">
        <x:f>IF(D11=0,"",MAX('Цены'!G11,'Цены'!G21,'Цены'!G31,'Цены'!G41,'Цены'!G51,'Цены'!G61,'Цены'!G71,'Цены'!G81,'Цены'!G91,'Цены'!G101,'Цены'!G111,'Цены'!G121,'Цены'!G131,'Цены'!G141,'Цены'!G151,'Цены'!G161,'Цены'!G171,'Цены'!G181,'Цены'!G191,'Цены'!G201,'Цены'!G211,'Цены'!G221,'Цены'!G231,'Цены'!G241,'Цены'!G251,'Цены'!G261,'Цены'!G271,'Цены'!G281,'Цены'!G291,'Цены'!G301,'Цены'!G311,'Цены'!G321,'Цены'!G331,'Цены'!G341,'Цены'!G351,'Цены'!G361,'Цены'!G371,'Цены'!G381,'Цены'!G391,'Цены'!G401,'Цены'!G411,'Цены'!G421,'Цены'!G431,'Цены'!G441,'Цены'!G451,'Цены'!G461,'Цены'!G471,'Цены'!G481,'Цены'!G491,'Цены'!G501,'Цены'!G511,'Цены'!G521,'Цены'!G531,'Цены'!G541,'Цены'!G551,'Цены'!G561,'Цены'!G571,'Цены'!G581,'Цены'!G591,'Цены'!G601,'Цены'!G611,'Цены'!G621,'Цены'!G631,'Цены'!G641,'Цены'!G651,'Цены'!G661,'Цены'!G671,'Цены'!G681,'Цены'!G691,'Цены'!G701,'Цены'!G711,'Цены'!G721,'Цены'!G731,'Цены'!G741,'Цены'!G751,'Цены'!G761,'Цены'!G771,'Цены'!G781,'Цены'!G791,'Цены'!G801,'Цены'!G811,'Цены'!G821,'Цены'!G831,'Цены'!G841,'Цены'!G851,'Цены'!G861,'Цены'!G871,'Цены'!G881,'Цены'!G891,'Цены'!G901,'Цены'!G911,'Цены'!G921,'Цены'!G931,'Цены'!G941,'Цены'!G951,'Цены'!G961,'Цены'!G971,'Цены'!G981,'Цены'!G991,'Цены'!G1001))</x:f>
        <x:v>2.969100685074792</x:v>
      </x:c>
    </x:row>
    <x:row r="12" ht="21" customHeight="1">
      <x:c r="A12" s="2" t="str">
        <x:v>Все</x:v>
      </x:c>
      <x:c r="B12" s="2" t="str">
        <x:v>3 мин</x:v>
      </x:c>
      <x:c r="C12" s="2" t="n">
        <x:f>COUNT('Покупки'!$A$8:$A$107)</x:f>
        <x:v>100</x:v>
      </x:c>
      <x:c r="D12" s="2" t="n">
        <x:f>COUNTIFS('Цены'!$B$8:$B$1007,180,'Цены'!$I$8:$I$1007,"Есть цена")</x:f>
        <x:v>18</x:v>
      </x:c>
      <x:c r="E12" s="2" t="n">
        <x:f>C12-D12-F12</x:f>
        <x:v>82</x:v>
      </x:c>
      <x:c r="F12" s="2" t="n">
        <x:f>COUNTIFS('Цены'!$B$8:$B$1007,180,'Цены'!$I$8:$I$1007,"Ещё рано")</x:f>
        <x:v>0</x:v>
      </x:c>
      <x:c r="G12" s="14" t="n">
        <x:f>IF(D12=0,"",AVERAGE('Цены'!G12,'Цены'!G22,'Цены'!G32,'Цены'!G42,'Цены'!G52,'Цены'!G62,'Цены'!G72,'Цены'!G82,'Цены'!G92,'Цены'!G102,'Цены'!G112,'Цены'!G122,'Цены'!G132,'Цены'!G142,'Цены'!G152,'Цены'!G162,'Цены'!G172,'Цены'!G182,'Цены'!G192,'Цены'!G202,'Цены'!G212,'Цены'!G222,'Цены'!G232,'Цены'!G242,'Цены'!G252,'Цены'!G262,'Цены'!G272,'Цены'!G282,'Цены'!G292,'Цены'!G302,'Цены'!G312,'Цены'!G322,'Цены'!G332,'Цены'!G342,'Цены'!G352,'Цены'!G362,'Цены'!G372,'Цены'!G382,'Цены'!G392,'Цены'!G402,'Цены'!G412,'Цены'!G422,'Цены'!G432,'Цены'!G442,'Цены'!G452,'Цены'!G462,'Цены'!G472,'Цены'!G482,'Цены'!G492,'Цены'!G502,'Цены'!G512,'Цены'!G522,'Цены'!G532,'Цены'!G542,'Цены'!G552,'Цены'!G562,'Цены'!G572,'Цены'!G582,'Цены'!G592,'Цены'!G602,'Цены'!G612,'Цены'!G622,'Цены'!G632,'Цены'!G642,'Цены'!G652,'Цены'!G662,'Цены'!G672,'Цены'!G682,'Цены'!G692,'Цены'!G702,'Цены'!G712,'Цены'!G722,'Цены'!G732,'Цены'!G742,'Цены'!G752,'Цены'!G762,'Цены'!G772,'Цены'!G782,'Цены'!G792,'Цены'!G802,'Цены'!G812,'Цены'!G822,'Цены'!G832,'Цены'!G842,'Цены'!G852,'Цены'!G862,'Цены'!G872,'Цены'!G882,'Цены'!G892,'Цены'!G902,'Цены'!G912,'Цены'!G922,'Цены'!G932,'Цены'!G942,'Цены'!G952,'Цены'!G962,'Цены'!G972,'Цены'!G982,'Цены'!G992,'Цены'!G1002))</x:f>
        <x:v>0.37922782490186585</x:v>
      </x:c>
      <x:c r="H12" s="14" t="n">
        <x:f>IF(D12=0,"",MEDIAN('Цены'!G12,'Цены'!G22,'Цены'!G32,'Цены'!G42,'Цены'!G52,'Цены'!G62,'Цены'!G72,'Цены'!G82,'Цены'!G92,'Цены'!G102,'Цены'!G112,'Цены'!G122,'Цены'!G132,'Цены'!G142,'Цены'!G152,'Цены'!G162,'Цены'!G172,'Цены'!G182,'Цены'!G192,'Цены'!G202,'Цены'!G212,'Цены'!G222,'Цены'!G232,'Цены'!G242,'Цены'!G252,'Цены'!G262,'Цены'!G272,'Цены'!G282,'Цены'!G292,'Цены'!G302,'Цены'!G312,'Цены'!G322,'Цены'!G332,'Цены'!G342,'Цены'!G352,'Цены'!G362,'Цены'!G372,'Цены'!G382,'Цены'!G392,'Цены'!G402,'Цены'!G412,'Цены'!G422,'Цены'!G432,'Цены'!G442,'Цены'!G452,'Цены'!G462,'Цены'!G472,'Цены'!G482,'Цены'!G492,'Цены'!G502,'Цены'!G512,'Цены'!G522,'Цены'!G532,'Цены'!G542,'Цены'!G552,'Цены'!G562,'Цены'!G572,'Цены'!G582,'Цены'!G592,'Цены'!G602,'Цены'!G612,'Цены'!G622,'Цены'!G632,'Цены'!G642,'Цены'!G652,'Цены'!G662,'Цены'!G672,'Цены'!G682,'Цены'!G692,'Цены'!G702,'Цены'!G712,'Цены'!G722,'Цены'!G732,'Цены'!G742,'Цены'!G752,'Цены'!G762,'Цены'!G772,'Цены'!G782,'Цены'!G792,'Цены'!G802,'Цены'!G812,'Цены'!G822,'Цены'!G832,'Цены'!G842,'Цены'!G852,'Цены'!G862,'Цены'!G872,'Цены'!G882,'Цены'!G892,'Цены'!G902,'Цены'!G912,'Цены'!G922,'Цены'!G932,'Цены'!G942,'Цены'!G952,'Цены'!G962,'Цены'!G972,'Цены'!G982,'Цены'!G992,'Цены'!G1002))</x:f>
        <x:v>0.04728684030467667</x:v>
      </x:c>
      <x:c r="I12" s="14" t="n">
        <x:f>IF(D12=0,"",COUNTIFS('Цены'!$B$8:$B$1007,180,'Цены'!$I$8:$I$1007,"Есть цена",'Цены'!$G$8:$G$1007,"&gt;0")/D12)</x:f>
        <x:v>0.6666666666666666</x:v>
      </x:c>
      <x:c r="J12" s="14" t="n">
        <x:f>IF(D12=0,"",COUNTIFS('Цены'!$B$8:$B$1007,180,'Цены'!$I$8:$I$1007,"Есть цена",'Цены'!$G$8:$G$1007,"&gt;=0.05")/D12)</x:f>
        <x:v>0.4444444444444444</x:v>
      </x:c>
      <x:c r="K12" s="14" t="n">
        <x:f>IF(D12=0,"",MIN('Цены'!G12,'Цены'!G22,'Цены'!G32,'Цены'!G42,'Цены'!G52,'Цены'!G62,'Цены'!G72,'Цены'!G82,'Цены'!G92,'Цены'!G102,'Цены'!G112,'Цены'!G122,'Цены'!G132,'Цены'!G142,'Цены'!G152,'Цены'!G162,'Цены'!G172,'Цены'!G182,'Цены'!G192,'Цены'!G202,'Цены'!G212,'Цены'!G222,'Цены'!G232,'Цены'!G242,'Цены'!G252,'Цены'!G262,'Цены'!G272,'Цены'!G282,'Цены'!G292,'Цены'!G302,'Цены'!G312,'Цены'!G322,'Цены'!G332,'Цены'!G342,'Цены'!G352,'Цены'!G362,'Цены'!G372,'Цены'!G382,'Цены'!G392,'Цены'!G402,'Цены'!G412,'Цены'!G422,'Цены'!G432,'Цены'!G442,'Цены'!G452,'Цены'!G462,'Цены'!G472,'Цены'!G482,'Цены'!G492,'Цены'!G502,'Цены'!G512,'Цены'!G522,'Цены'!G532,'Цены'!G542,'Цены'!G552,'Цены'!G562,'Цены'!G572,'Цены'!G582,'Цены'!G592,'Цены'!G602,'Цены'!G612,'Цены'!G622,'Цены'!G632,'Цены'!G642,'Цены'!G652,'Цены'!G662,'Цены'!G672,'Цены'!G682,'Цены'!G692,'Цены'!G702,'Цены'!G712,'Цены'!G722,'Цены'!G732,'Цены'!G742,'Цены'!G752,'Цены'!G762,'Цены'!G772,'Цены'!G782,'Цены'!G792,'Цены'!G802,'Цены'!G812,'Цены'!G822,'Цены'!G832,'Цены'!G842,'Цены'!G852,'Цены'!G862,'Цены'!G872,'Цены'!G882,'Цены'!G892,'Цены'!G902,'Цены'!G912,'Цены'!G922,'Цены'!G932,'Цены'!G942,'Цены'!G952,'Цены'!G962,'Цены'!G972,'Цены'!G982,'Цены'!G992,'Цены'!G1002))</x:f>
        <x:v>-0.28100930141933234</x:v>
      </x:c>
      <x:c r="L12" s="14" t="n">
        <x:f>IF(D12=0,"",MAX('Цены'!G12,'Цены'!G22,'Цены'!G32,'Цены'!G42,'Цены'!G52,'Цены'!G62,'Цены'!G72,'Цены'!G82,'Цены'!G92,'Цены'!G102,'Цены'!G112,'Цены'!G122,'Цены'!G132,'Цены'!G142,'Цены'!G152,'Цены'!G162,'Цены'!G172,'Цены'!G182,'Цены'!G192,'Цены'!G202,'Цены'!G212,'Цены'!G222,'Цены'!G232,'Цены'!G242,'Цены'!G252,'Цены'!G262,'Цены'!G272,'Цены'!G282,'Цены'!G292,'Цены'!G302,'Цены'!G312,'Цены'!G322,'Цены'!G332,'Цены'!G342,'Цены'!G352,'Цены'!G362,'Цены'!G372,'Цены'!G382,'Цены'!G392,'Цены'!G402,'Цены'!G412,'Цены'!G422,'Цены'!G432,'Цены'!G442,'Цены'!G452,'Цены'!G462,'Цены'!G472,'Цены'!G482,'Цены'!G492,'Цены'!G502,'Цены'!G512,'Цены'!G522,'Цены'!G532,'Цены'!G542,'Цены'!G552,'Цены'!G562,'Цены'!G572,'Цены'!G582,'Цены'!G592,'Цены'!G602,'Цены'!G612,'Цены'!G622,'Цены'!G632,'Цены'!G642,'Цены'!G652,'Цены'!G662,'Цены'!G672,'Цены'!G682,'Цены'!G692,'Цены'!G702,'Цены'!G712,'Цены'!G722,'Цены'!G732,'Цены'!G742,'Цены'!G752,'Цены'!G762,'Цены'!G772,'Цены'!G782,'Цены'!G792,'Цены'!G802,'Цены'!G812,'Цены'!G822,'Цены'!G832,'Цены'!G842,'Цены'!G852,'Цены'!G862,'Цены'!G872,'Цены'!G882,'Цены'!G892,'Цены'!G902,'Цены'!G912,'Цены'!G922,'Цены'!G932,'Цены'!G942,'Цены'!G952,'Цены'!G962,'Цены'!G972,'Цены'!G982,'Цены'!G992,'Цены'!G1002))</x:f>
        <x:v>2.1536105641005356</x:v>
      </x:c>
    </x:row>
    <x:row r="13" ht="21" customHeight="1">
      <x:c r="A13" s="2" t="str">
        <x:v>Все</x:v>
      </x:c>
      <x:c r="B13" s="2" t="str">
        <x:v>5 мин</x:v>
      </x:c>
      <x:c r="C13" s="2" t="n">
        <x:f>COUNT('Покупки'!$A$8:$A$107)</x:f>
        <x:v>100</x:v>
      </x:c>
      <x:c r="D13" s="2" t="n">
        <x:f>COUNTIFS('Цены'!$B$8:$B$1007,300,'Цены'!$I$8:$I$1007,"Есть цена")</x:f>
        <x:v>18</x:v>
      </x:c>
      <x:c r="E13" s="2" t="n">
        <x:f>C13-D13-F13</x:f>
        <x:v>82</x:v>
      </x:c>
      <x:c r="F13" s="2" t="n">
        <x:f>COUNTIFS('Цены'!$B$8:$B$1007,300,'Цены'!$I$8:$I$1007,"Ещё рано")</x:f>
        <x:v>0</x:v>
      </x:c>
      <x:c r="G13" s="14" t="n">
        <x:f>IF(D13=0,"",AVERAGE('Цены'!G13,'Цены'!G23,'Цены'!G33,'Цены'!G43,'Цены'!G53,'Цены'!G63,'Цены'!G73,'Цены'!G83,'Цены'!G93,'Цены'!G103,'Цены'!G113,'Цены'!G123,'Цены'!G133,'Цены'!G143,'Цены'!G153,'Цены'!G163,'Цены'!G173,'Цены'!G183,'Цены'!G193,'Цены'!G203,'Цены'!G213,'Цены'!G223,'Цены'!G233,'Цены'!G243,'Цены'!G253,'Цены'!G263,'Цены'!G273,'Цены'!G283,'Цены'!G293,'Цены'!G303,'Цены'!G313,'Цены'!G323,'Цены'!G333,'Цены'!G343,'Цены'!G353,'Цены'!G363,'Цены'!G373,'Цены'!G383,'Цены'!G393,'Цены'!G403,'Цены'!G413,'Цены'!G423,'Цены'!G433,'Цены'!G443,'Цены'!G453,'Цены'!G463,'Цены'!G473,'Цены'!G483,'Цены'!G493,'Цены'!G503,'Цены'!G513,'Цены'!G523,'Цены'!G533,'Цены'!G543,'Цены'!G553,'Цены'!G563,'Цены'!G573,'Цены'!G583,'Цены'!G593,'Цены'!G603,'Цены'!G613,'Цены'!G623,'Цены'!G633,'Цены'!G643,'Цены'!G653,'Цены'!G663,'Цены'!G673,'Цены'!G683,'Цены'!G693,'Цены'!G703,'Цены'!G713,'Цены'!G723,'Цены'!G733,'Цены'!G743,'Цены'!G753,'Цены'!G763,'Цены'!G773,'Цены'!G783,'Цены'!G793,'Цены'!G803,'Цены'!G813,'Цены'!G823,'Цены'!G833,'Цены'!G843,'Цены'!G853,'Цены'!G863,'Цены'!G873,'Цены'!G883,'Цены'!G893,'Цены'!G903,'Цены'!G913,'Цены'!G923,'Цены'!G933,'Цены'!G943,'Цены'!G953,'Цены'!G963,'Цены'!G973,'Цены'!G983,'Цены'!G993,'Цены'!G1003))</x:f>
        <x:v>0.3823299540496047</x:v>
      </x:c>
      <x:c r="H13" s="14" t="n">
        <x:f>IF(D13=0,"",MEDIAN('Цены'!G13,'Цены'!G23,'Цены'!G33,'Цены'!G43,'Цены'!G53,'Цены'!G63,'Цены'!G73,'Цены'!G83,'Цены'!G93,'Цены'!G103,'Цены'!G113,'Цены'!G123,'Цены'!G133,'Цены'!G143,'Цены'!G153,'Цены'!G163,'Цены'!G173,'Цены'!G183,'Цены'!G193,'Цены'!G203,'Цены'!G213,'Цены'!G223,'Цены'!G233,'Цены'!G243,'Цены'!G253,'Цены'!G263,'Цены'!G273,'Цены'!G283,'Цены'!G293,'Цены'!G303,'Цены'!G313,'Цены'!G323,'Цены'!G333,'Цены'!G343,'Цены'!G353,'Цены'!G363,'Цены'!G373,'Цены'!G383,'Цены'!G393,'Цены'!G403,'Цены'!G413,'Цены'!G423,'Цены'!G433,'Цены'!G443,'Цены'!G453,'Цены'!G463,'Цены'!G473,'Цены'!G483,'Цены'!G493,'Цены'!G503,'Цены'!G513,'Цены'!G523,'Цены'!G533,'Цены'!G543,'Цены'!G553,'Цены'!G563,'Цены'!G573,'Цены'!G583,'Цены'!G593,'Цены'!G603,'Цены'!G613,'Цены'!G623,'Цены'!G633,'Цены'!G643,'Цены'!G653,'Цены'!G663,'Цены'!G673,'Цены'!G683,'Цены'!G693,'Цены'!G703,'Цены'!G713,'Цены'!G723,'Цены'!G733,'Цены'!G743,'Цены'!G753,'Цены'!G763,'Цены'!G773,'Цены'!G783,'Цены'!G793,'Цены'!G803,'Цены'!G813,'Цены'!G823,'Цены'!G833,'Цены'!G843,'Цены'!G853,'Цены'!G863,'Цены'!G873,'Цены'!G883,'Цены'!G893,'Цены'!G903,'Цены'!G913,'Цены'!G923,'Цены'!G933,'Цены'!G943,'Цены'!G953,'Цены'!G963,'Цены'!G973,'Цены'!G983,'Цены'!G993,'Цены'!G1003))</x:f>
        <x:v>0.08536470480864122</x:v>
      </x:c>
      <x:c r="I13" s="14" t="n">
        <x:f>IF(D13=0,"",COUNTIFS('Цены'!$B$8:$B$1007,300,'Цены'!$I$8:$I$1007,"Есть цена",'Цены'!$G$8:$G$1007,"&gt;0")/D13)</x:f>
        <x:v>0.6111111111111112</x:v>
      </x:c>
      <x:c r="J13" s="14" t="n">
        <x:f>IF(D13=0,"",COUNTIFS('Цены'!$B$8:$B$1007,300,'Цены'!$I$8:$I$1007,"Есть цена",'Цены'!$G$8:$G$1007,"&gt;=0.05")/D13)</x:f>
        <x:v>0.5555555555555556</x:v>
      </x:c>
      <x:c r="K13" s="14" t="n">
        <x:f>IF(D13=0,"",MIN('Цены'!G13,'Цены'!G23,'Цены'!G33,'Цены'!G43,'Цены'!G53,'Цены'!G63,'Цены'!G73,'Цены'!G83,'Цены'!G93,'Цены'!G103,'Цены'!G113,'Цены'!G123,'Цены'!G133,'Цены'!G143,'Цены'!G153,'Цены'!G163,'Цены'!G173,'Цены'!G183,'Цены'!G193,'Цены'!G203,'Цены'!G213,'Цены'!G223,'Цены'!G233,'Цены'!G243,'Цены'!G253,'Цены'!G263,'Цены'!G273,'Цены'!G283,'Цены'!G293,'Цены'!G303,'Цены'!G313,'Цены'!G323,'Цены'!G333,'Цены'!G343,'Цены'!G353,'Цены'!G363,'Цены'!G373,'Цены'!G383,'Цены'!G393,'Цены'!G403,'Цены'!G413,'Цены'!G423,'Цены'!G433,'Цены'!G443,'Цены'!G453,'Цены'!G463,'Цены'!G473,'Цены'!G483,'Цены'!G493,'Цены'!G503,'Цены'!G513,'Цены'!G523,'Цены'!G533,'Цены'!G543,'Цены'!G553,'Цены'!G563,'Цены'!G573,'Цены'!G583,'Цены'!G593,'Цены'!G603,'Цены'!G613,'Цены'!G623,'Цены'!G633,'Цены'!G643,'Цены'!G653,'Цены'!G663,'Цены'!G673,'Цены'!G683,'Цены'!G693,'Цены'!G703,'Цены'!G713,'Цены'!G723,'Цены'!G733,'Цены'!G743,'Цены'!G753,'Цены'!G763,'Цены'!G773,'Цены'!G783,'Цены'!G793,'Цены'!G803,'Цены'!G813,'Цены'!G823,'Цены'!G833,'Цены'!G843,'Цены'!G853,'Цены'!G863,'Цены'!G873,'Цены'!G883,'Цены'!G893,'Цены'!G903,'Цены'!G913,'Цены'!G923,'Цены'!G933,'Цены'!G943,'Цены'!G953,'Цены'!G963,'Цены'!G973,'Цены'!G983,'Цены'!G993,'Цены'!G1003))</x:f>
        <x:v>-0.29853093180839163</x:v>
      </x:c>
      <x:c r="L13" s="14" t="n">
        <x:f>IF(D13=0,"",MAX('Цены'!G13,'Цены'!G23,'Цены'!G33,'Цены'!G43,'Цены'!G53,'Цены'!G63,'Цены'!G73,'Цены'!G83,'Цены'!G93,'Цены'!G103,'Цены'!G113,'Цены'!G123,'Цены'!G133,'Цены'!G143,'Цены'!G153,'Цены'!G163,'Цены'!G173,'Цены'!G183,'Цены'!G193,'Цены'!G203,'Цены'!G213,'Цены'!G223,'Цены'!G233,'Цены'!G243,'Цены'!G253,'Цены'!G263,'Цены'!G273,'Цены'!G283,'Цены'!G293,'Цены'!G303,'Цены'!G313,'Цены'!G323,'Цены'!G333,'Цены'!G343,'Цены'!G353,'Цены'!G363,'Цены'!G373,'Цены'!G383,'Цены'!G393,'Цены'!G403,'Цены'!G413,'Цены'!G423,'Цены'!G433,'Цены'!G443,'Цены'!G453,'Цены'!G463,'Цены'!G473,'Цены'!G483,'Цены'!G493,'Цены'!G503,'Цены'!G513,'Цены'!G523,'Цены'!G533,'Цены'!G543,'Цены'!G553,'Цены'!G563,'Цены'!G573,'Цены'!G583,'Цены'!G593,'Цены'!G603,'Цены'!G613,'Цены'!G623,'Цены'!G633,'Цены'!G643,'Цены'!G653,'Цены'!G663,'Цены'!G673,'Цены'!G683,'Цены'!G693,'Цены'!G703,'Цены'!G713,'Цены'!G723,'Цены'!G733,'Цены'!G743,'Цены'!G753,'Цены'!G763,'Цены'!G773,'Цены'!G783,'Цены'!G793,'Цены'!G803,'Цены'!G813,'Цены'!G823,'Цены'!G833,'Цены'!G843,'Цены'!G853,'Цены'!G863,'Цены'!G873,'Цены'!G883,'Цены'!G893,'Цены'!G903,'Цены'!G913,'Цены'!G923,'Цены'!G933,'Цены'!G943,'Цены'!G953,'Цены'!G963,'Цены'!G973,'Цены'!G983,'Цены'!G993,'Цены'!G1003))</x:f>
        <x:v>1.6452483339262347</x:v>
      </x:c>
    </x:row>
    <x:row r="14" ht="21" customHeight="1">
      <x:c r="A14" s="2" t="str">
        <x:v>Все</x:v>
      </x:c>
      <x:c r="B14" s="2" t="str">
        <x:v>15 мин</x:v>
      </x:c>
      <x:c r="C14" s="2" t="n">
        <x:f>COUNT('Покупки'!$A$8:$A$107)</x:f>
        <x:v>100</x:v>
      </x:c>
      <x:c r="D14" s="2" t="n">
        <x:f>COUNTIFS('Цены'!$B$8:$B$1007,900,'Цены'!$I$8:$I$1007,"Есть цена")</x:f>
        <x:v>14</x:v>
      </x:c>
      <x:c r="E14" s="2" t="n">
        <x:f>C14-D14-F14</x:f>
        <x:v>86</x:v>
      </x:c>
      <x:c r="F14" s="2" t="n">
        <x:f>COUNTIFS('Цены'!$B$8:$B$1007,900,'Цены'!$I$8:$I$1007,"Ещё рано")</x:f>
        <x:v>0</x:v>
      </x:c>
      <x:c r="G14" s="14" t="n">
        <x:f>IF(D14=0,"",AVERAGE('Цены'!G14,'Цены'!G24,'Цены'!G34,'Цены'!G44,'Цены'!G54,'Цены'!G64,'Цены'!G74,'Цены'!G84,'Цены'!G94,'Цены'!G104,'Цены'!G114,'Цены'!G124,'Цены'!G134,'Цены'!G144,'Цены'!G154,'Цены'!G164,'Цены'!G174,'Цены'!G184,'Цены'!G194,'Цены'!G204,'Цены'!G214,'Цены'!G224,'Цены'!G234,'Цены'!G244,'Цены'!G254,'Цены'!G264,'Цены'!G274,'Цены'!G284,'Цены'!G294,'Цены'!G304,'Цены'!G314,'Цены'!G324,'Цены'!G334,'Цены'!G344,'Цены'!G354,'Цены'!G364,'Цены'!G374,'Цены'!G384,'Цены'!G394,'Цены'!G404,'Цены'!G414,'Цены'!G424,'Цены'!G434,'Цены'!G444,'Цены'!G454,'Цены'!G464,'Цены'!G474,'Цены'!G484,'Цены'!G494,'Цены'!G504,'Цены'!G514,'Цены'!G524,'Цены'!G534,'Цены'!G544,'Цены'!G554,'Цены'!G564,'Цены'!G574,'Цены'!G584,'Цены'!G594,'Цены'!G604,'Цены'!G614,'Цены'!G624,'Цены'!G634,'Цены'!G644,'Цены'!G654,'Цены'!G664,'Цены'!G674,'Цены'!G684,'Цены'!G694,'Цены'!G704,'Цены'!G714,'Цены'!G724,'Цены'!G734,'Цены'!G744,'Цены'!G754,'Цены'!G764,'Цены'!G774,'Цены'!G784,'Цены'!G794,'Цены'!G804,'Цены'!G814,'Цены'!G824,'Цены'!G834,'Цены'!G844,'Цены'!G854,'Цены'!G864,'Цены'!G874,'Цены'!G884,'Цены'!G894,'Цены'!G904,'Цены'!G914,'Цены'!G924,'Цены'!G934,'Цены'!G944,'Цены'!G954,'Цены'!G964,'Цены'!G974,'Цены'!G984,'Цены'!G994,'Цены'!G1004))</x:f>
        <x:v>0.38753472529988836</x:v>
      </x:c>
      <x:c r="H14" s="14" t="n">
        <x:f>IF(D14=0,"",MEDIAN('Цены'!G14,'Цены'!G24,'Цены'!G34,'Цены'!G44,'Цены'!G54,'Цены'!G64,'Цены'!G74,'Цены'!G84,'Цены'!G94,'Цены'!G104,'Цены'!G114,'Цены'!G124,'Цены'!G134,'Цены'!G144,'Цены'!G154,'Цены'!G164,'Цены'!G174,'Цены'!G184,'Цены'!G194,'Цены'!G204,'Цены'!G214,'Цены'!G224,'Цены'!G234,'Цены'!G244,'Цены'!G254,'Цены'!G264,'Цены'!G274,'Цены'!G284,'Цены'!G294,'Цены'!G304,'Цены'!G314,'Цены'!G324,'Цены'!G334,'Цены'!G344,'Цены'!G354,'Цены'!G364,'Цены'!G374,'Цены'!G384,'Цены'!G394,'Цены'!G404,'Цены'!G414,'Цены'!G424,'Цены'!G434,'Цены'!G444,'Цены'!G454,'Цены'!G464,'Цены'!G474,'Цены'!G484,'Цены'!G494,'Цены'!G504,'Цены'!G514,'Цены'!G524,'Цены'!G534,'Цены'!G544,'Цены'!G554,'Цены'!G564,'Цены'!G574,'Цены'!G584,'Цены'!G594,'Цены'!G604,'Цены'!G614,'Цены'!G624,'Цены'!G634,'Цены'!G644,'Цены'!G654,'Цены'!G664,'Цены'!G674,'Цены'!G684,'Цены'!G694,'Цены'!G704,'Цены'!G714,'Цены'!G724,'Цены'!G734,'Цены'!G744,'Цены'!G754,'Цены'!G764,'Цены'!G774,'Цены'!G784,'Цены'!G794,'Цены'!G804,'Цены'!G814,'Цены'!G824,'Цены'!G834,'Цены'!G844,'Цены'!G854,'Цены'!G864,'Цены'!G874,'Цены'!G884,'Цены'!G894,'Цены'!G904,'Цены'!G914,'Цены'!G924,'Цены'!G934,'Цены'!G944,'Цены'!G954,'Цены'!G964,'Цены'!G974,'Цены'!G984,'Цены'!G994,'Цены'!G1004))</x:f>
        <x:v>0.1398172237583083</x:v>
      </x:c>
      <x:c r="I14" s="14" t="n">
        <x:f>IF(D14=0,"",COUNTIFS('Цены'!$B$8:$B$1007,900,'Цены'!$I$8:$I$1007,"Есть цена",'Цены'!$G$8:$G$1007,"&gt;0")/D14)</x:f>
        <x:v>0.6428571428571429</x:v>
      </x:c>
      <x:c r="J14" s="14" t="n">
        <x:f>IF(D14=0,"",COUNTIFS('Цены'!$B$8:$B$1007,900,'Цены'!$I$8:$I$1007,"Есть цена",'Цены'!$G$8:$G$1007,"&gt;=0.05")/D14)</x:f>
        <x:v>0.6428571428571429</x:v>
      </x:c>
      <x:c r="K14" s="14" t="n">
        <x:f>IF(D14=0,"",MIN('Цены'!G14,'Цены'!G24,'Цены'!G34,'Цены'!G44,'Цены'!G54,'Цены'!G64,'Цены'!G74,'Цены'!G84,'Цены'!G94,'Цены'!G104,'Цены'!G114,'Цены'!G124,'Цены'!G134,'Цены'!G144,'Цены'!G154,'Цены'!G164,'Цены'!G174,'Цены'!G184,'Цены'!G194,'Цены'!G204,'Цены'!G214,'Цены'!G224,'Цены'!G234,'Цены'!G244,'Цены'!G254,'Цены'!G264,'Цены'!G274,'Цены'!G284,'Цены'!G294,'Цены'!G304,'Цены'!G314,'Цены'!G324,'Цены'!G334,'Цены'!G344,'Цены'!G354,'Цены'!G364,'Цены'!G374,'Цены'!G384,'Цены'!G394,'Цены'!G404,'Цены'!G414,'Цены'!G424,'Цены'!G434,'Цены'!G444,'Цены'!G454,'Цены'!G464,'Цены'!G474,'Цены'!G484,'Цены'!G494,'Цены'!G504,'Цены'!G514,'Цены'!G524,'Цены'!G534,'Цены'!G544,'Цены'!G554,'Цены'!G564,'Цены'!G574,'Цены'!G584,'Цены'!G594,'Цены'!G604,'Цены'!G614,'Цены'!G624,'Цены'!G634,'Цены'!G644,'Цены'!G654,'Цены'!G664,'Цены'!G674,'Цены'!G684,'Цены'!G694,'Цены'!G704,'Цены'!G714,'Цены'!G724,'Цены'!G734,'Цены'!G744,'Цены'!G754,'Цены'!G764,'Цены'!G774,'Цены'!G784,'Цены'!G794,'Цены'!G804,'Цены'!G814,'Цены'!G824,'Цены'!G834,'Цены'!G844,'Цены'!G854,'Цены'!G864,'Цены'!G874,'Цены'!G884,'Цены'!G894,'Цены'!G904,'Цены'!G914,'Цены'!G924,'Цены'!G934,'Цены'!G944,'Цены'!G954,'Цены'!G964,'Цены'!G974,'Цены'!G984,'Цены'!G994,'Цены'!G1004))</x:f>
        <x:v>-0.10145030135187016</x:v>
      </x:c>
      <x:c r="L14" s="14" t="n">
        <x:f>IF(D14=0,"",MAX('Цены'!G14,'Цены'!G24,'Цены'!G34,'Цены'!G44,'Цены'!G54,'Цены'!G64,'Цены'!G74,'Цены'!G84,'Цены'!G94,'Цены'!G104,'Цены'!G114,'Цены'!G124,'Цены'!G134,'Цены'!G144,'Цены'!G154,'Цены'!G164,'Цены'!G174,'Цены'!G184,'Цены'!G194,'Цены'!G204,'Цены'!G214,'Цены'!G224,'Цены'!G234,'Цены'!G244,'Цены'!G254,'Цены'!G264,'Цены'!G274,'Цены'!G284,'Цены'!G294,'Цены'!G304,'Цены'!G314,'Цены'!G324,'Цены'!G334,'Цены'!G344,'Цены'!G354,'Цены'!G364,'Цены'!G374,'Цены'!G384,'Цены'!G394,'Цены'!G404,'Цены'!G414,'Цены'!G424,'Цены'!G434,'Цены'!G444,'Цены'!G454,'Цены'!G464,'Цены'!G474,'Цены'!G484,'Цены'!G494,'Цены'!G504,'Цены'!G514,'Цены'!G524,'Цены'!G534,'Цены'!G544,'Цены'!G554,'Цены'!G564,'Цены'!G574,'Цены'!G584,'Цены'!G594,'Цены'!G604,'Цены'!G614,'Цены'!G624,'Цены'!G634,'Цены'!G644,'Цены'!G654,'Цены'!G664,'Цены'!G674,'Цены'!G684,'Цены'!G694,'Цены'!G704,'Цены'!G714,'Цены'!G724,'Цены'!G734,'Цены'!G744,'Цены'!G754,'Цены'!G764,'Цены'!G774,'Цены'!G784,'Цены'!G794,'Цены'!G804,'Цены'!G814,'Цены'!G824,'Цены'!G834,'Цены'!G844,'Цены'!G854,'Цены'!G864,'Цены'!G874,'Цены'!G884,'Цены'!G894,'Цены'!G904,'Цены'!G914,'Цены'!G924,'Цены'!G934,'Цены'!G944,'Цены'!G954,'Цены'!G964,'Цены'!G974,'Цены'!G984,'Цены'!G994,'Цены'!G1004))</x:f>
        <x:v>1.519005399037789</x:v>
      </x:c>
    </x:row>
    <x:row r="15" ht="21" customHeight="1">
      <x:c r="A15" s="2" t="str">
        <x:v>Все</x:v>
      </x:c>
      <x:c r="B15" s="2" t="str">
        <x:v>1 ч</x:v>
      </x:c>
      <x:c r="C15" s="2" t="n">
        <x:f>COUNT('Покупки'!$A$8:$A$107)</x:f>
        <x:v>100</x:v>
      </x:c>
      <x:c r="D15" s="2" t="n">
        <x:f>COUNTIFS('Цены'!$B$8:$B$1007,3600,'Цены'!$I$8:$I$1007,"Есть цена")</x:f>
        <x:v>17</x:v>
      </x:c>
      <x:c r="E15" s="2" t="n">
        <x:f>C15-D15-F15</x:f>
        <x:v>83</x:v>
      </x:c>
      <x:c r="F15" s="2" t="n">
        <x:f>COUNTIFS('Цены'!$B$8:$B$1007,3600,'Цены'!$I$8:$I$1007,"Ещё рано")</x:f>
        <x:v>0</x:v>
      </x:c>
      <x:c r="G15" s="14" t="n">
        <x:f>IF(D15=0,"",AVERAGE('Цены'!G15,'Цены'!G25,'Цены'!G35,'Цены'!G45,'Цены'!G55,'Цены'!G65,'Цены'!G75,'Цены'!G85,'Цены'!G95,'Цены'!G105,'Цены'!G115,'Цены'!G125,'Цены'!G135,'Цены'!G145,'Цены'!G155,'Цены'!G165,'Цены'!G175,'Цены'!G185,'Цены'!G195,'Цены'!G205,'Цены'!G215,'Цены'!G225,'Цены'!G235,'Цены'!G245,'Цены'!G255,'Цены'!G265,'Цены'!G275,'Цены'!G285,'Цены'!G295,'Цены'!G305,'Цены'!G315,'Цены'!G325,'Цены'!G335,'Цены'!G345,'Цены'!G355,'Цены'!G365,'Цены'!G375,'Цены'!G385,'Цены'!G395,'Цены'!G405,'Цены'!G415,'Цены'!G425,'Цены'!G435,'Цены'!G445,'Цены'!G455,'Цены'!G465,'Цены'!G475,'Цены'!G485,'Цены'!G495,'Цены'!G505,'Цены'!G515,'Цены'!G525,'Цены'!G535,'Цены'!G545,'Цены'!G555,'Цены'!G565,'Цены'!G575,'Цены'!G585,'Цены'!G595,'Цены'!G605,'Цены'!G615,'Цены'!G625,'Цены'!G635,'Цены'!G645,'Цены'!G655,'Цены'!G665,'Цены'!G675,'Цены'!G685,'Цены'!G695,'Цены'!G705,'Цены'!G715,'Цены'!G725,'Цены'!G735,'Цены'!G745,'Цены'!G755,'Цены'!G765,'Цены'!G775,'Цены'!G785,'Цены'!G795,'Цены'!G805,'Цены'!G815,'Цены'!G825,'Цены'!G835,'Цены'!G845,'Цены'!G855,'Цены'!G865,'Цены'!G875,'Цены'!G885,'Цены'!G895,'Цены'!G905,'Цены'!G915,'Цены'!G925,'Цены'!G935,'Цены'!G945,'Цены'!G955,'Цены'!G965,'Цены'!G975,'Цены'!G985,'Цены'!G995,'Цены'!G1005))</x:f>
        <x:v>0.36547406863304344</x:v>
      </x:c>
      <x:c r="H15" s="14" t="n">
        <x:f>IF(D15=0,"",MEDIAN('Цены'!G15,'Цены'!G25,'Цены'!G35,'Цены'!G45,'Цены'!G55,'Цены'!G65,'Цены'!G75,'Цены'!G85,'Цены'!G95,'Цены'!G105,'Цены'!G115,'Цены'!G125,'Цены'!G135,'Цены'!G145,'Цены'!G155,'Цены'!G165,'Цены'!G175,'Цены'!G185,'Цены'!G195,'Цены'!G205,'Цены'!G215,'Цены'!G225,'Цены'!G235,'Цены'!G245,'Цены'!G255,'Цены'!G265,'Цены'!G275,'Цены'!G285,'Цены'!G295,'Цены'!G305,'Цены'!G315,'Цены'!G325,'Цены'!G335,'Цены'!G345,'Цены'!G355,'Цены'!G365,'Цены'!G375,'Цены'!G385,'Цены'!G395,'Цены'!G405,'Цены'!G415,'Цены'!G425,'Цены'!G435,'Цены'!G445,'Цены'!G455,'Цены'!G465,'Цены'!G475,'Цены'!G485,'Цены'!G495,'Цены'!G505,'Цены'!G515,'Цены'!G525,'Цены'!G535,'Цены'!G545,'Цены'!G555,'Цены'!G565,'Цены'!G575,'Цены'!G585,'Цены'!G595,'Цены'!G605,'Цены'!G615,'Цены'!G625,'Цены'!G635,'Цены'!G645,'Цены'!G655,'Цены'!G665,'Цены'!G675,'Цены'!G685,'Цены'!G695,'Цены'!G705,'Цены'!G715,'Цены'!G725,'Цены'!G735,'Цены'!G745,'Цены'!G755,'Цены'!G765,'Цены'!G775,'Цены'!G785,'Цены'!G795,'Цены'!G805,'Цены'!G815,'Цены'!G825,'Цены'!G835,'Цены'!G845,'Цены'!G855,'Цены'!G865,'Цены'!G875,'Цены'!G885,'Цены'!G895,'Цены'!G905,'Цены'!G915,'Цены'!G925,'Цены'!G935,'Цены'!G945,'Цены'!G955,'Цены'!G965,'Цены'!G975,'Цены'!G985,'Цены'!G995,'Цены'!G1005))</x:f>
        <x:v>0.09337791594226652</x:v>
      </x:c>
      <x:c r="I15" s="14" t="n">
        <x:f>IF(D15=0,"",COUNTIFS('Цены'!$B$8:$B$1007,3600,'Цены'!$I$8:$I$1007,"Есть цена",'Цены'!$G$8:$G$1007,"&gt;0")/D15)</x:f>
        <x:v>0.6470588235294118</x:v>
      </x:c>
      <x:c r="J15" s="14" t="n">
        <x:f>IF(D15=0,"",COUNTIFS('Цены'!$B$8:$B$1007,3600,'Цены'!$I$8:$I$1007,"Есть цена",'Цены'!$G$8:$G$1007,"&gt;=0.05")/D15)</x:f>
        <x:v>0.6470588235294118</x:v>
      </x:c>
      <x:c r="K15" s="14" t="n">
        <x:f>IF(D15=0,"",MIN('Цены'!G15,'Цены'!G25,'Цены'!G35,'Цены'!G45,'Цены'!G55,'Цены'!G65,'Цены'!G75,'Цены'!G85,'Цены'!G95,'Цены'!G105,'Цены'!G115,'Цены'!G125,'Цены'!G135,'Цены'!G145,'Цены'!G155,'Цены'!G165,'Цены'!G175,'Цены'!G185,'Цены'!G195,'Цены'!G205,'Цены'!G215,'Цены'!G225,'Цены'!G235,'Цены'!G245,'Цены'!G255,'Цены'!G265,'Цены'!G275,'Цены'!G285,'Цены'!G295,'Цены'!G305,'Цены'!G315,'Цены'!G325,'Цены'!G335,'Цены'!G345,'Цены'!G355,'Цены'!G365,'Цены'!G375,'Цены'!G385,'Цены'!G395,'Цены'!G405,'Цены'!G415,'Цены'!G425,'Цены'!G435,'Цены'!G445,'Цены'!G455,'Цены'!G465,'Цены'!G475,'Цены'!G485,'Цены'!G495,'Цены'!G505,'Цены'!G515,'Цены'!G525,'Цены'!G535,'Цены'!G545,'Цены'!G555,'Цены'!G565,'Цены'!G575,'Цены'!G585,'Цены'!G595,'Цены'!G605,'Цены'!G615,'Цены'!G625,'Цены'!G635,'Цены'!G645,'Цены'!G655,'Цены'!G665,'Цены'!G675,'Цены'!G685,'Цены'!G695,'Цены'!G705,'Цены'!G715,'Цены'!G725,'Цены'!G735,'Цены'!G745,'Цены'!G755,'Цены'!G765,'Цены'!G775,'Цены'!G785,'Цены'!G795,'Цены'!G805,'Цены'!G815,'Цены'!G825,'Цены'!G835,'Цены'!G845,'Цены'!G855,'Цены'!G865,'Цены'!G875,'Цены'!G885,'Цены'!G895,'Цены'!G905,'Цены'!G915,'Цены'!G925,'Цены'!G935,'Цены'!G945,'Цены'!G955,'Цены'!G965,'Цены'!G975,'Цены'!G985,'Цены'!G995,'Цены'!G1005))</x:f>
        <x:v>-0.11083264966584727</x:v>
      </x:c>
      <x:c r="L15" s="14" t="n">
        <x:f>IF(D15=0,"",MAX('Цены'!G15,'Цены'!G25,'Цены'!G35,'Цены'!G45,'Цены'!G55,'Цены'!G65,'Цены'!G75,'Цены'!G85,'Цены'!G95,'Цены'!G105,'Цены'!G115,'Цены'!G125,'Цены'!G135,'Цены'!G145,'Цены'!G155,'Цены'!G165,'Цены'!G175,'Цены'!G185,'Цены'!G195,'Цены'!G205,'Цены'!G215,'Цены'!G225,'Цены'!G235,'Цены'!G245,'Цены'!G255,'Цены'!G265,'Цены'!G275,'Цены'!G285,'Цены'!G295,'Цены'!G305,'Цены'!G315,'Цены'!G325,'Цены'!G335,'Цены'!G345,'Цены'!G355,'Цены'!G365,'Цены'!G375,'Цены'!G385,'Цены'!G395,'Цены'!G405,'Цены'!G415,'Цены'!G425,'Цены'!G435,'Цены'!G445,'Цены'!G455,'Цены'!G465,'Цены'!G475,'Цены'!G485,'Цены'!G495,'Цены'!G505,'Цены'!G515,'Цены'!G525,'Цены'!G535,'Цены'!G545,'Цены'!G555,'Цены'!G565,'Цены'!G575,'Цены'!G585,'Цены'!G595,'Цены'!G605,'Цены'!G615,'Цены'!G625,'Цены'!G635,'Цены'!G645,'Цены'!G655,'Цены'!G665,'Цены'!G675,'Цены'!G685,'Цены'!G695,'Цены'!G705,'Цены'!G715,'Цены'!G725,'Цены'!G735,'Цены'!G745,'Цены'!G755,'Цены'!G765,'Цены'!G775,'Цены'!G785,'Цены'!G795,'Цены'!G805,'Цены'!G815,'Цены'!G825,'Цены'!G835,'Цены'!G845,'Цены'!G855,'Цены'!G865,'Цены'!G875,'Цены'!G885,'Цены'!G895,'Цены'!G905,'Цены'!G915,'Цены'!G925,'Цены'!G935,'Цены'!G945,'Цены'!G955,'Цены'!G965,'Цены'!G975,'Цены'!G985,'Цены'!G995,'Цены'!G1005))</x:f>
        <x:v>3.0794535623302046</x:v>
      </x:c>
    </x:row>
    <x:row r="16" ht="21" customHeight="1">
      <x:c r="A16" s="2" t="str">
        <x:v>Все</x:v>
      </x:c>
      <x:c r="B16" s="2" t="str">
        <x:v>6 ч</x:v>
      </x:c>
      <x:c r="C16" s="2" t="n">
        <x:f>COUNT('Покупки'!$A$8:$A$107)</x:f>
        <x:v>100</x:v>
      </x:c>
      <x:c r="D16" s="2" t="n">
        <x:f>COUNTIFS('Цены'!$B$8:$B$1007,21600,'Цены'!$I$8:$I$1007,"Есть цена")</x:f>
        <x:v>1</x:v>
      </x:c>
      <x:c r="E16" s="2" t="n">
        <x:f>C16-D16-F16</x:f>
        <x:v>75</x:v>
      </x:c>
      <x:c r="F16" s="2" t="n">
        <x:f>COUNTIFS('Цены'!$B$8:$B$1007,21600,'Цены'!$I$8:$I$1007,"Ещё рано")</x:f>
        <x:v>24</x:v>
      </x:c>
      <x:c r="G16" s="14" t="n">
        <x:f>IF(D16=0,"",AVERAGE('Цены'!G16,'Цены'!G26,'Цены'!G36,'Цены'!G46,'Цены'!G56,'Цены'!G66,'Цены'!G76,'Цены'!G86,'Цены'!G96,'Цены'!G106,'Цены'!G116,'Цены'!G126,'Цены'!G136,'Цены'!G146,'Цены'!G156,'Цены'!G166,'Цены'!G176,'Цены'!G186,'Цены'!G196,'Цены'!G206,'Цены'!G216,'Цены'!G226,'Цены'!G236,'Цены'!G246,'Цены'!G256,'Цены'!G266,'Цены'!G276,'Цены'!G286,'Цены'!G296,'Цены'!G306,'Цены'!G316,'Цены'!G326,'Цены'!G336,'Цены'!G346,'Цены'!G356,'Цены'!G366,'Цены'!G376,'Цены'!G386,'Цены'!G396,'Цены'!G406,'Цены'!G416,'Цены'!G426,'Цены'!G436,'Цены'!G446,'Цены'!G456,'Цены'!G466,'Цены'!G476,'Цены'!G486,'Цены'!G496,'Цены'!G506,'Цены'!G516,'Цены'!G526,'Цены'!G536,'Цены'!G546,'Цены'!G556,'Цены'!G566,'Цены'!G576,'Цены'!G586,'Цены'!G596,'Цены'!G606,'Цены'!G616,'Цены'!G626,'Цены'!G636,'Цены'!G646,'Цены'!G656,'Цены'!G666,'Цены'!G676,'Цены'!G686,'Цены'!G696,'Цены'!G706,'Цены'!G716,'Цены'!G726,'Цены'!G736,'Цены'!G746,'Цены'!G756,'Цены'!G766,'Цены'!G776,'Цены'!G786,'Цены'!G796,'Цены'!G806,'Цены'!G816,'Цены'!G826,'Цены'!G836,'Цены'!G846,'Цены'!G856,'Цены'!G866,'Цены'!G876,'Цены'!G886,'Цены'!G896,'Цены'!G906,'Цены'!G916,'Цены'!G926,'Цены'!G936,'Цены'!G946,'Цены'!G956,'Цены'!G966,'Цены'!G976,'Цены'!G986,'Цены'!G996,'Цены'!G1006))</x:f>
        <x:v>0.7221498734517551</x:v>
      </x:c>
      <x:c r="H16" s="14" t="n">
        <x:f>IF(D16=0,"",MEDIAN('Цены'!G16,'Цены'!G26,'Цены'!G36,'Цены'!G46,'Цены'!G56,'Цены'!G66,'Цены'!G76,'Цены'!G86,'Цены'!G96,'Цены'!G106,'Цены'!G116,'Цены'!G126,'Цены'!G136,'Цены'!G146,'Цены'!G156,'Цены'!G166,'Цены'!G176,'Цены'!G186,'Цены'!G196,'Цены'!G206,'Цены'!G216,'Цены'!G226,'Цены'!G236,'Цены'!G246,'Цены'!G256,'Цены'!G266,'Цены'!G276,'Цены'!G286,'Цены'!G296,'Цены'!G306,'Цены'!G316,'Цены'!G326,'Цены'!G336,'Цены'!G346,'Цены'!G356,'Цены'!G366,'Цены'!G376,'Цены'!G386,'Цены'!G396,'Цены'!G406,'Цены'!G416,'Цены'!G426,'Цены'!G436,'Цены'!G446,'Цены'!G456,'Цены'!G466,'Цены'!G476,'Цены'!G486,'Цены'!G496,'Цены'!G506,'Цены'!G516,'Цены'!G526,'Цены'!G536,'Цены'!G546,'Цены'!G556,'Цены'!G566,'Цены'!G576,'Цены'!G586,'Цены'!G596,'Цены'!G606,'Цены'!G616,'Цены'!G626,'Цены'!G636,'Цены'!G646,'Цены'!G656,'Цены'!G666,'Цены'!G676,'Цены'!G686,'Цены'!G696,'Цены'!G706,'Цены'!G716,'Цены'!G726,'Цены'!G736,'Цены'!G746,'Цены'!G756,'Цены'!G766,'Цены'!G776,'Цены'!G786,'Цены'!G796,'Цены'!G806,'Цены'!G816,'Цены'!G826,'Цены'!G836,'Цены'!G846,'Цены'!G856,'Цены'!G866,'Цены'!G876,'Цены'!G886,'Цены'!G896,'Цены'!G906,'Цены'!G916,'Цены'!G926,'Цены'!G936,'Цены'!G946,'Цены'!G956,'Цены'!G966,'Цены'!G976,'Цены'!G986,'Цены'!G996,'Цены'!G1006))</x:f>
        <x:v>0.7221498734517551</x:v>
      </x:c>
      <x:c r="I16" s="14" t="n">
        <x:f>IF(D16=0,"",COUNTIFS('Цены'!$B$8:$B$1007,21600,'Цены'!$I$8:$I$1007,"Есть цена",'Цены'!$G$8:$G$1007,"&gt;0")/D16)</x:f>
        <x:v>1</x:v>
      </x:c>
      <x:c r="J16" s="14" t="n">
        <x:f>IF(D16=0,"",COUNTIFS('Цены'!$B$8:$B$1007,21600,'Цены'!$I$8:$I$1007,"Есть цена",'Цены'!$G$8:$G$1007,"&gt;=0.05")/D16)</x:f>
        <x:v>1</x:v>
      </x:c>
      <x:c r="K16" s="14" t="n">
        <x:f>IF(D16=0,"",MIN('Цены'!G16,'Цены'!G26,'Цены'!G36,'Цены'!G46,'Цены'!G56,'Цены'!G66,'Цены'!G76,'Цены'!G86,'Цены'!G96,'Цены'!G106,'Цены'!G116,'Цены'!G126,'Цены'!G136,'Цены'!G146,'Цены'!G156,'Цены'!G166,'Цены'!G176,'Цены'!G186,'Цены'!G196,'Цены'!G206,'Цены'!G216,'Цены'!G226,'Цены'!G236,'Цены'!G246,'Цены'!G256,'Цены'!G266,'Цены'!G276,'Цены'!G286,'Цены'!G296,'Цены'!G306,'Цены'!G316,'Цены'!G326,'Цены'!G336,'Цены'!G346,'Цены'!G356,'Цены'!G366,'Цены'!G376,'Цены'!G386,'Цены'!G396,'Цены'!G406,'Цены'!G416,'Цены'!G426,'Цены'!G436,'Цены'!G446,'Цены'!G456,'Цены'!G466,'Цены'!G476,'Цены'!G486,'Цены'!G496,'Цены'!G506,'Цены'!G516,'Цены'!G526,'Цены'!G536,'Цены'!G546,'Цены'!G556,'Цены'!G566,'Цены'!G576,'Цены'!G586,'Цены'!G596,'Цены'!G606,'Цены'!G616,'Цены'!G626,'Цены'!G636,'Цены'!G646,'Цены'!G656,'Цены'!G666,'Цены'!G676,'Цены'!G686,'Цены'!G696,'Цены'!G706,'Цены'!G716,'Цены'!G726,'Цены'!G736,'Цены'!G746,'Цены'!G756,'Цены'!G766,'Цены'!G776,'Цены'!G786,'Цены'!G796,'Цены'!G806,'Цены'!G816,'Цены'!G826,'Цены'!G836,'Цены'!G846,'Цены'!G856,'Цены'!G866,'Цены'!G876,'Цены'!G886,'Цены'!G896,'Цены'!G906,'Цены'!G916,'Цены'!G926,'Цены'!G936,'Цены'!G946,'Цены'!G956,'Цены'!G966,'Цены'!G976,'Цены'!G986,'Цены'!G996,'Цены'!G1006))</x:f>
        <x:v>0.7221498734517551</x:v>
      </x:c>
      <x:c r="L16" s="14" t="n">
        <x:f>IF(D16=0,"",MAX('Цены'!G16,'Цены'!G26,'Цены'!G36,'Цены'!G46,'Цены'!G56,'Цены'!G66,'Цены'!G76,'Цены'!G86,'Цены'!G96,'Цены'!G106,'Цены'!G116,'Цены'!G126,'Цены'!G136,'Цены'!G146,'Цены'!G156,'Цены'!G166,'Цены'!G176,'Цены'!G186,'Цены'!G196,'Цены'!G206,'Цены'!G216,'Цены'!G226,'Цены'!G236,'Цены'!G246,'Цены'!G256,'Цены'!G266,'Цены'!G276,'Цены'!G286,'Цены'!G296,'Цены'!G306,'Цены'!G316,'Цены'!G326,'Цены'!G336,'Цены'!G346,'Цены'!G356,'Цены'!G366,'Цены'!G376,'Цены'!G386,'Цены'!G396,'Цены'!G406,'Цены'!G416,'Цены'!G426,'Цены'!G436,'Цены'!G446,'Цены'!G456,'Цены'!G466,'Цены'!G476,'Цены'!G486,'Цены'!G496,'Цены'!G506,'Цены'!G516,'Цены'!G526,'Цены'!G536,'Цены'!G546,'Цены'!G556,'Цены'!G566,'Цены'!G576,'Цены'!G586,'Цены'!G596,'Цены'!G606,'Цены'!G616,'Цены'!G626,'Цены'!G636,'Цены'!G646,'Цены'!G656,'Цены'!G666,'Цены'!G676,'Цены'!G686,'Цены'!G696,'Цены'!G706,'Цены'!G716,'Цены'!G726,'Цены'!G736,'Цены'!G746,'Цены'!G756,'Цены'!G766,'Цены'!G776,'Цены'!G786,'Цены'!G796,'Цены'!G806,'Цены'!G816,'Цены'!G826,'Цены'!G836,'Цены'!G846,'Цены'!G856,'Цены'!G866,'Цены'!G876,'Цены'!G886,'Цены'!G896,'Цены'!G906,'Цены'!G916,'Цены'!G926,'Цены'!G936,'Цены'!G946,'Цены'!G956,'Цены'!G966,'Цены'!G976,'Цены'!G986,'Цены'!G996,'Цены'!G1006))</x:f>
        <x:v>0.7221498734517551</x:v>
      </x:c>
    </x:row>
    <x:row r="17" ht="21" customHeight="1">
      <x:c r="A17" s="2" t="str">
        <x:v>Все</x:v>
      </x:c>
      <x:c r="B17" s="2" t="str">
        <x:v>24 ч</x:v>
      </x:c>
      <x:c r="C17" s="2" t="n">
        <x:f>COUNT('Покупки'!$A$8:$A$107)</x:f>
        <x:v>100</x:v>
      </x:c>
      <x:c r="D17" s="2" t="n">
        <x:f>COUNTIFS('Цены'!$B$8:$B$1007,86400,'Цены'!$I$8:$I$1007,"Есть цена")</x:f>
        <x:v>1</x:v>
      </x:c>
      <x:c r="E17" s="2" t="n">
        <x:f>C17-D17-F17</x:f>
        <x:v>57</x:v>
      </x:c>
      <x:c r="F17" s="2" t="n">
        <x:f>COUNTIFS('Цены'!$B$8:$B$1007,86400,'Цены'!$I$8:$I$1007,"Ещё рано")</x:f>
        <x:v>42</x:v>
      </x:c>
      <x:c r="G17" s="14" t="n">
        <x:f>IF(D17=0,"",AVERAGE('Цены'!G17,'Цены'!G27,'Цены'!G37,'Цены'!G47,'Цены'!G57,'Цены'!G67,'Цены'!G77,'Цены'!G87,'Цены'!G97,'Цены'!G107,'Цены'!G117,'Цены'!G127,'Цены'!G137,'Цены'!G147,'Цены'!G157,'Цены'!G167,'Цены'!G177,'Цены'!G187,'Цены'!G197,'Цены'!G207,'Цены'!G217,'Цены'!G227,'Цены'!G237,'Цены'!G247,'Цены'!G257,'Цены'!G267,'Цены'!G277,'Цены'!G287,'Цены'!G297,'Цены'!G307,'Цены'!G317,'Цены'!G327,'Цены'!G337,'Цены'!G347,'Цены'!G357,'Цены'!G367,'Цены'!G377,'Цены'!G387,'Цены'!G397,'Цены'!G407,'Цены'!G417,'Цены'!G427,'Цены'!G437,'Цены'!G447,'Цены'!G457,'Цены'!G467,'Цены'!G477,'Цены'!G487,'Цены'!G497,'Цены'!G507,'Цены'!G517,'Цены'!G527,'Цены'!G537,'Цены'!G547,'Цены'!G557,'Цены'!G567,'Цены'!G577,'Цены'!G587,'Цены'!G597,'Цены'!G607,'Цены'!G617,'Цены'!G627,'Цены'!G637,'Цены'!G647,'Цены'!G657,'Цены'!G667,'Цены'!G677,'Цены'!G687,'Цены'!G697,'Цены'!G707,'Цены'!G717,'Цены'!G727,'Цены'!G737,'Цены'!G747,'Цены'!G757,'Цены'!G767,'Цены'!G777,'Цены'!G787,'Цены'!G797,'Цены'!G807,'Цены'!G817,'Цены'!G827,'Цены'!G837,'Цены'!G847,'Цены'!G857,'Цены'!G867,'Цены'!G877,'Цены'!G887,'Цены'!G897,'Цены'!G907,'Цены'!G917,'Цены'!G927,'Цены'!G937,'Цены'!G947,'Цены'!G957,'Цены'!G967,'Цены'!G977,'Цены'!G987,'Цены'!G997,'Цены'!G1007))</x:f>
        <x:v>0.4184491358719018</x:v>
      </x:c>
      <x:c r="H17" s="14" t="n">
        <x:f>IF(D17=0,"",MEDIAN('Цены'!G17,'Цены'!G27,'Цены'!G37,'Цены'!G47,'Цены'!G57,'Цены'!G67,'Цены'!G77,'Цены'!G87,'Цены'!G97,'Цены'!G107,'Цены'!G117,'Цены'!G127,'Цены'!G137,'Цены'!G147,'Цены'!G157,'Цены'!G167,'Цены'!G177,'Цены'!G187,'Цены'!G197,'Цены'!G207,'Цены'!G217,'Цены'!G227,'Цены'!G237,'Цены'!G247,'Цены'!G257,'Цены'!G267,'Цены'!G277,'Цены'!G287,'Цены'!G297,'Цены'!G307,'Цены'!G317,'Цены'!G327,'Цены'!G337,'Цены'!G347,'Цены'!G357,'Цены'!G367,'Цены'!G377,'Цены'!G387,'Цены'!G397,'Цены'!G407,'Цены'!G417,'Цены'!G427,'Цены'!G437,'Цены'!G447,'Цены'!G457,'Цены'!G467,'Цены'!G477,'Цены'!G487,'Цены'!G497,'Цены'!G507,'Цены'!G517,'Цены'!G527,'Цены'!G537,'Цены'!G547,'Цены'!G557,'Цены'!G567,'Цены'!G577,'Цены'!G587,'Цены'!G597,'Цены'!G607,'Цены'!G617,'Цены'!G627,'Цены'!G637,'Цены'!G647,'Цены'!G657,'Цены'!G667,'Цены'!G677,'Цены'!G687,'Цены'!G697,'Цены'!G707,'Цены'!G717,'Цены'!G727,'Цены'!G737,'Цены'!G747,'Цены'!G757,'Цены'!G767,'Цены'!G777,'Цены'!G787,'Цены'!G797,'Цены'!G807,'Цены'!G817,'Цены'!G827,'Цены'!G837,'Цены'!G847,'Цены'!G857,'Цены'!G867,'Цены'!G877,'Цены'!G887,'Цены'!G897,'Цены'!G907,'Цены'!G917,'Цены'!G927,'Цены'!G937,'Цены'!G947,'Цены'!G957,'Цены'!G967,'Цены'!G977,'Цены'!G987,'Цены'!G997,'Цены'!G1007))</x:f>
        <x:v>0.4184491358719018</x:v>
      </x:c>
      <x:c r="I17" s="14" t="n">
        <x:f>IF(D17=0,"",COUNTIFS('Цены'!$B$8:$B$1007,86400,'Цены'!$I$8:$I$1007,"Есть цена",'Цены'!$G$8:$G$1007,"&gt;0")/D17)</x:f>
        <x:v>1</x:v>
      </x:c>
      <x:c r="J17" s="14" t="n">
        <x:f>IF(D17=0,"",COUNTIFS('Цены'!$B$8:$B$1007,86400,'Цены'!$I$8:$I$1007,"Есть цена",'Цены'!$G$8:$G$1007,"&gt;=0.05")/D17)</x:f>
        <x:v>1</x:v>
      </x:c>
      <x:c r="K17" s="14" t="n">
        <x:f>IF(D17=0,"",MIN('Цены'!G17,'Цены'!G27,'Цены'!G37,'Цены'!G47,'Цены'!G57,'Цены'!G67,'Цены'!G77,'Цены'!G87,'Цены'!G97,'Цены'!G107,'Цены'!G117,'Цены'!G127,'Цены'!G137,'Цены'!G147,'Цены'!G157,'Цены'!G167,'Цены'!G177,'Цены'!G187,'Цены'!G197,'Цены'!G207,'Цены'!G217,'Цены'!G227,'Цены'!G237,'Цены'!G247,'Цены'!G257,'Цены'!G267,'Цены'!G277,'Цены'!G287,'Цены'!G297,'Цены'!G307,'Цены'!G317,'Цены'!G327,'Цены'!G337,'Цены'!G347,'Цены'!G357,'Цены'!G367,'Цены'!G377,'Цены'!G387,'Цены'!G397,'Цены'!G407,'Цены'!G417,'Цены'!G427,'Цены'!G437,'Цены'!G447,'Цены'!G457,'Цены'!G467,'Цены'!G477,'Цены'!G487,'Цены'!G497,'Цены'!G507,'Цены'!G517,'Цены'!G527,'Цены'!G537,'Цены'!G547,'Цены'!G557,'Цены'!G567,'Цены'!G577,'Цены'!G587,'Цены'!G597,'Цены'!G607,'Цены'!G617,'Цены'!G627,'Цены'!G637,'Цены'!G647,'Цены'!G657,'Цены'!G667,'Цены'!G677,'Цены'!G687,'Цены'!G697,'Цены'!G707,'Цены'!G717,'Цены'!G727,'Цены'!G737,'Цены'!G747,'Цены'!G757,'Цены'!G767,'Цены'!G777,'Цены'!G787,'Цены'!G797,'Цены'!G807,'Цены'!G817,'Цены'!G827,'Цены'!G837,'Цены'!G847,'Цены'!G857,'Цены'!G867,'Цены'!G877,'Цены'!G887,'Цены'!G897,'Цены'!G907,'Цены'!G917,'Цены'!G927,'Цены'!G937,'Цены'!G947,'Цены'!G957,'Цены'!G967,'Цены'!G977,'Цены'!G987,'Цены'!G997,'Цены'!G1007))</x:f>
        <x:v>0.4184491358719018</x:v>
      </x:c>
      <x:c r="L17" s="14" t="n">
        <x:f>IF(D17=0,"",MAX('Цены'!G17,'Цены'!G27,'Цены'!G37,'Цены'!G47,'Цены'!G57,'Цены'!G67,'Цены'!G77,'Цены'!G87,'Цены'!G97,'Цены'!G107,'Цены'!G117,'Цены'!G127,'Цены'!G137,'Цены'!G147,'Цены'!G157,'Цены'!G167,'Цены'!G177,'Цены'!G187,'Цены'!G197,'Цены'!G207,'Цены'!G217,'Цены'!G227,'Цены'!G237,'Цены'!G247,'Цены'!G257,'Цены'!G267,'Цены'!G277,'Цены'!G287,'Цены'!G297,'Цены'!G307,'Цены'!G317,'Цены'!G327,'Цены'!G337,'Цены'!G347,'Цены'!G357,'Цены'!G367,'Цены'!G377,'Цены'!G387,'Цены'!G397,'Цены'!G407,'Цены'!G417,'Цены'!G427,'Цены'!G437,'Цены'!G447,'Цены'!G457,'Цены'!G467,'Цены'!G477,'Цены'!G487,'Цены'!G497,'Цены'!G507,'Цены'!G517,'Цены'!G527,'Цены'!G537,'Цены'!G547,'Цены'!G557,'Цены'!G567,'Цены'!G577,'Цены'!G587,'Цены'!G597,'Цены'!G607,'Цены'!G617,'Цены'!G627,'Цены'!G637,'Цены'!G647,'Цены'!G657,'Цены'!G667,'Цены'!G677,'Цены'!G687,'Цены'!G697,'Цены'!G707,'Цены'!G717,'Цены'!G727,'Цены'!G737,'Цены'!G747,'Цены'!G757,'Цены'!G767,'Цены'!G777,'Цены'!G787,'Цены'!G797,'Цены'!G807,'Цены'!G817,'Цены'!G827,'Цены'!G837,'Цены'!G847,'Цены'!G857,'Цены'!G867,'Цены'!G877,'Цены'!G887,'Цены'!G897,'Цены'!G907,'Цены'!G917,'Цены'!G927,'Цены'!G937,'Цены'!G947,'Цены'!G957,'Цены'!G967,'Цены'!G977,'Цены'!G987,'Цены'!G997,'Цены'!G1007))</x:f>
        <x:v>0.4184491358719018</x:v>
      </x:c>
    </x:row>
    <x:row r="18" ht="21" customHeight="1">
      <x:c r="A18" s="2" t="str">
        <x:v>Нулевой остаток</x:v>
      </x:c>
      <x:c r="B18" s="2" t="str">
        <x:v>5 с</x:v>
      </x:c>
      <x:c r="C18" s="2" t="n">
        <x:f>COUNTIFS('Покупки'!$C$8:$C$107,"Нулевой остаток")</x:f>
        <x:v>23</x:v>
      </x:c>
      <x:c r="D18" s="2" t="n">
        <x:f>COUNTIFS('Цены'!$B$8:$B$1007,5,'Цены'!$I$8:$I$1007,"Есть цена", 'Цены'!$C$8:$C$1007,"Нулевой остаток")</x:f>
        <x:v>7</x:v>
      </x:c>
      <x:c r="E18" s="2" t="n">
        <x:f>C18-D18-F18</x:f>
        <x:v>16</x:v>
      </x:c>
      <x:c r="F18" s="2" t="n">
        <x:f>COUNTIFS('Цены'!$B$8:$B$1007,5,'Цены'!$I$8:$I$1007,"Ещё рано", 'Цены'!$C$8:$C$1007,"Нулевой остаток")</x:f>
        <x:v>0</x:v>
      </x:c>
      <x:c r="G18" s="14" t="n">
        <x:f>IF(D18=0,"",AVERAGE('Цены'!R8,'Цены'!R18,'Цены'!R28,'Цены'!R38,'Цены'!R48,'Цены'!R58,'Цены'!R68,'Цены'!R78,'Цены'!R88,'Цены'!R98,'Цены'!R108,'Цены'!R118,'Цены'!R128,'Цены'!R138,'Цены'!R148,'Цены'!R158,'Цены'!R168,'Цены'!R178,'Цены'!R188,'Цены'!R198,'Цены'!R208,'Цены'!R218,'Цены'!R228,'Цены'!R238,'Цены'!R248,'Цены'!R258,'Цены'!R268,'Цены'!R278,'Цены'!R288,'Цены'!R298,'Цены'!R308,'Цены'!R318,'Цены'!R328,'Цены'!R338,'Цены'!R348,'Цены'!R358,'Цены'!R368,'Цены'!R378,'Цены'!R388,'Цены'!R398,'Цены'!R408,'Цены'!R418,'Цены'!R428,'Цены'!R438,'Цены'!R448,'Цены'!R458,'Цены'!R468,'Цены'!R478,'Цены'!R488,'Цены'!R498,'Цены'!R508,'Цены'!R518,'Цены'!R528,'Цены'!R538,'Цены'!R548,'Цены'!R558,'Цены'!R568,'Цены'!R578,'Цены'!R588,'Цены'!R598,'Цены'!R608,'Цены'!R618,'Цены'!R628,'Цены'!R638,'Цены'!R648,'Цены'!R658,'Цены'!R668,'Цены'!R678,'Цены'!R688,'Цены'!R698,'Цены'!R708,'Цены'!R718,'Цены'!R728,'Цены'!R738,'Цены'!R748,'Цены'!R758,'Цены'!R768,'Цены'!R778,'Цены'!R788,'Цены'!R798,'Цены'!R808,'Цены'!R818,'Цены'!R828,'Цены'!R838,'Цены'!R848,'Цены'!R858,'Цены'!R868,'Цены'!R878,'Цены'!R888,'Цены'!R898,'Цены'!R908,'Цены'!R918,'Цены'!R928,'Цены'!R938,'Цены'!R948,'Цены'!R958,'Цены'!R968,'Цены'!R978,'Цены'!R988,'Цены'!R998))</x:f>
        <x:v>0.6591412388638503</x:v>
      </x:c>
      <x:c r="H18" s="14" t="n">
        <x:f>IF(D18=0,"",MEDIAN('Цены'!R8,'Цены'!R18,'Цены'!R28,'Цены'!R38,'Цены'!R48,'Цены'!R58,'Цены'!R68,'Цены'!R78,'Цены'!R88,'Цены'!R98,'Цены'!R108,'Цены'!R118,'Цены'!R128,'Цены'!R138,'Цены'!R148,'Цены'!R158,'Цены'!R168,'Цены'!R178,'Цены'!R188,'Цены'!R198,'Цены'!R208,'Цены'!R218,'Цены'!R228,'Цены'!R238,'Цены'!R248,'Цены'!R258,'Цены'!R268,'Цены'!R278,'Цены'!R288,'Цены'!R298,'Цены'!R308,'Цены'!R318,'Цены'!R328,'Цены'!R338,'Цены'!R348,'Цены'!R358,'Цены'!R368,'Цены'!R378,'Цены'!R388,'Цены'!R398,'Цены'!R408,'Цены'!R418,'Цены'!R428,'Цены'!R438,'Цены'!R448,'Цены'!R458,'Цены'!R468,'Цены'!R478,'Цены'!R488,'Цены'!R498,'Цены'!R508,'Цены'!R518,'Цены'!R528,'Цены'!R538,'Цены'!R548,'Цены'!R558,'Цены'!R568,'Цены'!R578,'Цены'!R588,'Цены'!R598,'Цены'!R608,'Цены'!R618,'Цены'!R628,'Цены'!R638,'Цены'!R648,'Цены'!R658,'Цены'!R668,'Цены'!R678,'Цены'!R688,'Цены'!R698,'Цены'!R708,'Цены'!R718,'Цены'!R728,'Цены'!R738,'Цены'!R748,'Цены'!R758,'Цены'!R768,'Цены'!R778,'Цены'!R788,'Цены'!R798,'Цены'!R808,'Цены'!R818,'Цены'!R828,'Цены'!R838,'Цены'!R848,'Цены'!R858,'Цены'!R868,'Цены'!R878,'Цены'!R888,'Цены'!R898,'Цены'!R908,'Цены'!R918,'Цены'!R928,'Цены'!R938,'Цены'!R948,'Цены'!R958,'Цены'!R968,'Цены'!R978,'Цены'!R988,'Цены'!R998))</x:f>
        <x:v>0.8455428747123248</x:v>
      </x:c>
      <x:c r="I18" s="14" t="n">
        <x:f>IF(D18=0,"",COUNTIFS('Цены'!$B$8:$B$1007,5,'Цены'!$I$8:$I$1007,"Есть цена",'Цены'!$G$8:$G$1007,"&gt;0", 'Цены'!$C$8:$C$1007,"Нулевой остаток")/D18)</x:f>
        <x:v>1</x:v>
      </x:c>
      <x:c r="J18" s="14" t="n">
        <x:f>IF(D18=0,"",COUNTIFS('Цены'!$B$8:$B$1007,5,'Цены'!$I$8:$I$1007,"Есть цена",'Цены'!$G$8:$G$1007,"&gt;=0.05", 'Цены'!$C$8:$C$1007,"Нулевой остаток")/D18)</x:f>
        <x:v>0.8571428571428571</x:v>
      </x:c>
      <x:c r="K18" s="14" t="n">
        <x:f>IF(D18=0,"",MIN('Цены'!R8,'Цены'!R18,'Цены'!R28,'Цены'!R38,'Цены'!R48,'Цены'!R58,'Цены'!R68,'Цены'!R78,'Цены'!R88,'Цены'!R98,'Цены'!R108,'Цены'!R118,'Цены'!R128,'Цены'!R138,'Цены'!R148,'Цены'!R158,'Цены'!R168,'Цены'!R178,'Цены'!R188,'Цены'!R198,'Цены'!R208,'Цены'!R218,'Цены'!R228,'Цены'!R238,'Цены'!R248,'Цены'!R258,'Цены'!R268,'Цены'!R278,'Цены'!R288,'Цены'!R298,'Цены'!R308,'Цены'!R318,'Цены'!R328,'Цены'!R338,'Цены'!R348,'Цены'!R358,'Цены'!R368,'Цены'!R378,'Цены'!R388,'Цены'!R398,'Цены'!R408,'Цены'!R418,'Цены'!R428,'Цены'!R438,'Цены'!R448,'Цены'!R458,'Цены'!R468,'Цены'!R478,'Цены'!R488,'Цены'!R498,'Цены'!R508,'Цены'!R518,'Цены'!R528,'Цены'!R538,'Цены'!R548,'Цены'!R558,'Цены'!R568,'Цены'!R578,'Цены'!R588,'Цены'!R598,'Цены'!R608,'Цены'!R618,'Цены'!R628,'Цены'!R638,'Цены'!R648,'Цены'!R658,'Цены'!R668,'Цены'!R678,'Цены'!R688,'Цены'!R698,'Цены'!R708,'Цены'!R718,'Цены'!R728,'Цены'!R738,'Цены'!R748,'Цены'!R758,'Цены'!R768,'Цены'!R778,'Цены'!R788,'Цены'!R798,'Цены'!R808,'Цены'!R818,'Цены'!R828,'Цены'!R838,'Цены'!R848,'Цены'!R858,'Цены'!R868,'Цены'!R878,'Цены'!R888,'Цены'!R898,'Цены'!R908,'Цены'!R918,'Цены'!R928,'Цены'!R938,'Цены'!R948,'Цены'!R958,'Цены'!R968,'Цены'!R978,'Цены'!R988,'Цены'!R998))</x:f>
        <x:v>0.04034666695714284</x:v>
      </x:c>
      <x:c r="L18" s="14" t="n">
        <x:f>IF(D18=0,"",MAX('Цены'!R8,'Цены'!R18,'Цены'!R28,'Цены'!R38,'Цены'!R48,'Цены'!R58,'Цены'!R68,'Цены'!R78,'Цены'!R88,'Цены'!R98,'Цены'!R108,'Цены'!R118,'Цены'!R128,'Цены'!R138,'Цены'!R148,'Цены'!R158,'Цены'!R168,'Цены'!R178,'Цены'!R188,'Цены'!R198,'Цены'!R208,'Цены'!R218,'Цены'!R228,'Цены'!R238,'Цены'!R248,'Цены'!R258,'Цены'!R268,'Цены'!R278,'Цены'!R288,'Цены'!R298,'Цены'!R308,'Цены'!R318,'Цены'!R328,'Цены'!R338,'Цены'!R348,'Цены'!R358,'Цены'!R368,'Цены'!R378,'Цены'!R388,'Цены'!R398,'Цены'!R408,'Цены'!R418,'Цены'!R428,'Цены'!R438,'Цены'!R448,'Цены'!R458,'Цены'!R468,'Цены'!R478,'Цены'!R488,'Цены'!R498,'Цены'!R508,'Цены'!R518,'Цены'!R528,'Цены'!R538,'Цены'!R548,'Цены'!R558,'Цены'!R568,'Цены'!R578,'Цены'!R588,'Цены'!R598,'Цены'!R608,'Цены'!R618,'Цены'!R628,'Цены'!R638,'Цены'!R648,'Цены'!R658,'Цены'!R668,'Цены'!R678,'Цены'!R688,'Цены'!R698,'Цены'!R708,'Цены'!R718,'Цены'!R728,'Цены'!R738,'Цены'!R748,'Цены'!R758,'Цены'!R768,'Цены'!R778,'Цены'!R788,'Цены'!R798,'Цены'!R808,'Цены'!R818,'Цены'!R828,'Цены'!R838,'Цены'!R848,'Цены'!R858,'Цены'!R868,'Цены'!R878,'Цены'!R888,'Цены'!R898,'Цены'!R908,'Цены'!R918,'Цены'!R928,'Цены'!R938,'Цены'!R948,'Цены'!R958,'Цены'!R968,'Цены'!R978,'Цены'!R988,'Цены'!R998))</x:f>
        <x:v>1.2699109550396162</x:v>
      </x:c>
    </x:row>
    <x:row r="19" ht="21" customHeight="1">
      <x:c r="A19" s="2" t="str">
        <x:v>Нулевой остаток</x:v>
      </x:c>
      <x:c r="B19" s="2" t="str">
        <x:v>15 с</x:v>
      </x:c>
      <x:c r="C19" s="2" t="n">
        <x:f>COUNTIFS('Покупки'!$C$8:$C$107,"Нулевой остаток")</x:f>
        <x:v>23</x:v>
      </x:c>
      <x:c r="D19" s="2" t="n">
        <x:f>COUNTIFS('Цены'!$B$8:$B$1007,15,'Цены'!$I$8:$I$1007,"Есть цена", 'Цены'!$C$8:$C$1007,"Нулевой остаток")</x:f>
        <x:v>7</x:v>
      </x:c>
      <x:c r="E19" s="2" t="n">
        <x:f>C19-D19-F19</x:f>
        <x:v>16</x:v>
      </x:c>
      <x:c r="F19" s="2" t="n">
        <x:f>COUNTIFS('Цены'!$B$8:$B$1007,15,'Цены'!$I$8:$I$1007,"Ещё рано", 'Цены'!$C$8:$C$1007,"Нулевой остаток")</x:f>
        <x:v>0</x:v>
      </x:c>
      <x:c r="G19" s="14" t="n">
        <x:f>IF(D19=0,"",AVERAGE('Цены'!R9,'Цены'!R19,'Цены'!R29,'Цены'!R39,'Цены'!R49,'Цены'!R59,'Цены'!R69,'Цены'!R79,'Цены'!R89,'Цены'!R99,'Цены'!R109,'Цены'!R119,'Цены'!R129,'Цены'!R139,'Цены'!R149,'Цены'!R159,'Цены'!R169,'Цены'!R179,'Цены'!R189,'Цены'!R199,'Цены'!R209,'Цены'!R219,'Цены'!R229,'Цены'!R239,'Цены'!R249,'Цены'!R259,'Цены'!R269,'Цены'!R279,'Цены'!R289,'Цены'!R299,'Цены'!R309,'Цены'!R319,'Цены'!R329,'Цены'!R339,'Цены'!R349,'Цены'!R359,'Цены'!R369,'Цены'!R379,'Цены'!R389,'Цены'!R399,'Цены'!R409,'Цены'!R419,'Цены'!R429,'Цены'!R439,'Цены'!R449,'Цены'!R459,'Цены'!R469,'Цены'!R479,'Цены'!R489,'Цены'!R499,'Цены'!R509,'Цены'!R519,'Цены'!R529,'Цены'!R539,'Цены'!R549,'Цены'!R559,'Цены'!R569,'Цены'!R579,'Цены'!R589,'Цены'!R599,'Цены'!R609,'Цены'!R619,'Цены'!R629,'Цены'!R639,'Цены'!R649,'Цены'!R659,'Цены'!R669,'Цены'!R679,'Цены'!R689,'Цены'!R699,'Цены'!R709,'Цены'!R719,'Цены'!R729,'Цены'!R739,'Цены'!R749,'Цены'!R759,'Цены'!R769,'Цены'!R779,'Цены'!R789,'Цены'!R799,'Цены'!R809,'Цены'!R819,'Цены'!R829,'Цены'!R839,'Цены'!R849,'Цены'!R859,'Цены'!R869,'Цены'!R879,'Цены'!R889,'Цены'!R899,'Цены'!R909,'Цены'!R919,'Цены'!R929,'Цены'!R939,'Цены'!R949,'Цены'!R959,'Цены'!R969,'Цены'!R979,'Цены'!R989,'Цены'!R999))</x:f>
        <x:v>0.8424385590904435</x:v>
      </x:c>
      <x:c r="H19" s="14" t="n">
        <x:f>IF(D19=0,"",MEDIAN('Цены'!R9,'Цены'!R19,'Цены'!R29,'Цены'!R39,'Цены'!R49,'Цены'!R59,'Цены'!R69,'Цены'!R79,'Цены'!R89,'Цены'!R99,'Цены'!R109,'Цены'!R119,'Цены'!R129,'Цены'!R139,'Цены'!R149,'Цены'!R159,'Цены'!R169,'Цены'!R179,'Цены'!R189,'Цены'!R199,'Цены'!R209,'Цены'!R219,'Цены'!R229,'Цены'!R239,'Цены'!R249,'Цены'!R259,'Цены'!R269,'Цены'!R279,'Цены'!R289,'Цены'!R299,'Цены'!R309,'Цены'!R319,'Цены'!R329,'Цены'!R339,'Цены'!R349,'Цены'!R359,'Цены'!R369,'Цены'!R379,'Цены'!R389,'Цены'!R399,'Цены'!R409,'Цены'!R419,'Цены'!R429,'Цены'!R439,'Цены'!R449,'Цены'!R459,'Цены'!R469,'Цены'!R479,'Цены'!R489,'Цены'!R499,'Цены'!R509,'Цены'!R519,'Цены'!R529,'Цены'!R539,'Цены'!R549,'Цены'!R559,'Цены'!R569,'Цены'!R579,'Цены'!R589,'Цены'!R599,'Цены'!R609,'Цены'!R619,'Цены'!R629,'Цены'!R639,'Цены'!R649,'Цены'!R659,'Цены'!R669,'Цены'!R679,'Цены'!R689,'Цены'!R699,'Цены'!R709,'Цены'!R719,'Цены'!R729,'Цены'!R739,'Цены'!R749,'Цены'!R759,'Цены'!R769,'Цены'!R779,'Цены'!R789,'Цены'!R799,'Цены'!R809,'Цены'!R819,'Цены'!R829,'Цены'!R839,'Цены'!R849,'Цены'!R859,'Цены'!R869,'Цены'!R879,'Цены'!R889,'Цены'!R899,'Цены'!R909,'Цены'!R919,'Цены'!R929,'Цены'!R939,'Цены'!R949,'Цены'!R959,'Цены'!R969,'Цены'!R979,'Цены'!R989,'Цены'!R999))</x:f>
        <x:v>0.9525126487020943</x:v>
      </x:c>
      <x:c r="I19" s="14" t="n">
        <x:f>IF(D19=0,"",COUNTIFS('Цены'!$B$8:$B$1007,15,'Цены'!$I$8:$I$1007,"Есть цена",'Цены'!$G$8:$G$1007,"&gt;0", 'Цены'!$C$8:$C$1007,"Нулевой остаток")/D19)</x:f>
        <x:v>1</x:v>
      </x:c>
      <x:c r="J19" s="14" t="n">
        <x:f>IF(D19=0,"",COUNTIFS('Цены'!$B$8:$B$1007,15,'Цены'!$I$8:$I$1007,"Есть цена",'Цены'!$G$8:$G$1007,"&gt;=0.05", 'Цены'!$C$8:$C$1007,"Нулевой остаток")/D19)</x:f>
        <x:v>1</x:v>
      </x:c>
      <x:c r="K19" s="14" t="n">
        <x:f>IF(D19=0,"",MIN('Цены'!R9,'Цены'!R19,'Цены'!R29,'Цены'!R39,'Цены'!R49,'Цены'!R59,'Цены'!R69,'Цены'!R79,'Цены'!R89,'Цены'!R99,'Цены'!R109,'Цены'!R119,'Цены'!R129,'Цены'!R139,'Цены'!R149,'Цены'!R159,'Цены'!R169,'Цены'!R179,'Цены'!R189,'Цены'!R199,'Цены'!R209,'Цены'!R219,'Цены'!R229,'Цены'!R239,'Цены'!R249,'Цены'!R259,'Цены'!R269,'Цены'!R279,'Цены'!R289,'Цены'!R299,'Цены'!R309,'Цены'!R319,'Цены'!R329,'Цены'!R339,'Цены'!R349,'Цены'!R359,'Цены'!R369,'Цены'!R379,'Цены'!R389,'Цены'!R399,'Цены'!R409,'Цены'!R419,'Цены'!R429,'Цены'!R439,'Цены'!R449,'Цены'!R459,'Цены'!R469,'Цены'!R479,'Цены'!R489,'Цены'!R499,'Цены'!R509,'Цены'!R519,'Цены'!R529,'Цены'!R539,'Цены'!R549,'Цены'!R559,'Цены'!R569,'Цены'!R579,'Цены'!R589,'Цены'!R599,'Цены'!R609,'Цены'!R619,'Цены'!R629,'Цены'!R639,'Цены'!R649,'Цены'!R659,'Цены'!R669,'Цены'!R679,'Цены'!R689,'Цены'!R699,'Цены'!R709,'Цены'!R719,'Цены'!R729,'Цены'!R739,'Цены'!R749,'Цены'!R759,'Цены'!R769,'Цены'!R779,'Цены'!R789,'Цены'!R799,'Цены'!R809,'Цены'!R819,'Цены'!R829,'Цены'!R839,'Цены'!R849,'Цены'!R859,'Цены'!R869,'Цены'!R879,'Цены'!R889,'Цены'!R899,'Цены'!R909,'Цены'!R919,'Цены'!R929,'Цены'!R939,'Цены'!R949,'Цены'!R959,'Цены'!R969,'Цены'!R979,'Цены'!R989,'Цены'!R999))</x:f>
        <x:v>0.06011232638598263</x:v>
      </x:c>
      <x:c r="L19" s="14" t="n">
        <x:f>IF(D19=0,"",MAX('Цены'!R9,'Цены'!R19,'Цены'!R29,'Цены'!R39,'Цены'!R49,'Цены'!R59,'Цены'!R69,'Цены'!R79,'Цены'!R89,'Цены'!R99,'Цены'!R109,'Цены'!R119,'Цены'!R129,'Цены'!R139,'Цены'!R149,'Цены'!R159,'Цены'!R169,'Цены'!R179,'Цены'!R189,'Цены'!R199,'Цены'!R209,'Цены'!R219,'Цены'!R229,'Цены'!R239,'Цены'!R249,'Цены'!R259,'Цены'!R269,'Цены'!R279,'Цены'!R289,'Цены'!R299,'Цены'!R309,'Цены'!R319,'Цены'!R329,'Цены'!R339,'Цены'!R349,'Цены'!R359,'Цены'!R369,'Цены'!R379,'Цены'!R389,'Цены'!R399,'Цены'!R409,'Цены'!R419,'Цены'!R429,'Цены'!R439,'Цены'!R449,'Цены'!R459,'Цены'!R469,'Цены'!R479,'Цены'!R489,'Цены'!R499,'Цены'!R509,'Цены'!R519,'Цены'!R529,'Цены'!R539,'Цены'!R549,'Цены'!R559,'Цены'!R569,'Цены'!R579,'Цены'!R589,'Цены'!R599,'Цены'!R609,'Цены'!R619,'Цены'!R629,'Цены'!R639,'Цены'!R649,'Цены'!R659,'Цены'!R669,'Цены'!R679,'Цены'!R689,'Цены'!R699,'Цены'!R709,'Цены'!R719,'Цены'!R729,'Цены'!R739,'Цены'!R749,'Цены'!R759,'Цены'!R769,'Цены'!R779,'Цены'!R789,'Цены'!R799,'Цены'!R809,'Цены'!R819,'Цены'!R829,'Цены'!R839,'Цены'!R849,'Цены'!R859,'Цены'!R869,'Цены'!R879,'Цены'!R889,'Цены'!R899,'Цены'!R909,'Цены'!R919,'Цены'!R929,'Цены'!R939,'Цены'!R949,'Цены'!R959,'Цены'!R969,'Цены'!R979,'Цены'!R989,'Цены'!R999))</x:f>
        <x:v>1.7295954776435423</x:v>
      </x:c>
    </x:row>
    <x:row r="20" ht="21" customHeight="1">
      <x:c r="A20" s="2" t="str">
        <x:v>Нулевой остаток</x:v>
      </x:c>
      <x:c r="B20" s="2" t="str">
        <x:v>30 с</x:v>
      </x:c>
      <x:c r="C20" s="2" t="n">
        <x:f>COUNTIFS('Покупки'!$C$8:$C$107,"Нулевой остаток")</x:f>
        <x:v>23</x:v>
      </x:c>
      <x:c r="D20" s="2" t="n">
        <x:f>COUNTIFS('Цены'!$B$8:$B$1007,30,'Цены'!$I$8:$I$1007,"Есть цена", 'Цены'!$C$8:$C$1007,"Нулевой остаток")</x:f>
        <x:v>7</x:v>
      </x:c>
      <x:c r="E20" s="2" t="n">
        <x:f>C20-D20-F20</x:f>
        <x:v>16</x:v>
      </x:c>
      <x:c r="F20" s="2" t="n">
        <x:f>COUNTIFS('Цены'!$B$8:$B$1007,30,'Цены'!$I$8:$I$1007,"Ещё рано", 'Цены'!$C$8:$C$1007,"Нулевой остаток")</x:f>
        <x:v>0</x:v>
      </x:c>
      <x:c r="G20" s="14" t="n">
        <x:f>IF(D20=0,"",AVERAGE('Цены'!R10,'Цены'!R20,'Цены'!R30,'Цены'!R40,'Цены'!R50,'Цены'!R60,'Цены'!R70,'Цены'!R80,'Цены'!R90,'Цены'!R100,'Цены'!R110,'Цены'!R120,'Цены'!R130,'Цены'!R140,'Цены'!R150,'Цены'!R160,'Цены'!R170,'Цены'!R180,'Цены'!R190,'Цены'!R200,'Цены'!R210,'Цены'!R220,'Цены'!R230,'Цены'!R240,'Цены'!R250,'Цены'!R260,'Цены'!R270,'Цены'!R280,'Цены'!R290,'Цены'!R300,'Цены'!R310,'Цены'!R320,'Цены'!R330,'Цены'!R340,'Цены'!R350,'Цены'!R360,'Цены'!R370,'Цены'!R380,'Цены'!R390,'Цены'!R400,'Цены'!R410,'Цены'!R420,'Цены'!R430,'Цены'!R440,'Цены'!R450,'Цены'!R460,'Цены'!R470,'Цены'!R480,'Цены'!R490,'Цены'!R500,'Цены'!R510,'Цены'!R520,'Цены'!R530,'Цены'!R540,'Цены'!R550,'Цены'!R560,'Цены'!R570,'Цены'!R580,'Цены'!R590,'Цены'!R600,'Цены'!R610,'Цены'!R620,'Цены'!R630,'Цены'!R640,'Цены'!R650,'Цены'!R660,'Цены'!R670,'Цены'!R680,'Цены'!R690,'Цены'!R700,'Цены'!R710,'Цены'!R720,'Цены'!R730,'Цены'!R740,'Цены'!R750,'Цены'!R760,'Цены'!R770,'Цены'!R780,'Цены'!R790,'Цены'!R800,'Цены'!R810,'Цены'!R820,'Цены'!R830,'Цены'!R840,'Цены'!R850,'Цены'!R860,'Цены'!R870,'Цены'!R880,'Цены'!R890,'Цены'!R900,'Цены'!R910,'Цены'!R920,'Цены'!R930,'Цены'!R940,'Цены'!R950,'Цены'!R960,'Цены'!R970,'Цены'!R980,'Цены'!R990,'Цены'!R1000))</x:f>
        <x:v>1.1979702802566834</x:v>
      </x:c>
      <x:c r="H20" s="14" t="n">
        <x:f>IF(D20=0,"",MEDIAN('Цены'!R10,'Цены'!R20,'Цены'!R30,'Цены'!R40,'Цены'!R50,'Цены'!R60,'Цены'!R70,'Цены'!R80,'Цены'!R90,'Цены'!R100,'Цены'!R110,'Цены'!R120,'Цены'!R130,'Цены'!R140,'Цены'!R150,'Цены'!R160,'Цены'!R170,'Цены'!R180,'Цены'!R190,'Цены'!R200,'Цены'!R210,'Цены'!R220,'Цены'!R230,'Цены'!R240,'Цены'!R250,'Цены'!R260,'Цены'!R270,'Цены'!R280,'Цены'!R290,'Цены'!R300,'Цены'!R310,'Цены'!R320,'Цены'!R330,'Цены'!R340,'Цены'!R350,'Цены'!R360,'Цены'!R370,'Цены'!R380,'Цены'!R390,'Цены'!R400,'Цены'!R410,'Цены'!R420,'Цены'!R430,'Цены'!R440,'Цены'!R450,'Цены'!R460,'Цены'!R470,'Цены'!R480,'Цены'!R490,'Цены'!R500,'Цены'!R510,'Цены'!R520,'Цены'!R530,'Цены'!R540,'Цены'!R550,'Цены'!R560,'Цены'!R570,'Цены'!R580,'Цены'!R590,'Цены'!R600,'Цены'!R610,'Цены'!R620,'Цены'!R630,'Цены'!R640,'Цены'!R650,'Цены'!R660,'Цены'!R670,'Цены'!R680,'Цены'!R690,'Цены'!R700,'Цены'!R710,'Цены'!R720,'Цены'!R730,'Цены'!R740,'Цены'!R750,'Цены'!R760,'Цены'!R770,'Цены'!R780,'Цены'!R790,'Цены'!R800,'Цены'!R810,'Цены'!R820,'Цены'!R830,'Цены'!R840,'Цены'!R850,'Цены'!R860,'Цены'!R870,'Цены'!R880,'Цены'!R890,'Цены'!R900,'Цены'!R910,'Цены'!R920,'Цены'!R930,'Цены'!R940,'Цены'!R950,'Цены'!R960,'Цены'!R970,'Цены'!R980,'Цены'!R990,'Цены'!R1000))</x:f>
        <x:v>1.0466157377709515</x:v>
      </x:c>
      <x:c r="I20" s="14" t="n">
        <x:f>IF(D20=0,"",COUNTIFS('Цены'!$B$8:$B$1007,30,'Цены'!$I$8:$I$1007,"Есть цена",'Цены'!$G$8:$G$1007,"&gt;0", 'Цены'!$C$8:$C$1007,"Нулевой остаток")/D20)</x:f>
        <x:v>1</x:v>
      </x:c>
      <x:c r="J20" s="14" t="n">
        <x:f>IF(D20=0,"",COUNTIFS('Цены'!$B$8:$B$1007,30,'Цены'!$I$8:$I$1007,"Есть цена",'Цены'!$G$8:$G$1007,"&gt;=0.05", 'Цены'!$C$8:$C$1007,"Нулевой остаток")/D20)</x:f>
        <x:v>1</x:v>
      </x:c>
      <x:c r="K20" s="14" t="n">
        <x:f>IF(D20=0,"",MIN('Цены'!R10,'Цены'!R20,'Цены'!R30,'Цены'!R40,'Цены'!R50,'Цены'!R60,'Цены'!R70,'Цены'!R80,'Цены'!R90,'Цены'!R100,'Цены'!R110,'Цены'!R120,'Цены'!R130,'Цены'!R140,'Цены'!R150,'Цены'!R160,'Цены'!R170,'Цены'!R180,'Цены'!R190,'Цены'!R200,'Цены'!R210,'Цены'!R220,'Цены'!R230,'Цены'!R240,'Цены'!R250,'Цены'!R260,'Цены'!R270,'Цены'!R280,'Цены'!R290,'Цены'!R300,'Цены'!R310,'Цены'!R320,'Цены'!R330,'Цены'!R340,'Цены'!R350,'Цены'!R360,'Цены'!R370,'Цены'!R380,'Цены'!R390,'Цены'!R400,'Цены'!R410,'Цены'!R420,'Цены'!R430,'Цены'!R440,'Цены'!R450,'Цены'!R460,'Цены'!R470,'Цены'!R480,'Цены'!R490,'Цены'!R500,'Цены'!R510,'Цены'!R520,'Цены'!R530,'Цены'!R540,'Цены'!R550,'Цены'!R560,'Цены'!R570,'Цены'!R580,'Цены'!R590,'Цены'!R600,'Цены'!R610,'Цены'!R620,'Цены'!R630,'Цены'!R640,'Цены'!R650,'Цены'!R660,'Цены'!R670,'Цены'!R680,'Цены'!R690,'Цены'!R700,'Цены'!R710,'Цены'!R720,'Цены'!R730,'Цены'!R740,'Цены'!R750,'Цены'!R760,'Цены'!R770,'Цены'!R780,'Цены'!R790,'Цены'!R800,'Цены'!R810,'Цены'!R820,'Цены'!R830,'Цены'!R840,'Цены'!R850,'Цены'!R860,'Цены'!R870,'Цены'!R880,'Цены'!R890,'Цены'!R900,'Цены'!R910,'Цены'!R920,'Цены'!R930,'Цены'!R940,'Цены'!R950,'Цены'!R960,'Цены'!R970,'Цены'!R980,'Цены'!R990,'Цены'!R1000))</x:f>
        <x:v>0.06072200630319036</x:v>
      </x:c>
      <x:c r="L20" s="14" t="n">
        <x:f>IF(D20=0,"",MAX('Цены'!R10,'Цены'!R20,'Цены'!R30,'Цены'!R40,'Цены'!R50,'Цены'!R60,'Цены'!R70,'Цены'!R80,'Цены'!R90,'Цены'!R100,'Цены'!R110,'Цены'!R120,'Цены'!R130,'Цены'!R140,'Цены'!R150,'Цены'!R160,'Цены'!R170,'Цены'!R180,'Цены'!R190,'Цены'!R200,'Цены'!R210,'Цены'!R220,'Цены'!R230,'Цены'!R240,'Цены'!R250,'Цены'!R260,'Цены'!R270,'Цены'!R280,'Цены'!R290,'Цены'!R300,'Цены'!R310,'Цены'!R320,'Цены'!R330,'Цены'!R340,'Цены'!R350,'Цены'!R360,'Цены'!R370,'Цены'!R380,'Цены'!R390,'Цены'!R400,'Цены'!R410,'Цены'!R420,'Цены'!R430,'Цены'!R440,'Цены'!R450,'Цены'!R460,'Цены'!R470,'Цены'!R480,'Цены'!R490,'Цены'!R500,'Цены'!R510,'Цены'!R520,'Цены'!R530,'Цены'!R540,'Цены'!R550,'Цены'!R560,'Цены'!R570,'Цены'!R580,'Цены'!R590,'Цены'!R600,'Цены'!R610,'Цены'!R620,'Цены'!R630,'Цены'!R640,'Цены'!R650,'Цены'!R660,'Цены'!R670,'Цены'!R680,'Цены'!R690,'Цены'!R700,'Цены'!R710,'Цены'!R720,'Цены'!R730,'Цены'!R740,'Цены'!R750,'Цены'!R760,'Цены'!R770,'Цены'!R780,'Цены'!R790,'Цены'!R800,'Цены'!R810,'Цены'!R820,'Цены'!R830,'Цены'!R840,'Цены'!R850,'Цены'!R860,'Цены'!R870,'Цены'!R880,'Цены'!R890,'Цены'!R900,'Цены'!R910,'Цены'!R920,'Цены'!R930,'Цены'!R940,'Цены'!R950,'Цены'!R960,'Цены'!R970,'Цены'!R980,'Цены'!R990,'Цены'!R1000))</x:f>
        <x:v>2.057213887268794</x:v>
      </x:c>
    </x:row>
    <x:row r="21" ht="21" customHeight="1">
      <x:c r="A21" s="2" t="str">
        <x:v>Нулевой остаток</x:v>
      </x:c>
      <x:c r="B21" s="2" t="str">
        <x:v>1 мин</x:v>
      </x:c>
      <x:c r="C21" s="2" t="n">
        <x:f>COUNTIFS('Покупки'!$C$8:$C$107,"Нулевой остаток")</x:f>
        <x:v>23</x:v>
      </x:c>
      <x:c r="D21" s="2" t="n">
        <x:f>COUNTIFS('Цены'!$B$8:$B$1007,60,'Цены'!$I$8:$I$1007,"Есть цена", 'Цены'!$C$8:$C$1007,"Нулевой остаток")</x:f>
        <x:v>7</x:v>
      </x:c>
      <x:c r="E21" s="2" t="n">
        <x:f>C21-D21-F21</x:f>
        <x:v>16</x:v>
      </x:c>
      <x:c r="F21" s="2" t="n">
        <x:f>COUNTIFS('Цены'!$B$8:$B$1007,60,'Цены'!$I$8:$I$1007,"Ещё рано", 'Цены'!$C$8:$C$1007,"Нулевой остаток")</x:f>
        <x:v>0</x:v>
      </x:c>
      <x:c r="G21" s="14" t="n">
        <x:f>IF(D21=0,"",AVERAGE('Цены'!R11,'Цены'!R21,'Цены'!R31,'Цены'!R41,'Цены'!R51,'Цены'!R61,'Цены'!R71,'Цены'!R81,'Цены'!R91,'Цены'!R101,'Цены'!R111,'Цены'!R121,'Цены'!R131,'Цены'!R141,'Цены'!R151,'Цены'!R161,'Цены'!R171,'Цены'!R181,'Цены'!R191,'Цены'!R201,'Цены'!R211,'Цены'!R221,'Цены'!R231,'Цены'!R241,'Цены'!R251,'Цены'!R261,'Цены'!R271,'Цены'!R281,'Цены'!R291,'Цены'!R301,'Цены'!R311,'Цены'!R321,'Цены'!R331,'Цены'!R341,'Цены'!R351,'Цены'!R361,'Цены'!R371,'Цены'!R381,'Цены'!R391,'Цены'!R401,'Цены'!R411,'Цены'!R421,'Цены'!R431,'Цены'!R441,'Цены'!R451,'Цены'!R461,'Цены'!R471,'Цены'!R481,'Цены'!R491,'Цены'!R501,'Цены'!R511,'Цены'!R521,'Цены'!R531,'Цены'!R541,'Цены'!R551,'Цены'!R561,'Цены'!R571,'Цены'!R581,'Цены'!R591,'Цены'!R601,'Цены'!R611,'Цены'!R621,'Цены'!R631,'Цены'!R641,'Цены'!R651,'Цены'!R661,'Цены'!R671,'Цены'!R681,'Цены'!R691,'Цены'!R701,'Цены'!R711,'Цены'!R721,'Цены'!R731,'Цены'!R741,'Цены'!R751,'Цены'!R761,'Цены'!R771,'Цены'!R781,'Цены'!R791,'Цены'!R801,'Цены'!R811,'Цены'!R821,'Цены'!R831,'Цены'!R841,'Цены'!R851,'Цены'!R861,'Цены'!R871,'Цены'!R881,'Цены'!R891,'Цены'!R901,'Цены'!R911,'Цены'!R921,'Цены'!R931,'Цены'!R941,'Цены'!R951,'Цены'!R961,'Цены'!R971,'Цены'!R981,'Цены'!R991,'Цены'!R1001))</x:f>
        <x:v>1.216736962978835</x:v>
      </x:c>
      <x:c r="H21" s="14" t="n">
        <x:f>IF(D21=0,"",MEDIAN('Цены'!R11,'Цены'!R21,'Цены'!R31,'Цены'!R41,'Цены'!R51,'Цены'!R61,'Цены'!R71,'Цены'!R81,'Цены'!R91,'Цены'!R101,'Цены'!R111,'Цены'!R121,'Цены'!R131,'Цены'!R141,'Цены'!R151,'Цены'!R161,'Цены'!R171,'Цены'!R181,'Цены'!R191,'Цены'!R201,'Цены'!R211,'Цены'!R221,'Цены'!R231,'Цены'!R241,'Цены'!R251,'Цены'!R261,'Цены'!R271,'Цены'!R281,'Цены'!R291,'Цены'!R301,'Цены'!R311,'Цены'!R321,'Цены'!R331,'Цены'!R341,'Цены'!R351,'Цены'!R361,'Цены'!R371,'Цены'!R381,'Цены'!R391,'Цены'!R401,'Цены'!R411,'Цены'!R421,'Цены'!R431,'Цены'!R441,'Цены'!R451,'Цены'!R461,'Цены'!R471,'Цены'!R481,'Цены'!R491,'Цены'!R501,'Цены'!R511,'Цены'!R521,'Цены'!R531,'Цены'!R541,'Цены'!R551,'Цены'!R561,'Цены'!R571,'Цены'!R581,'Цены'!R591,'Цены'!R601,'Цены'!R611,'Цены'!R621,'Цены'!R631,'Цены'!R641,'Цены'!R651,'Цены'!R661,'Цены'!R671,'Цены'!R681,'Цены'!R691,'Цены'!R701,'Цены'!R711,'Цены'!R721,'Цены'!R731,'Цены'!R741,'Цены'!R751,'Цены'!R761,'Цены'!R771,'Цены'!R781,'Цены'!R791,'Цены'!R801,'Цены'!R811,'Цены'!R821,'Цены'!R831,'Цены'!R841,'Цены'!R851,'Цены'!R861,'Цены'!R871,'Цены'!R881,'Цены'!R891,'Цены'!R901,'Цены'!R911,'Цены'!R921,'Цены'!R931,'Цены'!R941,'Цены'!R951,'Цены'!R961,'Цены'!R971,'Цены'!R981,'Цены'!R991,'Цены'!R1001))</x:f>
        <x:v>0.8152028098688711</x:v>
      </x:c>
      <x:c r="I21" s="14" t="n">
        <x:f>IF(D21=0,"",COUNTIFS('Цены'!$B$8:$B$1007,60,'Цены'!$I$8:$I$1007,"Есть цена",'Цены'!$G$8:$G$1007,"&gt;0", 'Цены'!$C$8:$C$1007,"Нулевой остаток")/D21)</x:f>
        <x:v>1</x:v>
      </x:c>
      <x:c r="J21" s="14" t="n">
        <x:f>IF(D21=0,"",COUNTIFS('Цены'!$B$8:$B$1007,60,'Цены'!$I$8:$I$1007,"Есть цена",'Цены'!$G$8:$G$1007,"&gt;=0.05", 'Цены'!$C$8:$C$1007,"Нулевой остаток")/D21)</x:f>
        <x:v>0.8571428571428571</x:v>
      </x:c>
      <x:c r="K21" s="14" t="n">
        <x:f>IF(D21=0,"",MIN('Цены'!R11,'Цены'!R21,'Цены'!R31,'Цены'!R41,'Цены'!R51,'Цены'!R61,'Цены'!R71,'Цены'!R81,'Цены'!R91,'Цены'!R101,'Цены'!R111,'Цены'!R121,'Цены'!R131,'Цены'!R141,'Цены'!R151,'Цены'!R161,'Цены'!R171,'Цены'!R181,'Цены'!R191,'Цены'!R201,'Цены'!R211,'Цены'!R221,'Цены'!R231,'Цены'!R241,'Цены'!R251,'Цены'!R261,'Цены'!R271,'Цены'!R281,'Цены'!R291,'Цены'!R301,'Цены'!R311,'Цены'!R321,'Цены'!R331,'Цены'!R341,'Цены'!R351,'Цены'!R361,'Цены'!R371,'Цены'!R381,'Цены'!R391,'Цены'!R401,'Цены'!R411,'Цены'!R421,'Цены'!R431,'Цены'!R441,'Цены'!R451,'Цены'!R461,'Цены'!R471,'Цены'!R481,'Цены'!R491,'Цены'!R501,'Цены'!R511,'Цены'!R521,'Цены'!R531,'Цены'!R541,'Цены'!R551,'Цены'!R561,'Цены'!R571,'Цены'!R581,'Цены'!R591,'Цены'!R601,'Цены'!R611,'Цены'!R621,'Цены'!R631,'Цены'!R641,'Цены'!R651,'Цены'!R661,'Цены'!R671,'Цены'!R681,'Цены'!R691,'Цены'!R701,'Цены'!R711,'Цены'!R721,'Цены'!R731,'Цены'!R741,'Цены'!R751,'Цены'!R761,'Цены'!R771,'Цены'!R781,'Цены'!R791,'Цены'!R801,'Цены'!R811,'Цены'!R821,'Цены'!R831,'Цены'!R841,'Цены'!R851,'Цены'!R861,'Цены'!R871,'Цены'!R881,'Цены'!R891,'Цены'!R901,'Цены'!R911,'Цены'!R921,'Цены'!R931,'Цены'!R941,'Цены'!R951,'Цены'!R961,'Цены'!R971,'Цены'!R981,'Цены'!R991,'Цены'!R1001))</x:f>
        <x:v>0.007827151304170554</x:v>
      </x:c>
      <x:c r="L21" s="14" t="n">
        <x:f>IF(D21=0,"",MAX('Цены'!R11,'Цены'!R21,'Цены'!R31,'Цены'!R41,'Цены'!R51,'Цены'!R61,'Цены'!R71,'Цены'!R81,'Цены'!R91,'Цены'!R101,'Цены'!R111,'Цены'!R121,'Цены'!R131,'Цены'!R141,'Цены'!R151,'Цены'!R161,'Цены'!R171,'Цены'!R181,'Цены'!R191,'Цены'!R201,'Цены'!R211,'Цены'!R221,'Цены'!R231,'Цены'!R241,'Цены'!R251,'Цены'!R261,'Цены'!R271,'Цены'!R281,'Цены'!R291,'Цены'!R301,'Цены'!R311,'Цены'!R321,'Цены'!R331,'Цены'!R341,'Цены'!R351,'Цены'!R361,'Цены'!R371,'Цены'!R381,'Цены'!R391,'Цены'!R401,'Цены'!R411,'Цены'!R421,'Цены'!R431,'Цены'!R441,'Цены'!R451,'Цены'!R461,'Цены'!R471,'Цены'!R481,'Цены'!R491,'Цены'!R501,'Цены'!R511,'Цены'!R521,'Цены'!R531,'Цены'!R541,'Цены'!R551,'Цены'!R561,'Цены'!R571,'Цены'!R581,'Цены'!R591,'Цены'!R601,'Цены'!R611,'Цены'!R621,'Цены'!R631,'Цены'!R641,'Цены'!R651,'Цены'!R661,'Цены'!R671,'Цены'!R681,'Цены'!R691,'Цены'!R701,'Цены'!R711,'Цены'!R721,'Цены'!R731,'Цены'!R741,'Цены'!R751,'Цены'!R761,'Цены'!R771,'Цены'!R781,'Цены'!R791,'Цены'!R801,'Цены'!R811,'Цены'!R821,'Цены'!R831,'Цены'!R841,'Цены'!R851,'Цены'!R861,'Цены'!R871,'Цены'!R881,'Цены'!R891,'Цены'!R901,'Цены'!R911,'Цены'!R921,'Цены'!R931,'Цены'!R941,'Цены'!R951,'Цены'!R961,'Цены'!R971,'Цены'!R981,'Цены'!R991,'Цены'!R1001))</x:f>
        <x:v>2.969100685074792</x:v>
      </x:c>
    </x:row>
    <x:row r="22" ht="21" customHeight="1">
      <x:c r="A22" s="2" t="str">
        <x:v>Нулевой остаток</x:v>
      </x:c>
      <x:c r="B22" s="2" t="str">
        <x:v>3 мин</x:v>
      </x:c>
      <x:c r="C22" s="2" t="n">
        <x:f>COUNTIFS('Покупки'!$C$8:$C$107,"Нулевой остаток")</x:f>
        <x:v>23</x:v>
      </x:c>
      <x:c r="D22" s="2" t="n">
        <x:f>COUNTIFS('Цены'!$B$8:$B$1007,180,'Цены'!$I$8:$I$1007,"Есть цена", 'Цены'!$C$8:$C$1007,"Нулевой остаток")</x:f>
        <x:v>7</x:v>
      </x:c>
      <x:c r="E22" s="2" t="n">
        <x:f>C22-D22-F22</x:f>
        <x:v>16</x:v>
      </x:c>
      <x:c r="F22" s="2" t="n">
        <x:f>COUNTIFS('Цены'!$B$8:$B$1007,180,'Цены'!$I$8:$I$1007,"Ещё рано", 'Цены'!$C$8:$C$1007,"Нулевой остаток")</x:f>
        <x:v>0</x:v>
      </x:c>
      <x:c r="G22" s="14" t="n">
        <x:f>IF(D22=0,"",AVERAGE('Цены'!R12,'Цены'!R22,'Цены'!R32,'Цены'!R42,'Цены'!R52,'Цены'!R62,'Цены'!R72,'Цены'!R82,'Цены'!R92,'Цены'!R102,'Цены'!R112,'Цены'!R122,'Цены'!R132,'Цены'!R142,'Цены'!R152,'Цены'!R162,'Цены'!R172,'Цены'!R182,'Цены'!R192,'Цены'!R202,'Цены'!R212,'Цены'!R222,'Цены'!R232,'Цены'!R242,'Цены'!R252,'Цены'!R262,'Цены'!R272,'Цены'!R282,'Цены'!R292,'Цены'!R302,'Цены'!R312,'Цены'!R322,'Цены'!R332,'Цены'!R342,'Цены'!R352,'Цены'!R362,'Цены'!R372,'Цены'!R382,'Цены'!R392,'Цены'!R402,'Цены'!R412,'Цены'!R422,'Цены'!R432,'Цены'!R442,'Цены'!R452,'Цены'!R462,'Цены'!R472,'Цены'!R482,'Цены'!R492,'Цены'!R502,'Цены'!R512,'Цены'!R522,'Цены'!R532,'Цены'!R542,'Цены'!R552,'Цены'!R562,'Цены'!R572,'Цены'!R582,'Цены'!R592,'Цены'!R602,'Цены'!R612,'Цены'!R622,'Цены'!R632,'Цены'!R642,'Цены'!R652,'Цены'!R662,'Цены'!R672,'Цены'!R682,'Цены'!R692,'Цены'!R702,'Цены'!R712,'Цены'!R722,'Цены'!R732,'Цены'!R742,'Цены'!R752,'Цены'!R762,'Цены'!R772,'Цены'!R782,'Цены'!R792,'Цены'!R802,'Цены'!R812,'Цены'!R822,'Цены'!R832,'Цены'!R842,'Цены'!R852,'Цены'!R862,'Цены'!R872,'Цены'!R882,'Цены'!R892,'Цены'!R902,'Цены'!R912,'Цены'!R922,'Цены'!R932,'Цены'!R942,'Цены'!R952,'Цены'!R962,'Цены'!R972,'Цены'!R982,'Цены'!R992,'Цены'!R1002))</x:f>
        <x:v>0.9320917968239127</x:v>
      </x:c>
      <x:c r="H22" s="14" t="n">
        <x:f>IF(D22=0,"",MEDIAN('Цены'!R12,'Цены'!R22,'Цены'!R32,'Цены'!R42,'Цены'!R52,'Цены'!R62,'Цены'!R72,'Цены'!R82,'Цены'!R92,'Цены'!R102,'Цены'!R112,'Цены'!R122,'Цены'!R132,'Цены'!R142,'Цены'!R152,'Цены'!R162,'Цены'!R172,'Цены'!R182,'Цены'!R192,'Цены'!R202,'Цены'!R212,'Цены'!R222,'Цены'!R232,'Цены'!R242,'Цены'!R252,'Цены'!R262,'Цены'!R272,'Цены'!R282,'Цены'!R292,'Цены'!R302,'Цены'!R312,'Цены'!R322,'Цены'!R332,'Цены'!R342,'Цены'!R352,'Цены'!R362,'Цены'!R372,'Цены'!R382,'Цены'!R392,'Цены'!R402,'Цены'!R412,'Цены'!R422,'Цены'!R432,'Цены'!R442,'Цены'!R452,'Цены'!R462,'Цены'!R472,'Цены'!R482,'Цены'!R492,'Цены'!R502,'Цены'!R512,'Цены'!R522,'Цены'!R532,'Цены'!R542,'Цены'!R552,'Цены'!R562,'Цены'!R572,'Цены'!R582,'Цены'!R592,'Цены'!R602,'Цены'!R612,'Цены'!R622,'Цены'!R632,'Цены'!R642,'Цены'!R652,'Цены'!R662,'Цены'!R672,'Цены'!R682,'Цены'!R692,'Цены'!R702,'Цены'!R712,'Цены'!R722,'Цены'!R732,'Цены'!R742,'Цены'!R752,'Цены'!R762,'Цены'!R772,'Цены'!R782,'Цены'!R792,'Цены'!R802,'Цены'!R812,'Цены'!R822,'Цены'!R832,'Цены'!R842,'Цены'!R852,'Цены'!R862,'Цены'!R872,'Цены'!R882,'Цены'!R892,'Цены'!R902,'Цены'!R912,'Цены'!R922,'Цены'!R932,'Цены'!R942,'Цены'!R952,'Цены'!R962,'Цены'!R972,'Цены'!R982,'Цены'!R992,'Цены'!R1002))</x:f>
        <x:v>0.858709297990121</x:v>
      </x:c>
      <x:c r="I22" s="14" t="n">
        <x:f>IF(D22=0,"",COUNTIFS('Цены'!$B$8:$B$1007,180,'Цены'!$I$8:$I$1007,"Есть цена",'Цены'!$G$8:$G$1007,"&gt;0", 'Цены'!$C$8:$C$1007,"Нулевой остаток")/D22)</x:f>
        <x:v>1</x:v>
      </x:c>
      <x:c r="J22" s="14" t="n">
        <x:f>IF(D22=0,"",COUNTIFS('Цены'!$B$8:$B$1007,180,'Цены'!$I$8:$I$1007,"Есть цена",'Цены'!$G$8:$G$1007,"&gt;=0.05", 'Цены'!$C$8:$C$1007,"Нулевой остаток")/D22)</x:f>
        <x:v>0.8571428571428571</x:v>
      </x:c>
      <x:c r="K22" s="14" t="n">
        <x:f>IF(D22=0,"",MIN('Цены'!R12,'Цены'!R22,'Цены'!R32,'Цены'!R42,'Цены'!R52,'Цены'!R62,'Цены'!R72,'Цены'!R82,'Цены'!R92,'Цены'!R102,'Цены'!R112,'Цены'!R122,'Цены'!R132,'Цены'!R142,'Цены'!R152,'Цены'!R162,'Цены'!R172,'Цены'!R182,'Цены'!R192,'Цены'!R202,'Цены'!R212,'Цены'!R222,'Цены'!R232,'Цены'!R242,'Цены'!R252,'Цены'!R262,'Цены'!R272,'Цены'!R282,'Цены'!R292,'Цены'!R302,'Цены'!R312,'Цены'!R322,'Цены'!R332,'Цены'!R342,'Цены'!R352,'Цены'!R362,'Цены'!R372,'Цены'!R382,'Цены'!R392,'Цены'!R402,'Цены'!R412,'Цены'!R422,'Цены'!R432,'Цены'!R442,'Цены'!R452,'Цены'!R462,'Цены'!R472,'Цены'!R482,'Цены'!R492,'Цены'!R502,'Цены'!R512,'Цены'!R522,'Цены'!R532,'Цены'!R542,'Цены'!R552,'Цены'!R562,'Цены'!R572,'Цены'!R582,'Цены'!R592,'Цены'!R602,'Цены'!R612,'Цены'!R622,'Цены'!R632,'Цены'!R642,'Цены'!R652,'Цены'!R662,'Цены'!R672,'Цены'!R682,'Цены'!R692,'Цены'!R702,'Цены'!R712,'Цены'!R722,'Цены'!R732,'Цены'!R742,'Цены'!R752,'Цены'!R762,'Цены'!R772,'Цены'!R782,'Цены'!R792,'Цены'!R802,'Цены'!R812,'Цены'!R822,'Цены'!R832,'Цены'!R842,'Цены'!R852,'Цены'!R862,'Цены'!R872,'Цены'!R882,'Цены'!R892,'Цены'!R902,'Цены'!R912,'Цены'!R922,'Цены'!R932,'Цены'!R942,'Цены'!R952,'Цены'!R962,'Цены'!R972,'Цены'!R982,'Цены'!R992,'Цены'!R1002))</x:f>
        <x:v>0.000877420704049614</x:v>
      </x:c>
      <x:c r="L22" s="14" t="n">
        <x:f>IF(D22=0,"",MAX('Цены'!R12,'Цены'!R22,'Цены'!R32,'Цены'!R42,'Цены'!R52,'Цены'!R62,'Цены'!R72,'Цены'!R82,'Цены'!R92,'Цены'!R102,'Цены'!R112,'Цены'!R122,'Цены'!R132,'Цены'!R142,'Цены'!R152,'Цены'!R162,'Цены'!R172,'Цены'!R182,'Цены'!R192,'Цены'!R202,'Цены'!R212,'Цены'!R222,'Цены'!R232,'Цены'!R242,'Цены'!R252,'Цены'!R262,'Цены'!R272,'Цены'!R282,'Цены'!R292,'Цены'!R302,'Цены'!R312,'Цены'!R322,'Цены'!R332,'Цены'!R342,'Цены'!R352,'Цены'!R362,'Цены'!R372,'Цены'!R382,'Цены'!R392,'Цены'!R402,'Цены'!R412,'Цены'!R422,'Цены'!R432,'Цены'!R442,'Цены'!R452,'Цены'!R462,'Цены'!R472,'Цены'!R482,'Цены'!R492,'Цены'!R502,'Цены'!R512,'Цены'!R522,'Цены'!R532,'Цены'!R542,'Цены'!R552,'Цены'!R562,'Цены'!R572,'Цены'!R582,'Цены'!R592,'Цены'!R602,'Цены'!R612,'Цены'!R622,'Цены'!R632,'Цены'!R642,'Цены'!R652,'Цены'!R662,'Цены'!R672,'Цены'!R682,'Цены'!R692,'Цены'!R702,'Цены'!R712,'Цены'!R722,'Цены'!R732,'Цены'!R742,'Цены'!R752,'Цены'!R762,'Цены'!R772,'Цены'!R782,'Цены'!R792,'Цены'!R802,'Цены'!R812,'Цены'!R822,'Цены'!R832,'Цены'!R842,'Цены'!R852,'Цены'!R862,'Цены'!R872,'Цены'!R882,'Цены'!R892,'Цены'!R902,'Цены'!R912,'Цены'!R922,'Цены'!R932,'Цены'!R942,'Цены'!R952,'Цены'!R962,'Цены'!R972,'Цены'!R982,'Цены'!R992,'Цены'!R1002))</x:f>
        <x:v>2.1536105641005356</x:v>
      </x:c>
    </x:row>
    <x:row r="23" ht="21" customHeight="1">
      <x:c r="A23" s="2" t="str">
        <x:v>Нулевой остаток</x:v>
      </x:c>
      <x:c r="B23" s="2" t="str">
        <x:v>5 мин</x:v>
      </x:c>
      <x:c r="C23" s="2" t="n">
        <x:f>COUNTIFS('Покупки'!$C$8:$C$107,"Нулевой остаток")</x:f>
        <x:v>23</x:v>
      </x:c>
      <x:c r="D23" s="2" t="n">
        <x:f>COUNTIFS('Цены'!$B$8:$B$1007,300,'Цены'!$I$8:$I$1007,"Есть цена", 'Цены'!$C$8:$C$1007,"Нулевой остаток")</x:f>
        <x:v>7</x:v>
      </x:c>
      <x:c r="E23" s="2" t="n">
        <x:f>C23-D23-F23</x:f>
        <x:v>16</x:v>
      </x:c>
      <x:c r="F23" s="2" t="n">
        <x:f>COUNTIFS('Цены'!$B$8:$B$1007,300,'Цены'!$I$8:$I$1007,"Ещё рано", 'Цены'!$C$8:$C$1007,"Нулевой остаток")</x:f>
        <x:v>0</x:v>
      </x:c>
      <x:c r="G23" s="14" t="n">
        <x:f>IF(D23=0,"",AVERAGE('Цены'!R13,'Цены'!R23,'Цены'!R33,'Цены'!R43,'Цены'!R53,'Цены'!R63,'Цены'!R73,'Цены'!R83,'Цены'!R93,'Цены'!R103,'Цены'!R113,'Цены'!R123,'Цены'!R133,'Цены'!R143,'Цены'!R153,'Цены'!R163,'Цены'!R173,'Цены'!R183,'Цены'!R193,'Цены'!R203,'Цены'!R213,'Цены'!R223,'Цены'!R233,'Цены'!R243,'Цены'!R253,'Цены'!R263,'Цены'!R273,'Цены'!R283,'Цены'!R293,'Цены'!R303,'Цены'!R313,'Цены'!R323,'Цены'!R333,'Цены'!R343,'Цены'!R353,'Цены'!R363,'Цены'!R373,'Цены'!R383,'Цены'!R393,'Цены'!R403,'Цены'!R413,'Цены'!R423,'Цены'!R433,'Цены'!R443,'Цены'!R453,'Цены'!R463,'Цены'!R473,'Цены'!R483,'Цены'!R493,'Цены'!R503,'Цены'!R513,'Цены'!R523,'Цены'!R533,'Цены'!R543,'Цены'!R553,'Цены'!R563,'Цены'!R573,'Цены'!R583,'Цены'!R593,'Цены'!R603,'Цены'!R613,'Цены'!R623,'Цены'!R633,'Цены'!R643,'Цены'!R653,'Цены'!R663,'Цены'!R673,'Цены'!R683,'Цены'!R693,'Цены'!R703,'Цены'!R713,'Цены'!R723,'Цены'!R733,'Цены'!R743,'Цены'!R753,'Цены'!R763,'Цены'!R773,'Цены'!R783,'Цены'!R793,'Цены'!R803,'Цены'!R813,'Цены'!R823,'Цены'!R833,'Цены'!R843,'Цены'!R853,'Цены'!R863,'Цены'!R873,'Цены'!R883,'Цены'!R893,'Цены'!R903,'Цены'!R913,'Цены'!R923,'Цены'!R933,'Цены'!R943,'Цены'!R953,'Цены'!R963,'Цены'!R973,'Цены'!R983,'Цены'!R993,'Цены'!R1003))</x:f>
        <x:v>0.8969003204305878</x:v>
      </x:c>
      <x:c r="H23" s="14" t="n">
        <x:f>IF(D23=0,"",MEDIAN('Цены'!R13,'Цены'!R23,'Цены'!R33,'Цены'!R43,'Цены'!R53,'Цены'!R63,'Цены'!R73,'Цены'!R83,'Цены'!R93,'Цены'!R103,'Цены'!R113,'Цены'!R123,'Цены'!R133,'Цены'!R143,'Цены'!R153,'Цены'!R163,'Цены'!R173,'Цены'!R183,'Цены'!R193,'Цены'!R203,'Цены'!R213,'Цены'!R223,'Цены'!R233,'Цены'!R243,'Цены'!R253,'Цены'!R263,'Цены'!R273,'Цены'!R283,'Цены'!R293,'Цены'!R303,'Цены'!R313,'Цены'!R323,'Цены'!R333,'Цены'!R343,'Цены'!R353,'Цены'!R363,'Цены'!R373,'Цены'!R383,'Цены'!R393,'Цены'!R403,'Цены'!R413,'Цены'!R423,'Цены'!R433,'Цены'!R443,'Цены'!R453,'Цены'!R463,'Цены'!R473,'Цены'!R483,'Цены'!R493,'Цены'!R503,'Цены'!R513,'Цены'!R523,'Цены'!R533,'Цены'!R543,'Цены'!R553,'Цены'!R563,'Цены'!R573,'Цены'!R583,'Цены'!R593,'Цены'!R603,'Цены'!R613,'Цены'!R623,'Цены'!R633,'Цены'!R643,'Цены'!R653,'Цены'!R663,'Цены'!R673,'Цены'!R683,'Цены'!R693,'Цены'!R703,'Цены'!R713,'Цены'!R723,'Цены'!R733,'Цены'!R743,'Цены'!R753,'Цены'!R763,'Цены'!R773,'Цены'!R783,'Цены'!R793,'Цены'!R803,'Цены'!R813,'Цены'!R823,'Цены'!R833,'Цены'!R843,'Цены'!R853,'Цены'!R863,'Цены'!R873,'Цены'!R883,'Цены'!R893,'Цены'!R903,'Цены'!R913,'Цены'!R923,'Цены'!R933,'Цены'!R943,'Цены'!R953,'Цены'!R963,'Цены'!R973,'Цены'!R983,'Цены'!R993,'Цены'!R1003))</x:f>
        <x:v>0.954795715164809</x:v>
      </x:c>
      <x:c r="I23" s="14" t="n">
        <x:f>IF(D23=0,"",COUNTIFS('Цены'!$B$8:$B$1007,300,'Цены'!$I$8:$I$1007,"Есть цена",'Цены'!$G$8:$G$1007,"&gt;0", 'Цены'!$C$8:$C$1007,"Нулевой остаток")/D23)</x:f>
        <x:v>1</x:v>
      </x:c>
      <x:c r="J23" s="14" t="n">
        <x:f>IF(D23=0,"",COUNTIFS('Цены'!$B$8:$B$1007,300,'Цены'!$I$8:$I$1007,"Есть цена",'Цены'!$G$8:$G$1007,"&gt;=0.05", 'Цены'!$C$8:$C$1007,"Нулевой остаток")/D23)</x:f>
        <x:v>1</x:v>
      </x:c>
      <x:c r="K23" s="14" t="n">
        <x:f>IF(D23=0,"",MIN('Цены'!R13,'Цены'!R23,'Цены'!R33,'Цены'!R43,'Цены'!R53,'Цены'!R63,'Цены'!R73,'Цены'!R83,'Цены'!R93,'Цены'!R103,'Цены'!R113,'Цены'!R123,'Цены'!R133,'Цены'!R143,'Цены'!R153,'Цены'!R163,'Цены'!R173,'Цены'!R183,'Цены'!R193,'Цены'!R203,'Цены'!R213,'Цены'!R223,'Цены'!R233,'Цены'!R243,'Цены'!R253,'Цены'!R263,'Цены'!R273,'Цены'!R283,'Цены'!R293,'Цены'!R303,'Цены'!R313,'Цены'!R323,'Цены'!R333,'Цены'!R343,'Цены'!R353,'Цены'!R363,'Цены'!R373,'Цены'!R383,'Цены'!R393,'Цены'!R403,'Цены'!R413,'Цены'!R423,'Цены'!R433,'Цены'!R443,'Цены'!R453,'Цены'!R463,'Цены'!R473,'Цены'!R483,'Цены'!R493,'Цены'!R503,'Цены'!R513,'Цены'!R523,'Цены'!R533,'Цены'!R543,'Цены'!R553,'Цены'!R563,'Цены'!R573,'Цены'!R583,'Цены'!R593,'Цены'!R603,'Цены'!R613,'Цены'!R623,'Цены'!R633,'Цены'!R643,'Цены'!R653,'Цены'!R663,'Цены'!R673,'Цены'!R683,'Цены'!R693,'Цены'!R703,'Цены'!R713,'Цены'!R723,'Цены'!R733,'Цены'!R743,'Цены'!R753,'Цены'!R763,'Цены'!R773,'Цены'!R783,'Цены'!R793,'Цены'!R803,'Цены'!R813,'Цены'!R823,'Цены'!R833,'Цены'!R843,'Цены'!R853,'Цены'!R863,'Цены'!R873,'Цены'!R883,'Цены'!R893,'Цены'!R903,'Цены'!R913,'Цены'!R923,'Цены'!R933,'Цены'!R943,'Цены'!R953,'Цены'!R963,'Цены'!R973,'Цены'!R983,'Цены'!R993,'Цены'!R1003))</x:f>
        <x:v>0.12786811287980226</x:v>
      </x:c>
      <x:c r="L23" s="14" t="n">
        <x:f>IF(D23=0,"",MAX('Цены'!R13,'Цены'!R23,'Цены'!R33,'Цены'!R43,'Цены'!R53,'Цены'!R63,'Цены'!R73,'Цены'!R83,'Цены'!R93,'Цены'!R103,'Цены'!R113,'Цены'!R123,'Цены'!R133,'Цены'!R143,'Цены'!R153,'Цены'!R163,'Цены'!R173,'Цены'!R183,'Цены'!R193,'Цены'!R203,'Цены'!R213,'Цены'!R223,'Цены'!R233,'Цены'!R243,'Цены'!R253,'Цены'!R263,'Цены'!R273,'Цены'!R283,'Цены'!R293,'Цены'!R303,'Цены'!R313,'Цены'!R323,'Цены'!R333,'Цены'!R343,'Цены'!R353,'Цены'!R363,'Цены'!R373,'Цены'!R383,'Цены'!R393,'Цены'!R403,'Цены'!R413,'Цены'!R423,'Цены'!R433,'Цены'!R443,'Цены'!R453,'Цены'!R463,'Цены'!R473,'Цены'!R483,'Цены'!R493,'Цены'!R503,'Цены'!R513,'Цены'!R523,'Цены'!R533,'Цены'!R543,'Цены'!R553,'Цены'!R563,'Цены'!R573,'Цены'!R583,'Цены'!R593,'Цены'!R603,'Цены'!R613,'Цены'!R623,'Цены'!R633,'Цены'!R643,'Цены'!R653,'Цены'!R663,'Цены'!R673,'Цены'!R683,'Цены'!R693,'Цены'!R703,'Цены'!R713,'Цены'!R723,'Цены'!R733,'Цены'!R743,'Цены'!R753,'Цены'!R763,'Цены'!R773,'Цены'!R783,'Цены'!R793,'Цены'!R803,'Цены'!R813,'Цены'!R823,'Цены'!R833,'Цены'!R843,'Цены'!R853,'Цены'!R863,'Цены'!R873,'Цены'!R883,'Цены'!R893,'Цены'!R903,'Цены'!R913,'Цены'!R923,'Цены'!R933,'Цены'!R943,'Цены'!R953,'Цены'!R963,'Цены'!R973,'Цены'!R983,'Цены'!R993,'Цены'!R1003))</x:f>
        <x:v>1.6452483339262347</x:v>
      </x:c>
    </x:row>
    <x:row r="24" ht="21" customHeight="1">
      <x:c r="A24" s="2" t="str">
        <x:v>Нулевой остаток</x:v>
      </x:c>
      <x:c r="B24" s="2" t="str">
        <x:v>15 мин</x:v>
      </x:c>
      <x:c r="C24" s="2" t="n">
        <x:f>COUNTIFS('Покупки'!$C$8:$C$107,"Нулевой остаток")</x:f>
        <x:v>23</x:v>
      </x:c>
      <x:c r="D24" s="2" t="n">
        <x:f>COUNTIFS('Цены'!$B$8:$B$1007,900,'Цены'!$I$8:$I$1007,"Есть цена", 'Цены'!$C$8:$C$1007,"Нулевой остаток")</x:f>
        <x:v>6</x:v>
      </x:c>
      <x:c r="E24" s="2" t="n">
        <x:f>C24-D24-F24</x:f>
        <x:v>17</x:v>
      </x:c>
      <x:c r="F24" s="2" t="n">
        <x:f>COUNTIFS('Цены'!$B$8:$B$1007,900,'Цены'!$I$8:$I$1007,"Ещё рано", 'Цены'!$C$8:$C$1007,"Нулевой остаток")</x:f>
        <x:v>0</x:v>
      </x:c>
      <x:c r="G24" s="14" t="n">
        <x:f>IF(D24=0,"",AVERAGE('Цены'!R14,'Цены'!R24,'Цены'!R34,'Цены'!R44,'Цены'!R54,'Цены'!R64,'Цены'!R74,'Цены'!R84,'Цены'!R94,'Цены'!R104,'Цены'!R114,'Цены'!R124,'Цены'!R134,'Цены'!R144,'Цены'!R154,'Цены'!R164,'Цены'!R174,'Цены'!R184,'Цены'!R194,'Цены'!R204,'Цены'!R214,'Цены'!R224,'Цены'!R234,'Цены'!R244,'Цены'!R254,'Цены'!R264,'Цены'!R274,'Цены'!R284,'Цены'!R294,'Цены'!R304,'Цены'!R314,'Цены'!R324,'Цены'!R334,'Цены'!R344,'Цены'!R354,'Цены'!R364,'Цены'!R374,'Цены'!R384,'Цены'!R394,'Цены'!R404,'Цены'!R414,'Цены'!R424,'Цены'!R434,'Цены'!R444,'Цены'!R454,'Цены'!R464,'Цены'!R474,'Цены'!R484,'Цены'!R494,'Цены'!R504,'Цены'!R514,'Цены'!R524,'Цены'!R534,'Цены'!R544,'Цены'!R554,'Цены'!R564,'Цены'!R574,'Цены'!R584,'Цены'!R594,'Цены'!R604,'Цены'!R614,'Цены'!R624,'Цены'!R634,'Цены'!R644,'Цены'!R654,'Цены'!R664,'Цены'!R674,'Цены'!R684,'Цены'!R694,'Цены'!R704,'Цены'!R714,'Цены'!R724,'Цены'!R734,'Цены'!R744,'Цены'!R754,'Цены'!R764,'Цены'!R774,'Цены'!R784,'Цены'!R794,'Цены'!R804,'Цены'!R814,'Цены'!R824,'Цены'!R834,'Цены'!R844,'Цены'!R854,'Цены'!R864,'Цены'!R874,'Цены'!R884,'Цены'!R894,'Цены'!R904,'Цены'!R914,'Цены'!R924,'Цены'!R934,'Цены'!R944,'Цены'!R954,'Цены'!R964,'Цены'!R974,'Цены'!R984,'Цены'!R994,'Цены'!R1004))</x:f>
        <x:v>0.7675379730514136</x:v>
      </x:c>
      <x:c r="H24" s="14" t="n">
        <x:f>IF(D24=0,"",MEDIAN('Цены'!R14,'Цены'!R24,'Цены'!R34,'Цены'!R44,'Цены'!R54,'Цены'!R64,'Цены'!R74,'Цены'!R84,'Цены'!R94,'Цены'!R104,'Цены'!R114,'Цены'!R124,'Цены'!R134,'Цены'!R144,'Цены'!R154,'Цены'!R164,'Цены'!R174,'Цены'!R184,'Цены'!R194,'Цены'!R204,'Цены'!R214,'Цены'!R224,'Цены'!R234,'Цены'!R244,'Цены'!R254,'Цены'!R264,'Цены'!R274,'Цены'!R284,'Цены'!R294,'Цены'!R304,'Цены'!R314,'Цены'!R324,'Цены'!R334,'Цены'!R344,'Цены'!R354,'Цены'!R364,'Цены'!R374,'Цены'!R384,'Цены'!R394,'Цены'!R404,'Цены'!R414,'Цены'!R424,'Цены'!R434,'Цены'!R444,'Цены'!R454,'Цены'!R464,'Цены'!R474,'Цены'!R484,'Цены'!R494,'Цены'!R504,'Цены'!R514,'Цены'!R524,'Цены'!R534,'Цены'!R544,'Цены'!R554,'Цены'!R564,'Цены'!R574,'Цены'!R584,'Цены'!R594,'Цены'!R604,'Цены'!R614,'Цены'!R624,'Цены'!R634,'Цены'!R644,'Цены'!R654,'Цены'!R664,'Цены'!R674,'Цены'!R684,'Цены'!R694,'Цены'!R704,'Цены'!R714,'Цены'!R724,'Цены'!R734,'Цены'!R744,'Цены'!R754,'Цены'!R764,'Цены'!R774,'Цены'!R784,'Цены'!R794,'Цены'!R804,'Цены'!R814,'Цены'!R824,'Цены'!R834,'Цены'!R844,'Цены'!R854,'Цены'!R864,'Цены'!R874,'Цены'!R884,'Цены'!R894,'Цены'!R904,'Цены'!R914,'Цены'!R924,'Цены'!R934,'Цены'!R944,'Цены'!R954,'Цены'!R964,'Цены'!R974,'Цены'!R984,'Цены'!R994,'Цены'!R1004))</x:f>
        <x:v>0.7236869495593398</x:v>
      </x:c>
      <x:c r="I24" s="14" t="n">
        <x:f>IF(D24=0,"",COUNTIFS('Цены'!$B$8:$B$1007,900,'Цены'!$I$8:$I$1007,"Есть цена",'Цены'!$G$8:$G$1007,"&gt;0", 'Цены'!$C$8:$C$1007,"Нулевой остаток")/D24)</x:f>
        <x:v>1</x:v>
      </x:c>
      <x:c r="J24" s="14" t="n">
        <x:f>IF(D24=0,"",COUNTIFS('Цены'!$B$8:$B$1007,900,'Цены'!$I$8:$I$1007,"Есть цена",'Цены'!$G$8:$G$1007,"&gt;=0.05", 'Цены'!$C$8:$C$1007,"Нулевой остаток")/D24)</x:f>
        <x:v>1</x:v>
      </x:c>
      <x:c r="K24" s="14" t="n">
        <x:f>IF(D24=0,"",MIN('Цены'!R14,'Цены'!R24,'Цены'!R34,'Цены'!R44,'Цены'!R54,'Цены'!R64,'Цены'!R74,'Цены'!R84,'Цены'!R94,'Цены'!R104,'Цены'!R114,'Цены'!R124,'Цены'!R134,'Цены'!R144,'Цены'!R154,'Цены'!R164,'Цены'!R174,'Цены'!R184,'Цены'!R194,'Цены'!R204,'Цены'!R214,'Цены'!R224,'Цены'!R234,'Цены'!R244,'Цены'!R254,'Цены'!R264,'Цены'!R274,'Цены'!R284,'Цены'!R294,'Цены'!R304,'Цены'!R314,'Цены'!R324,'Цены'!R334,'Цены'!R344,'Цены'!R354,'Цены'!R364,'Цены'!R374,'Цены'!R384,'Цены'!R394,'Цены'!R404,'Цены'!R414,'Цены'!R424,'Цены'!R434,'Цены'!R444,'Цены'!R454,'Цены'!R464,'Цены'!R474,'Цены'!R484,'Цены'!R494,'Цены'!R504,'Цены'!R514,'Цены'!R524,'Цены'!R534,'Цены'!R544,'Цены'!R554,'Цены'!R564,'Цены'!R574,'Цены'!R584,'Цены'!R594,'Цены'!R604,'Цены'!R614,'Цены'!R624,'Цены'!R634,'Цены'!R644,'Цены'!R654,'Цены'!R664,'Цены'!R674,'Цены'!R684,'Цены'!R694,'Цены'!R704,'Цены'!R714,'Цены'!R724,'Цены'!R734,'Цены'!R744,'Цены'!R754,'Цены'!R764,'Цены'!R774,'Цены'!R784,'Цены'!R794,'Цены'!R804,'Цены'!R814,'Цены'!R824,'Цены'!R834,'Цены'!R844,'Цены'!R854,'Цены'!R864,'Цены'!R874,'Цены'!R884,'Цены'!R894,'Цены'!R904,'Цены'!R914,'Цены'!R924,'Цены'!R934,'Цены'!R944,'Цены'!R954,'Цены'!R964,'Цены'!R974,'Цены'!R984,'Цены'!R994,'Цены'!R1004))</x:f>
        <x:v>0.05631671620741874</x:v>
      </x:c>
      <x:c r="L24" s="14" t="n">
        <x:f>IF(D24=0,"",MAX('Цены'!R14,'Цены'!R24,'Цены'!R34,'Цены'!R44,'Цены'!R54,'Цены'!R64,'Цены'!R74,'Цены'!R84,'Цены'!R94,'Цены'!R104,'Цены'!R114,'Цены'!R124,'Цены'!R134,'Цены'!R144,'Цены'!R154,'Цены'!R164,'Цены'!R174,'Цены'!R184,'Цены'!R194,'Цены'!R204,'Цены'!R214,'Цены'!R224,'Цены'!R234,'Цены'!R244,'Цены'!R254,'Цены'!R264,'Цены'!R274,'Цены'!R284,'Цены'!R294,'Цены'!R304,'Цены'!R314,'Цены'!R324,'Цены'!R334,'Цены'!R344,'Цены'!R354,'Цены'!R364,'Цены'!R374,'Цены'!R384,'Цены'!R394,'Цены'!R404,'Цены'!R414,'Цены'!R424,'Цены'!R434,'Цены'!R444,'Цены'!R454,'Цены'!R464,'Цены'!R474,'Цены'!R484,'Цены'!R494,'Цены'!R504,'Цены'!R514,'Цены'!R524,'Цены'!R534,'Цены'!R544,'Цены'!R554,'Цены'!R564,'Цены'!R574,'Цены'!R584,'Цены'!R594,'Цены'!R604,'Цены'!R614,'Цены'!R624,'Цены'!R634,'Цены'!R644,'Цены'!R654,'Цены'!R664,'Цены'!R674,'Цены'!R684,'Цены'!R694,'Цены'!R704,'Цены'!R714,'Цены'!R724,'Цены'!R734,'Цены'!R744,'Цены'!R754,'Цены'!R764,'Цены'!R774,'Цены'!R784,'Цены'!R794,'Цены'!R804,'Цены'!R814,'Цены'!R824,'Цены'!R834,'Цены'!R844,'Цены'!R854,'Цены'!R864,'Цены'!R874,'Цены'!R884,'Цены'!R894,'Цены'!R904,'Цены'!R914,'Цены'!R924,'Цены'!R934,'Цены'!R944,'Цены'!R954,'Цены'!R964,'Цены'!R974,'Цены'!R984,'Цены'!R994,'Цены'!R1004))</x:f>
        <x:v>1.519005399037789</x:v>
      </x:c>
    </x:row>
    <x:row r="25" ht="21" customHeight="1">
      <x:c r="A25" s="2" t="str">
        <x:v>Нулевой остаток</x:v>
      </x:c>
      <x:c r="B25" s="2" t="str">
        <x:v>1 ч</x:v>
      </x:c>
      <x:c r="C25" s="2" t="n">
        <x:f>COUNTIFS('Покупки'!$C$8:$C$107,"Нулевой остаток")</x:f>
        <x:v>23</x:v>
      </x:c>
      <x:c r="D25" s="2" t="n">
        <x:f>COUNTIFS('Цены'!$B$8:$B$1007,3600,'Цены'!$I$8:$I$1007,"Есть цена", 'Цены'!$C$8:$C$1007,"Нулевой остаток")</x:f>
        <x:v>6</x:v>
      </x:c>
      <x:c r="E25" s="2" t="n">
        <x:f>C25-D25-F25</x:f>
        <x:v>17</x:v>
      </x:c>
      <x:c r="F25" s="2" t="n">
        <x:f>COUNTIFS('Цены'!$B$8:$B$1007,3600,'Цены'!$I$8:$I$1007,"Ещё рано", 'Цены'!$C$8:$C$1007,"Нулевой остаток")</x:f>
        <x:v>0</x:v>
      </x:c>
      <x:c r="G25" s="14" t="n">
        <x:f>IF(D25=0,"",AVERAGE('Цены'!R15,'Цены'!R25,'Цены'!R35,'Цены'!R45,'Цены'!R55,'Цены'!R65,'Цены'!R75,'Цены'!R85,'Цены'!R95,'Цены'!R105,'Цены'!R115,'Цены'!R125,'Цены'!R135,'Цены'!R145,'Цены'!R155,'Цены'!R165,'Цены'!R175,'Цены'!R185,'Цены'!R195,'Цены'!R205,'Цены'!R215,'Цены'!R225,'Цены'!R235,'Цены'!R245,'Цены'!R255,'Цены'!R265,'Цены'!R275,'Цены'!R285,'Цены'!R295,'Цены'!R305,'Цены'!R315,'Цены'!R325,'Цены'!R335,'Цены'!R345,'Цены'!R355,'Цены'!R365,'Цены'!R375,'Цены'!R385,'Цены'!R395,'Цены'!R405,'Цены'!R415,'Цены'!R425,'Цены'!R435,'Цены'!R445,'Цены'!R455,'Цены'!R465,'Цены'!R475,'Цены'!R485,'Цены'!R495,'Цены'!R505,'Цены'!R515,'Цены'!R525,'Цены'!R535,'Цены'!R545,'Цены'!R555,'Цены'!R565,'Цены'!R575,'Цены'!R585,'Цены'!R595,'Цены'!R605,'Цены'!R615,'Цены'!R625,'Цены'!R635,'Цены'!R645,'Цены'!R655,'Цены'!R665,'Цены'!R675,'Цены'!R685,'Цены'!R695,'Цены'!R705,'Цены'!R715,'Цены'!R725,'Цены'!R735,'Цены'!R745,'Цены'!R755,'Цены'!R765,'Цены'!R775,'Цены'!R785,'Цены'!R795,'Цены'!R805,'Цены'!R815,'Цены'!R825,'Цены'!R835,'Цены'!R845,'Цены'!R855,'Цены'!R865,'Цены'!R875,'Цены'!R885,'Цены'!R895,'Цены'!R905,'Цены'!R915,'Цены'!R925,'Цены'!R935,'Цены'!R945,'Цены'!R955,'Цены'!R965,'Цены'!R975,'Цены'!R985,'Цены'!R995,'Цены'!R1005))</x:f>
        <x:v>0.8629499969994724</x:v>
      </x:c>
      <x:c r="H25" s="14" t="n">
        <x:f>IF(D25=0,"",MEDIAN('Цены'!R15,'Цены'!R25,'Цены'!R35,'Цены'!R45,'Цены'!R55,'Цены'!R65,'Цены'!R75,'Цены'!R85,'Цены'!R95,'Цены'!R105,'Цены'!R115,'Цены'!R125,'Цены'!R135,'Цены'!R145,'Цены'!R155,'Цены'!R165,'Цены'!R175,'Цены'!R185,'Цены'!R195,'Цены'!R205,'Цены'!R215,'Цены'!R225,'Цены'!R235,'Цены'!R245,'Цены'!R255,'Цены'!R265,'Цены'!R275,'Цены'!R285,'Цены'!R295,'Цены'!R305,'Цены'!R315,'Цены'!R325,'Цены'!R335,'Цены'!R345,'Цены'!R355,'Цены'!R365,'Цены'!R375,'Цены'!R385,'Цены'!R395,'Цены'!R405,'Цены'!R415,'Цены'!R425,'Цены'!R435,'Цены'!R445,'Цены'!R455,'Цены'!R465,'Цены'!R475,'Цены'!R485,'Цены'!R495,'Цены'!R505,'Цены'!R515,'Цены'!R525,'Цены'!R535,'Цены'!R545,'Цены'!R555,'Цены'!R565,'Цены'!R575,'Цены'!R585,'Цены'!R595,'Цены'!R605,'Цены'!R615,'Цены'!R625,'Цены'!R635,'Цены'!R645,'Цены'!R655,'Цены'!R665,'Цены'!R675,'Цены'!R685,'Цены'!R695,'Цены'!R705,'Цены'!R715,'Цены'!R725,'Цены'!R735,'Цены'!R745,'Цены'!R755,'Цены'!R765,'Цены'!R775,'Цены'!R785,'Цены'!R795,'Цены'!R805,'Цены'!R815,'Цены'!R825,'Цены'!R835,'Цены'!R845,'Цены'!R855,'Цены'!R865,'Цены'!R875,'Цены'!R885,'Цены'!R895,'Цены'!R905,'Цены'!R915,'Цены'!R925,'Цены'!R935,'Цены'!R945,'Цены'!R955,'Цены'!R965,'Цены'!R975,'Цены'!R985,'Цены'!R995,'Цены'!R1005))</x:f>
        <x:v>0.3829450289768581</x:v>
      </x:c>
      <x:c r="I25" s="14" t="n">
        <x:f>IF(D25=0,"",COUNTIFS('Цены'!$B$8:$B$1007,3600,'Цены'!$I$8:$I$1007,"Есть цена",'Цены'!$G$8:$G$1007,"&gt;0", 'Цены'!$C$8:$C$1007,"Нулевой остаток")/D25)</x:f>
        <x:v>1</x:v>
      </x:c>
      <x:c r="J25" s="14" t="n">
        <x:f>IF(D25=0,"",COUNTIFS('Цены'!$B$8:$B$1007,3600,'Цены'!$I$8:$I$1007,"Есть цена",'Цены'!$G$8:$G$1007,"&gt;=0.05", 'Цены'!$C$8:$C$1007,"Нулевой остаток")/D25)</x:f>
        <x:v>1</x:v>
      </x:c>
      <x:c r="K25" s="14" t="n">
        <x:f>IF(D25=0,"",MIN('Цены'!R15,'Цены'!R25,'Цены'!R35,'Цены'!R45,'Цены'!R55,'Цены'!R65,'Цены'!R75,'Цены'!R85,'Цены'!R95,'Цены'!R105,'Цены'!R115,'Цены'!R125,'Цены'!R135,'Цены'!R145,'Цены'!R155,'Цены'!R165,'Цены'!R175,'Цены'!R185,'Цены'!R195,'Цены'!R205,'Цены'!R215,'Цены'!R225,'Цены'!R235,'Цены'!R245,'Цены'!R255,'Цены'!R265,'Цены'!R275,'Цены'!R285,'Цены'!R295,'Цены'!R305,'Цены'!R315,'Цены'!R325,'Цены'!R335,'Цены'!R345,'Цены'!R355,'Цены'!R365,'Цены'!R375,'Цены'!R385,'Цены'!R395,'Цены'!R405,'Цены'!R415,'Цены'!R425,'Цены'!R435,'Цены'!R445,'Цены'!R455,'Цены'!R465,'Цены'!R475,'Цены'!R485,'Цены'!R495,'Цены'!R505,'Цены'!R515,'Цены'!R525,'Цены'!R535,'Цены'!R545,'Цены'!R555,'Цены'!R565,'Цены'!R575,'Цены'!R585,'Цены'!R595,'Цены'!R605,'Цены'!R615,'Цены'!R625,'Цены'!R635,'Цены'!R645,'Цены'!R655,'Цены'!R665,'Цены'!R675,'Цены'!R685,'Цены'!R695,'Цены'!R705,'Цены'!R715,'Цены'!R725,'Цены'!R735,'Цены'!R745,'Цены'!R755,'Цены'!R765,'Цены'!R775,'Цены'!R785,'Цены'!R795,'Цены'!R805,'Цены'!R815,'Цены'!R825,'Цены'!R835,'Цены'!R845,'Цены'!R855,'Цены'!R865,'Цены'!R875,'Цены'!R885,'Цены'!R895,'Цены'!R905,'Цены'!R915,'Цены'!R925,'Цены'!R935,'Цены'!R945,'Цены'!R955,'Цены'!R965,'Цены'!R975,'Цены'!R985,'Цены'!R995,'Цены'!R1005))</x:f>
        <x:v>0.09215111018292821</x:v>
      </x:c>
      <x:c r="L25" s="14" t="n">
        <x:f>IF(D25=0,"",MAX('Цены'!R15,'Цены'!R25,'Цены'!R35,'Цены'!R45,'Цены'!R55,'Цены'!R65,'Цены'!R75,'Цены'!R85,'Цены'!R95,'Цены'!R105,'Цены'!R115,'Цены'!R125,'Цены'!R135,'Цены'!R145,'Цены'!R155,'Цены'!R165,'Цены'!R175,'Цены'!R185,'Цены'!R195,'Цены'!R205,'Цены'!R215,'Цены'!R225,'Цены'!R235,'Цены'!R245,'Цены'!R255,'Цены'!R265,'Цены'!R275,'Цены'!R285,'Цены'!R295,'Цены'!R305,'Цены'!R315,'Цены'!R325,'Цены'!R335,'Цены'!R345,'Цены'!R355,'Цены'!R365,'Цены'!R375,'Цены'!R385,'Цены'!R395,'Цены'!R405,'Цены'!R415,'Цены'!R425,'Цены'!R435,'Цены'!R445,'Цены'!R455,'Цены'!R465,'Цены'!R475,'Цены'!R485,'Цены'!R495,'Цены'!R505,'Цены'!R515,'Цены'!R525,'Цены'!R535,'Цены'!R545,'Цены'!R555,'Цены'!R565,'Цены'!R575,'Цены'!R585,'Цены'!R595,'Цены'!R605,'Цены'!R615,'Цены'!R625,'Цены'!R635,'Цены'!R645,'Цены'!R655,'Цены'!R665,'Цены'!R675,'Цены'!R685,'Цены'!R695,'Цены'!R705,'Цены'!R715,'Цены'!R725,'Цены'!R735,'Цены'!R745,'Цены'!R755,'Цены'!R765,'Цены'!R775,'Цены'!R785,'Цены'!R795,'Цены'!R805,'Цены'!R815,'Цены'!R825,'Цены'!R835,'Цены'!R845,'Цены'!R855,'Цены'!R865,'Цены'!R875,'Цены'!R885,'Цены'!R895,'Цены'!R905,'Цены'!R915,'Цены'!R925,'Цены'!R935,'Цены'!R945,'Цены'!R955,'Цены'!R965,'Цены'!R975,'Цены'!R985,'Цены'!R995,'Цены'!R1005))</x:f>
        <x:v>3.0794535623302046</x:v>
      </x:c>
    </x:row>
    <x:row r="26" ht="21" customHeight="1">
      <x:c r="A26" s="2" t="str">
        <x:v>Нулевой остаток</x:v>
      </x:c>
      <x:c r="B26" s="2" t="str">
        <x:v>6 ч</x:v>
      </x:c>
      <x:c r="C26" s="2" t="n">
        <x:f>COUNTIFS('Покупки'!$C$8:$C$107,"Нулевой остаток")</x:f>
        <x:v>23</x:v>
      </x:c>
      <x:c r="D26" s="2" t="n">
        <x:f>COUNTIFS('Цены'!$B$8:$B$1007,21600,'Цены'!$I$8:$I$1007,"Есть цена", 'Цены'!$C$8:$C$1007,"Нулевой остаток")</x:f>
        <x:v>0</x:v>
      </x:c>
      <x:c r="E26" s="2" t="n">
        <x:f>C26-D26-F26</x:f>
        <x:v>11</x:v>
      </x:c>
      <x:c r="F26" s="2" t="n">
        <x:f>COUNTIFS('Цены'!$B$8:$B$1007,21600,'Цены'!$I$8:$I$1007,"Ещё рано", 'Цены'!$C$8:$C$1007,"Нулевой остаток")</x:f>
        <x:v>12</x:v>
      </x:c>
      <x:c r="G26" s="14" t="str">
        <x:f>IF(D26=0,"",AVERAGE('Цены'!R16,'Цены'!R26,'Цены'!R36,'Цены'!R46,'Цены'!R56,'Цены'!R66,'Цены'!R76,'Цены'!R86,'Цены'!R96,'Цены'!R106,'Цены'!R116,'Цены'!R126,'Цены'!R136,'Цены'!R146,'Цены'!R156,'Цены'!R166,'Цены'!R176,'Цены'!R186,'Цены'!R196,'Цены'!R206,'Цены'!R216,'Цены'!R226,'Цены'!R236,'Цены'!R246,'Цены'!R256,'Цены'!R266,'Цены'!R276,'Цены'!R286,'Цены'!R296,'Цены'!R306,'Цены'!R316,'Цены'!R326,'Цены'!R336,'Цены'!R346,'Цены'!R356,'Цены'!R366,'Цены'!R376,'Цены'!R386,'Цены'!R396,'Цены'!R406,'Цены'!R416,'Цены'!R426,'Цены'!R436,'Цены'!R446,'Цены'!R456,'Цены'!R466,'Цены'!R476,'Цены'!R486,'Цены'!R496,'Цены'!R506,'Цены'!R516,'Цены'!R526,'Цены'!R536,'Цены'!R546,'Цены'!R556,'Цены'!R566,'Цены'!R576,'Цены'!R586,'Цены'!R596,'Цены'!R606,'Цены'!R616,'Цены'!R626,'Цены'!R636,'Цены'!R646,'Цены'!R656,'Цены'!R666,'Цены'!R676,'Цены'!R686,'Цены'!R696,'Цены'!R706,'Цены'!R716,'Цены'!R726,'Цены'!R736,'Цены'!R746,'Цены'!R756,'Цены'!R766,'Цены'!R776,'Цены'!R786,'Цены'!R796,'Цены'!R806,'Цены'!R816,'Цены'!R826,'Цены'!R836,'Цены'!R846,'Цены'!R856,'Цены'!R866,'Цены'!R876,'Цены'!R886,'Цены'!R896,'Цены'!R906,'Цены'!R916,'Цены'!R926,'Цены'!R936,'Цены'!R946,'Цены'!R956,'Цены'!R966,'Цены'!R976,'Цены'!R986,'Цены'!R996,'Цены'!R1006))</x:f>
      </x:c>
      <x:c r="H26" s="14" t="str">
        <x:f>IF(D26=0,"",MEDIAN('Цены'!R16,'Цены'!R26,'Цены'!R36,'Цены'!R46,'Цены'!R56,'Цены'!R66,'Цены'!R76,'Цены'!R86,'Цены'!R96,'Цены'!R106,'Цены'!R116,'Цены'!R126,'Цены'!R136,'Цены'!R146,'Цены'!R156,'Цены'!R166,'Цены'!R176,'Цены'!R186,'Цены'!R196,'Цены'!R206,'Цены'!R216,'Цены'!R226,'Цены'!R236,'Цены'!R246,'Цены'!R256,'Цены'!R266,'Цены'!R276,'Цены'!R286,'Цены'!R296,'Цены'!R306,'Цены'!R316,'Цены'!R326,'Цены'!R336,'Цены'!R346,'Цены'!R356,'Цены'!R366,'Цены'!R376,'Цены'!R386,'Цены'!R396,'Цены'!R406,'Цены'!R416,'Цены'!R426,'Цены'!R436,'Цены'!R446,'Цены'!R456,'Цены'!R466,'Цены'!R476,'Цены'!R486,'Цены'!R496,'Цены'!R506,'Цены'!R516,'Цены'!R526,'Цены'!R536,'Цены'!R546,'Цены'!R556,'Цены'!R566,'Цены'!R576,'Цены'!R586,'Цены'!R596,'Цены'!R606,'Цены'!R616,'Цены'!R626,'Цены'!R636,'Цены'!R646,'Цены'!R656,'Цены'!R666,'Цены'!R676,'Цены'!R686,'Цены'!R696,'Цены'!R706,'Цены'!R716,'Цены'!R726,'Цены'!R736,'Цены'!R746,'Цены'!R756,'Цены'!R766,'Цены'!R776,'Цены'!R786,'Цены'!R796,'Цены'!R806,'Цены'!R816,'Цены'!R826,'Цены'!R836,'Цены'!R846,'Цены'!R856,'Цены'!R866,'Цены'!R876,'Цены'!R886,'Цены'!R896,'Цены'!R906,'Цены'!R916,'Цены'!R926,'Цены'!R936,'Цены'!R946,'Цены'!R956,'Цены'!R966,'Цены'!R976,'Цены'!R986,'Цены'!R996,'Цены'!R1006))</x:f>
      </x:c>
      <x:c r="I26" s="14" t="str">
        <x:f>IF(D26=0,"",COUNTIFS('Цены'!$B$8:$B$1007,21600,'Цены'!$I$8:$I$1007,"Есть цена",'Цены'!$G$8:$G$1007,"&gt;0", 'Цены'!$C$8:$C$1007,"Нулевой остаток")/D26)</x:f>
      </x:c>
      <x:c r="J26" s="14" t="str">
        <x:f>IF(D26=0,"",COUNTIFS('Цены'!$B$8:$B$1007,21600,'Цены'!$I$8:$I$1007,"Есть цена",'Цены'!$G$8:$G$1007,"&gt;=0.05", 'Цены'!$C$8:$C$1007,"Нулевой остаток")/D26)</x:f>
      </x:c>
      <x:c r="K26" s="14" t="str">
        <x:f>IF(D26=0,"",MIN('Цены'!R16,'Цены'!R26,'Цены'!R36,'Цены'!R46,'Цены'!R56,'Цены'!R66,'Цены'!R76,'Цены'!R86,'Цены'!R96,'Цены'!R106,'Цены'!R116,'Цены'!R126,'Цены'!R136,'Цены'!R146,'Цены'!R156,'Цены'!R166,'Цены'!R176,'Цены'!R186,'Цены'!R196,'Цены'!R206,'Цены'!R216,'Цены'!R226,'Цены'!R236,'Цены'!R246,'Цены'!R256,'Цены'!R266,'Цены'!R276,'Цены'!R286,'Цены'!R296,'Цены'!R306,'Цены'!R316,'Цены'!R326,'Цены'!R336,'Цены'!R346,'Цены'!R356,'Цены'!R366,'Цены'!R376,'Цены'!R386,'Цены'!R396,'Цены'!R406,'Цены'!R416,'Цены'!R426,'Цены'!R436,'Цены'!R446,'Цены'!R456,'Цены'!R466,'Цены'!R476,'Цены'!R486,'Цены'!R496,'Цены'!R506,'Цены'!R516,'Цены'!R526,'Цены'!R536,'Цены'!R546,'Цены'!R556,'Цены'!R566,'Цены'!R576,'Цены'!R586,'Цены'!R596,'Цены'!R606,'Цены'!R616,'Цены'!R626,'Цены'!R636,'Цены'!R646,'Цены'!R656,'Цены'!R666,'Цены'!R676,'Цены'!R686,'Цены'!R696,'Цены'!R706,'Цены'!R716,'Цены'!R726,'Цены'!R736,'Цены'!R746,'Цены'!R756,'Цены'!R766,'Цены'!R776,'Цены'!R786,'Цены'!R796,'Цены'!R806,'Цены'!R816,'Цены'!R826,'Цены'!R836,'Цены'!R846,'Цены'!R856,'Цены'!R866,'Цены'!R876,'Цены'!R886,'Цены'!R896,'Цены'!R906,'Цены'!R916,'Цены'!R926,'Цены'!R936,'Цены'!R946,'Цены'!R956,'Цены'!R966,'Цены'!R976,'Цены'!R986,'Цены'!R996,'Цены'!R1006))</x:f>
      </x:c>
      <x:c r="L26" s="14" t="str">
        <x:f>IF(D26=0,"",MAX('Цены'!R16,'Цены'!R26,'Цены'!R36,'Цены'!R46,'Цены'!R56,'Цены'!R66,'Цены'!R76,'Цены'!R86,'Цены'!R96,'Цены'!R106,'Цены'!R116,'Цены'!R126,'Цены'!R136,'Цены'!R146,'Цены'!R156,'Цены'!R166,'Цены'!R176,'Цены'!R186,'Цены'!R196,'Цены'!R206,'Цены'!R216,'Цены'!R226,'Цены'!R236,'Цены'!R246,'Цены'!R256,'Цены'!R266,'Цены'!R276,'Цены'!R286,'Цены'!R296,'Цены'!R306,'Цены'!R316,'Цены'!R326,'Цены'!R336,'Цены'!R346,'Цены'!R356,'Цены'!R366,'Цены'!R376,'Цены'!R386,'Цены'!R396,'Цены'!R406,'Цены'!R416,'Цены'!R426,'Цены'!R436,'Цены'!R446,'Цены'!R456,'Цены'!R466,'Цены'!R476,'Цены'!R486,'Цены'!R496,'Цены'!R506,'Цены'!R516,'Цены'!R526,'Цены'!R536,'Цены'!R546,'Цены'!R556,'Цены'!R566,'Цены'!R576,'Цены'!R586,'Цены'!R596,'Цены'!R606,'Цены'!R616,'Цены'!R626,'Цены'!R636,'Цены'!R646,'Цены'!R656,'Цены'!R666,'Цены'!R676,'Цены'!R686,'Цены'!R696,'Цены'!R706,'Цены'!R716,'Цены'!R726,'Цены'!R736,'Цены'!R746,'Цены'!R756,'Цены'!R766,'Цены'!R776,'Цены'!R786,'Цены'!R796,'Цены'!R806,'Цены'!R816,'Цены'!R826,'Цены'!R836,'Цены'!R846,'Цены'!R856,'Цены'!R866,'Цены'!R876,'Цены'!R886,'Цены'!R896,'Цены'!R906,'Цены'!R916,'Цены'!R926,'Цены'!R936,'Цены'!R946,'Цены'!R956,'Цены'!R966,'Цены'!R976,'Цены'!R986,'Цены'!R996,'Цены'!R1006))</x:f>
      </x:c>
    </x:row>
    <x:row r="27" ht="21" customHeight="1">
      <x:c r="A27" s="2" t="str">
        <x:v>Нулевой остаток</x:v>
      </x:c>
      <x:c r="B27" s="2" t="str">
        <x:v>24 ч</x:v>
      </x:c>
      <x:c r="C27" s="2" t="n">
        <x:f>COUNTIFS('Покупки'!$C$8:$C$107,"Нулевой остаток")</x:f>
        <x:v>23</x:v>
      </x:c>
      <x:c r="D27" s="2" t="n">
        <x:f>COUNTIFS('Цены'!$B$8:$B$1007,86400,'Цены'!$I$8:$I$1007,"Есть цена", 'Цены'!$C$8:$C$1007,"Нулевой остаток")</x:f>
        <x:v>0</x:v>
      </x:c>
      <x:c r="E27" s="2" t="n">
        <x:f>C27-D27-F27</x:f>
        <x:v>3</x:v>
      </x:c>
      <x:c r="F27" s="2" t="n">
        <x:f>COUNTIFS('Цены'!$B$8:$B$1007,86400,'Цены'!$I$8:$I$1007,"Ещё рано", 'Цены'!$C$8:$C$1007,"Нулевой остаток")</x:f>
        <x:v>20</x:v>
      </x:c>
      <x:c r="G27" s="14" t="str">
        <x:f>IF(D27=0,"",AVERAGE('Цены'!R17,'Цены'!R27,'Цены'!R37,'Цены'!R47,'Цены'!R57,'Цены'!R67,'Цены'!R77,'Цены'!R87,'Цены'!R97,'Цены'!R107,'Цены'!R117,'Цены'!R127,'Цены'!R137,'Цены'!R147,'Цены'!R157,'Цены'!R167,'Цены'!R177,'Цены'!R187,'Цены'!R197,'Цены'!R207,'Цены'!R217,'Цены'!R227,'Цены'!R237,'Цены'!R247,'Цены'!R257,'Цены'!R267,'Цены'!R277,'Цены'!R287,'Цены'!R297,'Цены'!R307,'Цены'!R317,'Цены'!R327,'Цены'!R337,'Цены'!R347,'Цены'!R357,'Цены'!R367,'Цены'!R377,'Цены'!R387,'Цены'!R397,'Цены'!R407,'Цены'!R417,'Цены'!R427,'Цены'!R437,'Цены'!R447,'Цены'!R457,'Цены'!R467,'Цены'!R477,'Цены'!R487,'Цены'!R497,'Цены'!R507,'Цены'!R517,'Цены'!R527,'Цены'!R537,'Цены'!R547,'Цены'!R557,'Цены'!R567,'Цены'!R577,'Цены'!R587,'Цены'!R597,'Цены'!R607,'Цены'!R617,'Цены'!R627,'Цены'!R637,'Цены'!R647,'Цены'!R657,'Цены'!R667,'Цены'!R677,'Цены'!R687,'Цены'!R697,'Цены'!R707,'Цены'!R717,'Цены'!R727,'Цены'!R737,'Цены'!R747,'Цены'!R757,'Цены'!R767,'Цены'!R777,'Цены'!R787,'Цены'!R797,'Цены'!R807,'Цены'!R817,'Цены'!R827,'Цены'!R837,'Цены'!R847,'Цены'!R857,'Цены'!R867,'Цены'!R877,'Цены'!R887,'Цены'!R897,'Цены'!R907,'Цены'!R917,'Цены'!R927,'Цены'!R937,'Цены'!R947,'Цены'!R957,'Цены'!R967,'Цены'!R977,'Цены'!R987,'Цены'!R997,'Цены'!R1007))</x:f>
      </x:c>
      <x:c r="H27" s="14" t="str">
        <x:f>IF(D27=0,"",MEDIAN('Цены'!R17,'Цены'!R27,'Цены'!R37,'Цены'!R47,'Цены'!R57,'Цены'!R67,'Цены'!R77,'Цены'!R87,'Цены'!R97,'Цены'!R107,'Цены'!R117,'Цены'!R127,'Цены'!R137,'Цены'!R147,'Цены'!R157,'Цены'!R167,'Цены'!R177,'Цены'!R187,'Цены'!R197,'Цены'!R207,'Цены'!R217,'Цены'!R227,'Цены'!R237,'Цены'!R247,'Цены'!R257,'Цены'!R267,'Цены'!R277,'Цены'!R287,'Цены'!R297,'Цены'!R307,'Цены'!R317,'Цены'!R327,'Цены'!R337,'Цены'!R347,'Цены'!R357,'Цены'!R367,'Цены'!R377,'Цены'!R387,'Цены'!R397,'Цены'!R407,'Цены'!R417,'Цены'!R427,'Цены'!R437,'Цены'!R447,'Цены'!R457,'Цены'!R467,'Цены'!R477,'Цены'!R487,'Цены'!R497,'Цены'!R507,'Цены'!R517,'Цены'!R527,'Цены'!R537,'Цены'!R547,'Цены'!R557,'Цены'!R567,'Цены'!R577,'Цены'!R587,'Цены'!R597,'Цены'!R607,'Цены'!R617,'Цены'!R627,'Цены'!R637,'Цены'!R647,'Цены'!R657,'Цены'!R667,'Цены'!R677,'Цены'!R687,'Цены'!R697,'Цены'!R707,'Цены'!R717,'Цены'!R727,'Цены'!R737,'Цены'!R747,'Цены'!R757,'Цены'!R767,'Цены'!R777,'Цены'!R787,'Цены'!R797,'Цены'!R807,'Цены'!R817,'Цены'!R827,'Цены'!R837,'Цены'!R847,'Цены'!R857,'Цены'!R867,'Цены'!R877,'Цены'!R887,'Цены'!R897,'Цены'!R907,'Цены'!R917,'Цены'!R927,'Цены'!R937,'Цены'!R947,'Цены'!R957,'Цены'!R967,'Цены'!R977,'Цены'!R987,'Цены'!R997,'Цены'!R1007))</x:f>
      </x:c>
      <x:c r="I27" s="14" t="str">
        <x:f>IF(D27=0,"",COUNTIFS('Цены'!$B$8:$B$1007,86400,'Цены'!$I$8:$I$1007,"Есть цена",'Цены'!$G$8:$G$1007,"&gt;0", 'Цены'!$C$8:$C$1007,"Нулевой остаток")/D27)</x:f>
      </x:c>
      <x:c r="J27" s="14" t="str">
        <x:f>IF(D27=0,"",COUNTIFS('Цены'!$B$8:$B$1007,86400,'Цены'!$I$8:$I$1007,"Есть цена",'Цены'!$G$8:$G$1007,"&gt;=0.05", 'Цены'!$C$8:$C$1007,"Нулевой остаток")/D27)</x:f>
      </x:c>
      <x:c r="K27" s="14" t="str">
        <x:f>IF(D27=0,"",MIN('Цены'!R17,'Цены'!R27,'Цены'!R37,'Цены'!R47,'Цены'!R57,'Цены'!R67,'Цены'!R77,'Цены'!R87,'Цены'!R97,'Цены'!R107,'Цены'!R117,'Цены'!R127,'Цены'!R137,'Цены'!R147,'Цены'!R157,'Цены'!R167,'Цены'!R177,'Цены'!R187,'Цены'!R197,'Цены'!R207,'Цены'!R217,'Цены'!R227,'Цены'!R237,'Цены'!R247,'Цены'!R257,'Цены'!R267,'Цены'!R277,'Цены'!R287,'Цены'!R297,'Цены'!R307,'Цены'!R317,'Цены'!R327,'Цены'!R337,'Цены'!R347,'Цены'!R357,'Цены'!R367,'Цены'!R377,'Цены'!R387,'Цены'!R397,'Цены'!R407,'Цены'!R417,'Цены'!R427,'Цены'!R437,'Цены'!R447,'Цены'!R457,'Цены'!R467,'Цены'!R477,'Цены'!R487,'Цены'!R497,'Цены'!R507,'Цены'!R517,'Цены'!R527,'Цены'!R537,'Цены'!R547,'Цены'!R557,'Цены'!R567,'Цены'!R577,'Цены'!R587,'Цены'!R597,'Цены'!R607,'Цены'!R617,'Цены'!R627,'Цены'!R637,'Цены'!R647,'Цены'!R657,'Цены'!R667,'Цены'!R677,'Цены'!R687,'Цены'!R697,'Цены'!R707,'Цены'!R717,'Цены'!R727,'Цены'!R737,'Цены'!R747,'Цены'!R757,'Цены'!R767,'Цены'!R777,'Цены'!R787,'Цены'!R797,'Цены'!R807,'Цены'!R817,'Цены'!R827,'Цены'!R837,'Цены'!R847,'Цены'!R857,'Цены'!R867,'Цены'!R877,'Цены'!R887,'Цены'!R897,'Цены'!R907,'Цены'!R917,'Цены'!R927,'Цены'!R937,'Цены'!R947,'Цены'!R957,'Цены'!R967,'Цены'!R977,'Цены'!R987,'Цены'!R997,'Цены'!R1007))</x:f>
      </x:c>
      <x:c r="L27" s="14" t="str">
        <x:f>IF(D27=0,"",MAX('Цены'!R17,'Цены'!R27,'Цены'!R37,'Цены'!R47,'Цены'!R57,'Цены'!R67,'Цены'!R77,'Цены'!R87,'Цены'!R97,'Цены'!R107,'Цены'!R117,'Цены'!R127,'Цены'!R137,'Цены'!R147,'Цены'!R157,'Цены'!R167,'Цены'!R177,'Цены'!R187,'Цены'!R197,'Цены'!R207,'Цены'!R217,'Цены'!R227,'Цены'!R237,'Цены'!R247,'Цены'!R257,'Цены'!R267,'Цены'!R277,'Цены'!R287,'Цены'!R297,'Цены'!R307,'Цены'!R317,'Цены'!R327,'Цены'!R337,'Цены'!R347,'Цены'!R357,'Цены'!R367,'Цены'!R377,'Цены'!R387,'Цены'!R397,'Цены'!R407,'Цены'!R417,'Цены'!R427,'Цены'!R437,'Цены'!R447,'Цены'!R457,'Цены'!R467,'Цены'!R477,'Цены'!R487,'Цены'!R497,'Цены'!R507,'Цены'!R517,'Цены'!R527,'Цены'!R537,'Цены'!R547,'Цены'!R557,'Цены'!R567,'Цены'!R577,'Цены'!R587,'Цены'!R597,'Цены'!R607,'Цены'!R617,'Цены'!R627,'Цены'!R637,'Цены'!R647,'Цены'!R657,'Цены'!R667,'Цены'!R677,'Цены'!R687,'Цены'!R697,'Цены'!R707,'Цены'!R717,'Цены'!R727,'Цены'!R737,'Цены'!R747,'Цены'!R757,'Цены'!R767,'Цены'!R777,'Цены'!R787,'Цены'!R797,'Цены'!R807,'Цены'!R817,'Цены'!R827,'Цены'!R837,'Цены'!R847,'Цены'!R857,'Цены'!R867,'Цены'!R877,'Цены'!R887,'Цены'!R897,'Цены'!R907,'Цены'!R917,'Цены'!R927,'Цены'!R937,'Цены'!R947,'Цены'!R957,'Цены'!R967,'Цены'!R977,'Цены'!R987,'Цены'!R997,'Цены'!R1007))</x:f>
      </x:c>
    </x:row>
    <x:row r="28" ht="21" customHeight="1">
      <x:c r="A28" s="2" t="str">
        <x:v>Докупка</x:v>
      </x:c>
      <x:c r="B28" s="2" t="str">
        <x:v>5 с</x:v>
      </x:c>
      <x:c r="C28" s="2" t="n">
        <x:f>COUNTIFS('Покупки'!$C$8:$C$107,"Докупка")</x:f>
        <x:v>77</x:v>
      </x:c>
      <x:c r="D28" s="2" t="n">
        <x:f>COUNTIFS('Цены'!$B$8:$B$1007,5,'Цены'!$I$8:$I$1007,"Есть цена", 'Цены'!$C$8:$C$1007,"Докупка")</x:f>
        <x:v>10</x:v>
      </x:c>
      <x:c r="E28" s="2" t="n">
        <x:f>C28-D28-F28</x:f>
        <x:v>67</x:v>
      </x:c>
      <x:c r="F28" s="2" t="n">
        <x:f>COUNTIFS('Цены'!$B$8:$B$1007,5,'Цены'!$I$8:$I$1007,"Ещё рано", 'Цены'!$C$8:$C$1007,"Докупка")</x:f>
        <x:v>0</x:v>
      </x:c>
      <x:c r="G28" s="14" t="n">
        <x:f>IF(D28=0,"",AVERAGE('Цены'!S8,'Цены'!S18,'Цены'!S28,'Цены'!S38,'Цены'!S48,'Цены'!S58,'Цены'!S68,'Цены'!S78,'Цены'!S88,'Цены'!S98,'Цены'!S108,'Цены'!S118,'Цены'!S128,'Цены'!S138,'Цены'!S148,'Цены'!S158,'Цены'!S168,'Цены'!S178,'Цены'!S188,'Цены'!S198,'Цены'!S208,'Цены'!S218,'Цены'!S228,'Цены'!S238,'Цены'!S248,'Цены'!S258,'Цены'!S268,'Цены'!S278,'Цены'!S288,'Цены'!S298,'Цены'!S308,'Цены'!S318,'Цены'!S328,'Цены'!S338,'Цены'!S348,'Цены'!S358,'Цены'!S368,'Цены'!S378,'Цены'!S388,'Цены'!S398,'Цены'!S408,'Цены'!S418,'Цены'!S428,'Цены'!S438,'Цены'!S448,'Цены'!S458,'Цены'!S468,'Цены'!S478,'Цены'!S488,'Цены'!S498,'Цены'!S508,'Цены'!S518,'Цены'!S528,'Цены'!S538,'Цены'!S548,'Цены'!S558,'Цены'!S568,'Цены'!S578,'Цены'!S588,'Цены'!S598,'Цены'!S608,'Цены'!S618,'Цены'!S628,'Цены'!S638,'Цены'!S648,'Цены'!S658,'Цены'!S668,'Цены'!S678,'Цены'!S688,'Цены'!S698,'Цены'!S708,'Цены'!S718,'Цены'!S728,'Цены'!S738,'Цены'!S748,'Цены'!S758,'Цены'!S768,'Цены'!S778,'Цены'!S788,'Цены'!S798,'Цены'!S808,'Цены'!S818,'Цены'!S828,'Цены'!S838,'Цены'!S848,'Цены'!S858,'Цены'!S868,'Цены'!S878,'Цены'!S888,'Цены'!S898,'Цены'!S908,'Цены'!S918,'Цены'!S928,'Цены'!S938,'Цены'!S948,'Цены'!S958,'Цены'!S968,'Цены'!S978,'Цены'!S988,'Цены'!S998))</x:f>
        <x:v>0.04882089772510678</x:v>
      </x:c>
      <x:c r="H28" s="14" t="n">
        <x:f>IF(D28=0,"",MEDIAN('Цены'!S8,'Цены'!S18,'Цены'!S28,'Цены'!S38,'Цены'!S48,'Цены'!S58,'Цены'!S68,'Цены'!S78,'Цены'!S88,'Цены'!S98,'Цены'!S108,'Цены'!S118,'Цены'!S128,'Цены'!S138,'Цены'!S148,'Цены'!S158,'Цены'!S168,'Цены'!S178,'Цены'!S188,'Цены'!S198,'Цены'!S208,'Цены'!S218,'Цены'!S228,'Цены'!S238,'Цены'!S248,'Цены'!S258,'Цены'!S268,'Цены'!S278,'Цены'!S288,'Цены'!S298,'Цены'!S308,'Цены'!S318,'Цены'!S328,'Цены'!S338,'Цены'!S348,'Цены'!S358,'Цены'!S368,'Цены'!S378,'Цены'!S388,'Цены'!S398,'Цены'!S408,'Цены'!S418,'Цены'!S428,'Цены'!S438,'Цены'!S448,'Цены'!S458,'Цены'!S468,'Цены'!S478,'Цены'!S488,'Цены'!S498,'Цены'!S508,'Цены'!S518,'Цены'!S528,'Цены'!S538,'Цены'!S548,'Цены'!S558,'Цены'!S568,'Цены'!S578,'Цены'!S588,'Цены'!S598,'Цены'!S608,'Цены'!S618,'Цены'!S628,'Цены'!S638,'Цены'!S648,'Цены'!S658,'Цены'!S668,'Цены'!S678,'Цены'!S688,'Цены'!S698,'Цены'!S708,'Цены'!S718,'Цены'!S728,'Цены'!S738,'Цены'!S748,'Цены'!S758,'Цены'!S768,'Цены'!S778,'Цены'!S788,'Цены'!S798,'Цены'!S808,'Цены'!S818,'Цены'!S828,'Цены'!S838,'Цены'!S848,'Цены'!S858,'Цены'!S868,'Цены'!S878,'Цены'!S888,'Цены'!S898,'Цены'!S908,'Цены'!S918,'Цены'!S928,'Цены'!S938,'Цены'!S948,'Цены'!S958,'Цены'!S968,'Цены'!S978,'Цены'!S988,'Цены'!S998))</x:f>
        <x:v>-0.020151483447209795</x:v>
      </x:c>
      <x:c r="I28" s="14" t="n">
        <x:f>IF(D28=0,"",COUNTIFS('Цены'!$B$8:$B$1007,5,'Цены'!$I$8:$I$1007,"Есть цена",'Цены'!$G$8:$G$1007,"&gt;0", 'Цены'!$C$8:$C$1007,"Докупка")/D28)</x:f>
        <x:v>0.3</x:v>
      </x:c>
      <x:c r="J28" s="14" t="n">
        <x:f>IF(D28=0,"",COUNTIFS('Цены'!$B$8:$B$1007,5,'Цены'!$I$8:$I$1007,"Есть цена",'Цены'!$G$8:$G$1007,"&gt;=0.05", 'Цены'!$C$8:$C$1007,"Докупка")/D28)</x:f>
        <x:v>0.1</x:v>
      </x:c>
      <x:c r="K28" s="14" t="n">
        <x:f>IF(D28=0,"",MIN('Цены'!S8,'Цены'!S18,'Цены'!S28,'Цены'!S38,'Цены'!S48,'Цены'!S58,'Цены'!S68,'Цены'!S78,'Цены'!S88,'Цены'!S98,'Цены'!S108,'Цены'!S118,'Цены'!S128,'Цены'!S138,'Цены'!S148,'Цены'!S158,'Цены'!S168,'Цены'!S178,'Цены'!S188,'Цены'!S198,'Цены'!S208,'Цены'!S218,'Цены'!S228,'Цены'!S238,'Цены'!S248,'Цены'!S258,'Цены'!S268,'Цены'!S278,'Цены'!S288,'Цены'!S298,'Цены'!S308,'Цены'!S318,'Цены'!S328,'Цены'!S338,'Цены'!S348,'Цены'!S358,'Цены'!S368,'Цены'!S378,'Цены'!S388,'Цены'!S398,'Цены'!S408,'Цены'!S418,'Цены'!S428,'Цены'!S438,'Цены'!S448,'Цены'!S458,'Цены'!S468,'Цены'!S478,'Цены'!S488,'Цены'!S498,'Цены'!S508,'Цены'!S518,'Цены'!S528,'Цены'!S538,'Цены'!S548,'Цены'!S558,'Цены'!S568,'Цены'!S578,'Цены'!S588,'Цены'!S598,'Цены'!S608,'Цены'!S618,'Цены'!S628,'Цены'!S638,'Цены'!S648,'Цены'!S658,'Цены'!S668,'Цены'!S678,'Цены'!S688,'Цены'!S698,'Цены'!S708,'Цены'!S718,'Цены'!S728,'Цены'!S738,'Цены'!S748,'Цены'!S758,'Цены'!S768,'Цены'!S778,'Цены'!S788,'Цены'!S798,'Цены'!S808,'Цены'!S818,'Цены'!S828,'Цены'!S838,'Цены'!S848,'Цены'!S858,'Цены'!S868,'Цены'!S878,'Цены'!S888,'Цены'!S898,'Цены'!S908,'Цены'!S918,'Цены'!S928,'Цены'!S938,'Цены'!S948,'Цены'!S958,'Цены'!S968,'Цены'!S978,'Цены'!S988,'Цены'!S998))</x:f>
        <x:v>-0.3293493806607013</x:v>
      </x:c>
      <x:c r="L28" s="14" t="n">
        <x:f>IF(D28=0,"",MAX('Цены'!S8,'Цены'!S18,'Цены'!S28,'Цены'!S38,'Цены'!S48,'Цены'!S58,'Цены'!S68,'Цены'!S78,'Цены'!S88,'Цены'!S98,'Цены'!S108,'Цены'!S118,'Цены'!S128,'Цены'!S138,'Цены'!S148,'Цены'!S158,'Цены'!S168,'Цены'!S178,'Цены'!S188,'Цены'!S198,'Цены'!S208,'Цены'!S218,'Цены'!S228,'Цены'!S238,'Цены'!S248,'Цены'!S258,'Цены'!S268,'Цены'!S278,'Цены'!S288,'Цены'!S298,'Цены'!S308,'Цены'!S318,'Цены'!S328,'Цены'!S338,'Цены'!S348,'Цены'!S358,'Цены'!S368,'Цены'!S378,'Цены'!S388,'Цены'!S398,'Цены'!S408,'Цены'!S418,'Цены'!S428,'Цены'!S438,'Цены'!S448,'Цены'!S458,'Цены'!S468,'Цены'!S478,'Цены'!S488,'Цены'!S498,'Цены'!S508,'Цены'!S518,'Цены'!S528,'Цены'!S538,'Цены'!S548,'Цены'!S558,'Цены'!S568,'Цены'!S578,'Цены'!S588,'Цены'!S598,'Цены'!S608,'Цены'!S618,'Цены'!S628,'Цены'!S638,'Цены'!S648,'Цены'!S658,'Цены'!S668,'Цены'!S678,'Цены'!S688,'Цены'!S698,'Цены'!S708,'Цены'!S718,'Цены'!S728,'Цены'!S738,'Цены'!S748,'Цены'!S758,'Цены'!S768,'Цены'!S778,'Цены'!S788,'Цены'!S798,'Цены'!S808,'Цены'!S818,'Цены'!S828,'Цены'!S838,'Цены'!S848,'Цены'!S858,'Цены'!S868,'Цены'!S878,'Цены'!S888,'Цены'!S898,'Цены'!S908,'Цены'!S918,'Цены'!S928,'Цены'!S938,'Цены'!S948,'Цены'!S958,'Цены'!S968,'Цены'!S978,'Цены'!S988,'Цены'!S998))</x:f>
        <x:v>0.9084919575277592</x:v>
      </x:c>
    </x:row>
    <x:row r="29" ht="21" customHeight="1">
      <x:c r="A29" s="2" t="str">
        <x:v>Докупка</x:v>
      </x:c>
      <x:c r="B29" s="2" t="str">
        <x:v>15 с</x:v>
      </x:c>
      <x:c r="C29" s="2" t="n">
        <x:f>COUNTIFS('Покупки'!$C$8:$C$107,"Докупка")</x:f>
        <x:v>77</x:v>
      </x:c>
      <x:c r="D29" s="2" t="n">
        <x:f>COUNTIFS('Цены'!$B$8:$B$1007,15,'Цены'!$I$8:$I$1007,"Есть цена", 'Цены'!$C$8:$C$1007,"Докупка")</x:f>
        <x:v>11</x:v>
      </x:c>
      <x:c r="E29" s="2" t="n">
        <x:f>C29-D29-F29</x:f>
        <x:v>66</x:v>
      </x:c>
      <x:c r="F29" s="2" t="n">
        <x:f>COUNTIFS('Цены'!$B$8:$B$1007,15,'Цены'!$I$8:$I$1007,"Ещё рано", 'Цены'!$C$8:$C$1007,"Докупка")</x:f>
        <x:v>0</x:v>
      </x:c>
      <x:c r="G29" s="14" t="n">
        <x:f>IF(D29=0,"",AVERAGE('Цены'!S9,'Цены'!S19,'Цены'!S29,'Цены'!S39,'Цены'!S49,'Цены'!S59,'Цены'!S69,'Цены'!S79,'Цены'!S89,'Цены'!S99,'Цены'!S109,'Цены'!S119,'Цены'!S129,'Цены'!S139,'Цены'!S149,'Цены'!S159,'Цены'!S169,'Цены'!S179,'Цены'!S189,'Цены'!S199,'Цены'!S209,'Цены'!S219,'Цены'!S229,'Цены'!S239,'Цены'!S249,'Цены'!S259,'Цены'!S269,'Цены'!S279,'Цены'!S289,'Цены'!S299,'Цены'!S309,'Цены'!S319,'Цены'!S329,'Цены'!S339,'Цены'!S349,'Цены'!S359,'Цены'!S369,'Цены'!S379,'Цены'!S389,'Цены'!S399,'Цены'!S409,'Цены'!S419,'Цены'!S429,'Цены'!S439,'Цены'!S449,'Цены'!S459,'Цены'!S469,'Цены'!S479,'Цены'!S489,'Цены'!S499,'Цены'!S509,'Цены'!S519,'Цены'!S529,'Цены'!S539,'Цены'!S549,'Цены'!S559,'Цены'!S569,'Цены'!S579,'Цены'!S589,'Цены'!S599,'Цены'!S609,'Цены'!S619,'Цены'!S629,'Цены'!S639,'Цены'!S649,'Цены'!S659,'Цены'!S669,'Цены'!S679,'Цены'!S689,'Цены'!S699,'Цены'!S709,'Цены'!S719,'Цены'!S729,'Цены'!S739,'Цены'!S749,'Цены'!S759,'Цены'!S769,'Цены'!S779,'Цены'!S789,'Цены'!S799,'Цены'!S809,'Цены'!S819,'Цены'!S829,'Цены'!S839,'Цены'!S849,'Цены'!S859,'Цены'!S869,'Цены'!S879,'Цены'!S889,'Цены'!S899,'Цены'!S909,'Цены'!S919,'Цены'!S929,'Цены'!S939,'Цены'!S949,'Цены'!S959,'Цены'!S969,'Цены'!S979,'Цены'!S989,'Цены'!S999))</x:f>
        <x:v>0.07041214079719339</x:v>
      </x:c>
      <x:c r="H29" s="14" t="n">
        <x:f>IF(D29=0,"",MEDIAN('Цены'!S9,'Цены'!S19,'Цены'!S29,'Цены'!S39,'Цены'!S49,'Цены'!S59,'Цены'!S69,'Цены'!S79,'Цены'!S89,'Цены'!S99,'Цены'!S109,'Цены'!S119,'Цены'!S129,'Цены'!S139,'Цены'!S149,'Цены'!S159,'Цены'!S169,'Цены'!S179,'Цены'!S189,'Цены'!S199,'Цены'!S209,'Цены'!S219,'Цены'!S229,'Цены'!S239,'Цены'!S249,'Цены'!S259,'Цены'!S269,'Цены'!S279,'Цены'!S289,'Цены'!S299,'Цены'!S309,'Цены'!S319,'Цены'!S329,'Цены'!S339,'Цены'!S349,'Цены'!S359,'Цены'!S369,'Цены'!S379,'Цены'!S389,'Цены'!S399,'Цены'!S409,'Цены'!S419,'Цены'!S429,'Цены'!S439,'Цены'!S449,'Цены'!S459,'Цены'!S469,'Цены'!S479,'Цены'!S489,'Цены'!S499,'Цены'!S509,'Цены'!S519,'Цены'!S529,'Цены'!S539,'Цены'!S549,'Цены'!S559,'Цены'!S569,'Цены'!S579,'Цены'!S589,'Цены'!S599,'Цены'!S609,'Цены'!S619,'Цены'!S629,'Цены'!S639,'Цены'!S649,'Цены'!S659,'Цены'!S669,'Цены'!S679,'Цены'!S689,'Цены'!S699,'Цены'!S709,'Цены'!S719,'Цены'!S729,'Цены'!S739,'Цены'!S749,'Цены'!S759,'Цены'!S769,'Цены'!S779,'Цены'!S789,'Цены'!S799,'Цены'!S809,'Цены'!S819,'Цены'!S829,'Цены'!S839,'Цены'!S849,'Цены'!S859,'Цены'!S869,'Цены'!S879,'Цены'!S889,'Цены'!S899,'Цены'!S909,'Цены'!S919,'Цены'!S929,'Цены'!S939,'Цены'!S949,'Цены'!S959,'Цены'!S969,'Цены'!S979,'Цены'!S989,'Цены'!S999))</x:f>
        <x:v>-0.012231185347192919</x:v>
      </x:c>
      <x:c r="I29" s="14" t="n">
        <x:f>IF(D29=0,"",COUNTIFS('Цены'!$B$8:$B$1007,15,'Цены'!$I$8:$I$1007,"Есть цена",'Цены'!$G$8:$G$1007,"&gt;0", 'Цены'!$C$8:$C$1007,"Докупка")/D29)</x:f>
        <x:v>0.2727272727272727</x:v>
      </x:c>
      <x:c r="J29" s="14" t="n">
        <x:f>IF(D29=0,"",COUNTIFS('Цены'!$B$8:$B$1007,15,'Цены'!$I$8:$I$1007,"Есть цена",'Цены'!$G$8:$G$1007,"&gt;=0.05", 'Цены'!$C$8:$C$1007,"Докупка")/D29)</x:f>
        <x:v>0.2727272727272727</x:v>
      </x:c>
      <x:c r="K29" s="14" t="n">
        <x:f>IF(D29=0,"",MIN('Цены'!S9,'Цены'!S19,'Цены'!S29,'Цены'!S39,'Цены'!S49,'Цены'!S59,'Цены'!S69,'Цены'!S79,'Цены'!S89,'Цены'!S99,'Цены'!S109,'Цены'!S119,'Цены'!S129,'Цены'!S139,'Цены'!S149,'Цены'!S159,'Цены'!S169,'Цены'!S179,'Цены'!S189,'Цены'!S199,'Цены'!S209,'Цены'!S219,'Цены'!S229,'Цены'!S239,'Цены'!S249,'Цены'!S259,'Цены'!S269,'Цены'!S279,'Цены'!S289,'Цены'!S299,'Цены'!S309,'Цены'!S319,'Цены'!S329,'Цены'!S339,'Цены'!S349,'Цены'!S359,'Цены'!S369,'Цены'!S379,'Цены'!S389,'Цены'!S399,'Цены'!S409,'Цены'!S419,'Цены'!S429,'Цены'!S439,'Цены'!S449,'Цены'!S459,'Цены'!S469,'Цены'!S479,'Цены'!S489,'Цены'!S499,'Цены'!S509,'Цены'!S519,'Цены'!S529,'Цены'!S539,'Цены'!S549,'Цены'!S559,'Цены'!S569,'Цены'!S579,'Цены'!S589,'Цены'!S599,'Цены'!S609,'Цены'!S619,'Цены'!S629,'Цены'!S639,'Цены'!S649,'Цены'!S659,'Цены'!S669,'Цены'!S679,'Цены'!S689,'Цены'!S699,'Цены'!S709,'Цены'!S719,'Цены'!S729,'Цены'!S739,'Цены'!S749,'Цены'!S759,'Цены'!S769,'Цены'!S779,'Цены'!S789,'Цены'!S799,'Цены'!S809,'Цены'!S819,'Цены'!S829,'Цены'!S839,'Цены'!S849,'Цены'!S859,'Цены'!S869,'Цены'!S879,'Цены'!S889,'Цены'!S899,'Цены'!S909,'Цены'!S919,'Цены'!S929,'Цены'!S939,'Цены'!S949,'Цены'!S959,'Цены'!S969,'Цены'!S979,'Цены'!S989,'Цены'!S999))</x:f>
        <x:v>-0.3162334198503566</x:v>
      </x:c>
      <x:c r="L29" s="14" t="n">
        <x:f>IF(D29=0,"",MAX('Цены'!S9,'Цены'!S19,'Цены'!S29,'Цены'!S39,'Цены'!S49,'Цены'!S59,'Цены'!S69,'Цены'!S79,'Цены'!S89,'Цены'!S99,'Цены'!S109,'Цены'!S119,'Цены'!S129,'Цены'!S139,'Цены'!S149,'Цены'!S159,'Цены'!S169,'Цены'!S179,'Цены'!S189,'Цены'!S199,'Цены'!S209,'Цены'!S219,'Цены'!S229,'Цены'!S239,'Цены'!S249,'Цены'!S259,'Цены'!S269,'Цены'!S279,'Цены'!S289,'Цены'!S299,'Цены'!S309,'Цены'!S319,'Цены'!S329,'Цены'!S339,'Цены'!S349,'Цены'!S359,'Цены'!S369,'Цены'!S379,'Цены'!S389,'Цены'!S399,'Цены'!S409,'Цены'!S419,'Цены'!S429,'Цены'!S439,'Цены'!S449,'Цены'!S459,'Цены'!S469,'Цены'!S479,'Цены'!S489,'Цены'!S499,'Цены'!S509,'Цены'!S519,'Цены'!S529,'Цены'!S539,'Цены'!S549,'Цены'!S559,'Цены'!S569,'Цены'!S579,'Цены'!S589,'Цены'!S599,'Цены'!S609,'Цены'!S619,'Цены'!S629,'Цены'!S639,'Цены'!S649,'Цены'!S659,'Цены'!S669,'Цены'!S679,'Цены'!S689,'Цены'!S699,'Цены'!S709,'Цены'!S719,'Цены'!S729,'Цены'!S739,'Цены'!S749,'Цены'!S759,'Цены'!S769,'Цены'!S779,'Цены'!S789,'Цены'!S799,'Цены'!S809,'Цены'!S819,'Цены'!S829,'Цены'!S839,'Цены'!S849,'Цены'!S859,'Цены'!S869,'Цены'!S879,'Цены'!S889,'Цены'!S899,'Цены'!S909,'Цены'!S919,'Цены'!S929,'Цены'!S939,'Цены'!S949,'Цены'!S959,'Цены'!S969,'Цены'!S979,'Цены'!S989,'Цены'!S999))</x:f>
        <x:v>1.0926972035793256</x:v>
      </x:c>
    </x:row>
    <x:row r="30" ht="21" customHeight="1">
      <x:c r="A30" s="2" t="str">
        <x:v>Докупка</x:v>
      </x:c>
      <x:c r="B30" s="2" t="str">
        <x:v>30 с</x:v>
      </x:c>
      <x:c r="C30" s="2" t="n">
        <x:f>COUNTIFS('Покупки'!$C$8:$C$107,"Докупка")</x:f>
        <x:v>77</x:v>
      </x:c>
      <x:c r="D30" s="2" t="n">
        <x:f>COUNTIFS('Цены'!$B$8:$B$1007,30,'Цены'!$I$8:$I$1007,"Есть цена", 'Цены'!$C$8:$C$1007,"Докупка")</x:f>
        <x:v>11</x:v>
      </x:c>
      <x:c r="E30" s="2" t="n">
        <x:f>C30-D30-F30</x:f>
        <x:v>66</x:v>
      </x:c>
      <x:c r="F30" s="2" t="n">
        <x:f>COUNTIFS('Цены'!$B$8:$B$1007,30,'Цены'!$I$8:$I$1007,"Ещё рано", 'Цены'!$C$8:$C$1007,"Докупка")</x:f>
        <x:v>0</x:v>
      </x:c>
      <x:c r="G30" s="14" t="n">
        <x:f>IF(D30=0,"",AVERAGE('Цены'!S10,'Цены'!S20,'Цены'!S30,'Цены'!S40,'Цены'!S50,'Цены'!S60,'Цены'!S70,'Цены'!S80,'Цены'!S90,'Цены'!S100,'Цены'!S110,'Цены'!S120,'Цены'!S130,'Цены'!S140,'Цены'!S150,'Цены'!S160,'Цены'!S170,'Цены'!S180,'Цены'!S190,'Цены'!S200,'Цены'!S210,'Цены'!S220,'Цены'!S230,'Цены'!S240,'Цены'!S250,'Цены'!S260,'Цены'!S270,'Цены'!S280,'Цены'!S290,'Цены'!S300,'Цены'!S310,'Цены'!S320,'Цены'!S330,'Цены'!S340,'Цены'!S350,'Цены'!S360,'Цены'!S370,'Цены'!S380,'Цены'!S390,'Цены'!S400,'Цены'!S410,'Цены'!S420,'Цены'!S430,'Цены'!S440,'Цены'!S450,'Цены'!S460,'Цены'!S470,'Цены'!S480,'Цены'!S490,'Цены'!S500,'Цены'!S510,'Цены'!S520,'Цены'!S530,'Цены'!S540,'Цены'!S550,'Цены'!S560,'Цены'!S570,'Цены'!S580,'Цены'!S590,'Цены'!S600,'Цены'!S610,'Цены'!S620,'Цены'!S630,'Цены'!S640,'Цены'!S650,'Цены'!S660,'Цены'!S670,'Цены'!S680,'Цены'!S690,'Цены'!S700,'Цены'!S710,'Цены'!S720,'Цены'!S730,'Цены'!S740,'Цены'!S750,'Цены'!S760,'Цены'!S770,'Цены'!S780,'Цены'!S790,'Цены'!S800,'Цены'!S810,'Цены'!S820,'Цены'!S830,'Цены'!S840,'Цены'!S850,'Цены'!S860,'Цены'!S870,'Цены'!S880,'Цены'!S890,'Цены'!S900,'Цены'!S910,'Цены'!S920,'Цены'!S930,'Цены'!S940,'Цены'!S950,'Цены'!S960,'Цены'!S970,'Цены'!S980,'Цены'!S990,'Цены'!S1000))</x:f>
        <x:v>0.1025690479832526</x:v>
      </x:c>
      <x:c r="H30" s="14" t="n">
        <x:f>IF(D30=0,"",MEDIAN('Цены'!S10,'Цены'!S20,'Цены'!S30,'Цены'!S40,'Цены'!S50,'Цены'!S60,'Цены'!S70,'Цены'!S80,'Цены'!S90,'Цены'!S100,'Цены'!S110,'Цены'!S120,'Цены'!S130,'Цены'!S140,'Цены'!S150,'Цены'!S160,'Цены'!S170,'Цены'!S180,'Цены'!S190,'Цены'!S200,'Цены'!S210,'Цены'!S220,'Цены'!S230,'Цены'!S240,'Цены'!S250,'Цены'!S260,'Цены'!S270,'Цены'!S280,'Цены'!S290,'Цены'!S300,'Цены'!S310,'Цены'!S320,'Цены'!S330,'Цены'!S340,'Цены'!S350,'Цены'!S360,'Цены'!S370,'Цены'!S380,'Цены'!S390,'Цены'!S400,'Цены'!S410,'Цены'!S420,'Цены'!S430,'Цены'!S440,'Цены'!S450,'Цены'!S460,'Цены'!S470,'Цены'!S480,'Цены'!S490,'Цены'!S500,'Цены'!S510,'Цены'!S520,'Цены'!S530,'Цены'!S540,'Цены'!S550,'Цены'!S560,'Цены'!S570,'Цены'!S580,'Цены'!S590,'Цены'!S600,'Цены'!S610,'Цены'!S620,'Цены'!S630,'Цены'!S640,'Цены'!S650,'Цены'!S660,'Цены'!S670,'Цены'!S680,'Цены'!S690,'Цены'!S700,'Цены'!S710,'Цены'!S720,'Цены'!S730,'Цены'!S740,'Цены'!S750,'Цены'!S760,'Цены'!S770,'Цены'!S780,'Цены'!S790,'Цены'!S800,'Цены'!S810,'Цены'!S820,'Цены'!S830,'Цены'!S840,'Цены'!S850,'Цены'!S860,'Цены'!S870,'Цены'!S880,'Цены'!S890,'Цены'!S900,'Цены'!S910,'Цены'!S920,'Цены'!S930,'Цены'!S940,'Цены'!S950,'Цены'!S960,'Цены'!S970,'Цены'!S980,'Цены'!S990,'Цены'!S1000))</x:f>
        <x:v>-0.006564867967001398</x:v>
      </x:c>
      <x:c r="I30" s="14" t="n">
        <x:f>IF(D30=0,"",COUNTIFS('Цены'!$B$8:$B$1007,30,'Цены'!$I$8:$I$1007,"Есть цена",'Цены'!$G$8:$G$1007,"&gt;0", 'Цены'!$C$8:$C$1007,"Докупка")/D30)</x:f>
        <x:v>0.36363636363636365</x:v>
      </x:c>
      <x:c r="J30" s="14" t="n">
        <x:f>IF(D30=0,"",COUNTIFS('Цены'!$B$8:$B$1007,30,'Цены'!$I$8:$I$1007,"Есть цена",'Цены'!$G$8:$G$1007,"&gt;=0.05", 'Цены'!$C$8:$C$1007,"Докупка")/D30)</x:f>
        <x:v>0.2727272727272727</x:v>
      </x:c>
      <x:c r="K30" s="14" t="n">
        <x:f>IF(D30=0,"",MIN('Цены'!S10,'Цены'!S20,'Цены'!S30,'Цены'!S40,'Цены'!S50,'Цены'!S60,'Цены'!S70,'Цены'!S80,'Цены'!S90,'Цены'!S100,'Цены'!S110,'Цены'!S120,'Цены'!S130,'Цены'!S140,'Цены'!S150,'Цены'!S160,'Цены'!S170,'Цены'!S180,'Цены'!S190,'Цены'!S200,'Цены'!S210,'Цены'!S220,'Цены'!S230,'Цены'!S240,'Цены'!S250,'Цены'!S260,'Цены'!S270,'Цены'!S280,'Цены'!S290,'Цены'!S300,'Цены'!S310,'Цены'!S320,'Цены'!S330,'Цены'!S340,'Цены'!S350,'Цены'!S360,'Цены'!S370,'Цены'!S380,'Цены'!S390,'Цены'!S400,'Цены'!S410,'Цены'!S420,'Цены'!S430,'Цены'!S440,'Цены'!S450,'Цены'!S460,'Цены'!S470,'Цены'!S480,'Цены'!S490,'Цены'!S500,'Цены'!S510,'Цены'!S520,'Цены'!S530,'Цены'!S540,'Цены'!S550,'Цены'!S560,'Цены'!S570,'Цены'!S580,'Цены'!S590,'Цены'!S600,'Цены'!S610,'Цены'!S620,'Цены'!S630,'Цены'!S640,'Цены'!S650,'Цены'!S660,'Цены'!S670,'Цены'!S680,'Цены'!S690,'Цены'!S700,'Цены'!S710,'Цены'!S720,'Цены'!S730,'Цены'!S740,'Цены'!S750,'Цены'!S760,'Цены'!S770,'Цены'!S780,'Цены'!S790,'Цены'!S800,'Цены'!S810,'Цены'!S820,'Цены'!S830,'Цены'!S840,'Цены'!S850,'Цены'!S860,'Цены'!S870,'Цены'!S880,'Цены'!S890,'Цены'!S900,'Цены'!S910,'Цены'!S920,'Цены'!S930,'Цены'!S940,'Цены'!S950,'Цены'!S960,'Цены'!S970,'Цены'!S980,'Цены'!S990,'Цены'!S1000))</x:f>
        <x:v>-0.2972146501263446</x:v>
      </x:c>
      <x:c r="L30" s="14" t="n">
        <x:f>IF(D30=0,"",MAX('Цены'!S10,'Цены'!S20,'Цены'!S30,'Цены'!S40,'Цены'!S50,'Цены'!S60,'Цены'!S70,'Цены'!S80,'Цены'!S90,'Цены'!S100,'Цены'!S110,'Цены'!S120,'Цены'!S130,'Цены'!S140,'Цены'!S150,'Цены'!S160,'Цены'!S170,'Цены'!S180,'Цены'!S190,'Цены'!S200,'Цены'!S210,'Цены'!S220,'Цены'!S230,'Цены'!S240,'Цены'!S250,'Цены'!S260,'Цены'!S270,'Цены'!S280,'Цены'!S290,'Цены'!S300,'Цены'!S310,'Цены'!S320,'Цены'!S330,'Цены'!S340,'Цены'!S350,'Цены'!S360,'Цены'!S370,'Цены'!S380,'Цены'!S390,'Цены'!S400,'Цены'!S410,'Цены'!S420,'Цены'!S430,'Цены'!S440,'Цены'!S450,'Цены'!S460,'Цены'!S470,'Цены'!S480,'Цены'!S490,'Цены'!S500,'Цены'!S510,'Цены'!S520,'Цены'!S530,'Цены'!S540,'Цены'!S550,'Цены'!S560,'Цены'!S570,'Цены'!S580,'Цены'!S590,'Цены'!S600,'Цены'!S610,'Цены'!S620,'Цены'!S630,'Цены'!S640,'Цены'!S650,'Цены'!S660,'Цены'!S670,'Цены'!S680,'Цены'!S690,'Цены'!S700,'Цены'!S710,'Цены'!S720,'Цены'!S730,'Цены'!S740,'Цены'!S750,'Цены'!S760,'Цены'!S770,'Цены'!S780,'Цены'!S790,'Цены'!S800,'Цены'!S810,'Цены'!S820,'Цены'!S830,'Цены'!S840,'Цены'!S850,'Цены'!S860,'Цены'!S870,'Цены'!S880,'Цены'!S890,'Цены'!S900,'Цены'!S910,'Цены'!S920,'Цены'!S930,'Цены'!S940,'Цены'!S950,'Цены'!S960,'Цены'!S970,'Цены'!S980,'Цены'!S990,'Цены'!S1000))</x:f>
        <x:v>1.2558967456318695</x:v>
      </x:c>
    </x:row>
    <x:row r="31" ht="21" customHeight="1">
      <x:c r="A31" s="2" t="str">
        <x:v>Докупка</x:v>
      </x:c>
      <x:c r="B31" s="2" t="str">
        <x:v>1 мин</x:v>
      </x:c>
      <x:c r="C31" s="2" t="n">
        <x:f>COUNTIFS('Покупки'!$C$8:$C$107,"Докупка")</x:f>
        <x:v>77</x:v>
      </x:c>
      <x:c r="D31" s="2" t="n">
        <x:f>COUNTIFS('Цены'!$B$8:$B$1007,60,'Цены'!$I$8:$I$1007,"Есть цена", 'Цены'!$C$8:$C$1007,"Докупка")</x:f>
        <x:v>11</x:v>
      </x:c>
      <x:c r="E31" s="2" t="n">
        <x:f>C31-D31-F31</x:f>
        <x:v>66</x:v>
      </x:c>
      <x:c r="F31" s="2" t="n">
        <x:f>COUNTIFS('Цены'!$B$8:$B$1007,60,'Цены'!$I$8:$I$1007,"Ещё рано", 'Цены'!$C$8:$C$1007,"Докупка")</x:f>
        <x:v>0</x:v>
      </x:c>
      <x:c r="G31" s="14" t="n">
        <x:f>IF(D31=0,"",AVERAGE('Цены'!S11,'Цены'!S21,'Цены'!S31,'Цены'!S41,'Цены'!S51,'Цены'!S61,'Цены'!S71,'Цены'!S81,'Цены'!S91,'Цены'!S101,'Цены'!S111,'Цены'!S121,'Цены'!S131,'Цены'!S141,'Цены'!S151,'Цены'!S161,'Цены'!S171,'Цены'!S181,'Цены'!S191,'Цены'!S201,'Цены'!S211,'Цены'!S221,'Цены'!S231,'Цены'!S241,'Цены'!S251,'Цены'!S261,'Цены'!S271,'Цены'!S281,'Цены'!S291,'Цены'!S301,'Цены'!S311,'Цены'!S321,'Цены'!S331,'Цены'!S341,'Цены'!S351,'Цены'!S361,'Цены'!S371,'Цены'!S381,'Цены'!S391,'Цены'!S401,'Цены'!S411,'Цены'!S421,'Цены'!S431,'Цены'!S441,'Цены'!S451,'Цены'!S461,'Цены'!S471,'Цены'!S481,'Цены'!S491,'Цены'!S501,'Цены'!S511,'Цены'!S521,'Цены'!S531,'Цены'!S541,'Цены'!S551,'Цены'!S561,'Цены'!S571,'Цены'!S581,'Цены'!S591,'Цены'!S601,'Цены'!S611,'Цены'!S621,'Цены'!S631,'Цены'!S641,'Цены'!S651,'Цены'!S661,'Цены'!S671,'Цены'!S681,'Цены'!S691,'Цены'!S701,'Цены'!S711,'Цены'!S721,'Цены'!S731,'Цены'!S741,'Цены'!S751,'Цены'!S761,'Цены'!S771,'Цены'!S781,'Цены'!S791,'Цены'!S801,'Цены'!S811,'Цены'!S821,'Цены'!S831,'Цены'!S841,'Цены'!S851,'Цены'!S861,'Цены'!S871,'Цены'!S881,'Цены'!S891,'Цены'!S901,'Цены'!S911,'Цены'!S921,'Цены'!S931,'Цены'!S941,'Цены'!S951,'Цены'!S961,'Цены'!S971,'Цены'!S981,'Цены'!S991,'Цены'!S1001))</x:f>
        <x:v>0.07193126129342807</x:v>
      </x:c>
      <x:c r="H31" s="14" t="n">
        <x:f>IF(D31=0,"",MEDIAN('Цены'!S11,'Цены'!S21,'Цены'!S31,'Цены'!S41,'Цены'!S51,'Цены'!S61,'Цены'!S71,'Цены'!S81,'Цены'!S91,'Цены'!S101,'Цены'!S111,'Цены'!S121,'Цены'!S131,'Цены'!S141,'Цены'!S151,'Цены'!S161,'Цены'!S171,'Цены'!S181,'Цены'!S191,'Цены'!S201,'Цены'!S211,'Цены'!S221,'Цены'!S231,'Цены'!S241,'Цены'!S251,'Цены'!S261,'Цены'!S271,'Цены'!S281,'Цены'!S291,'Цены'!S301,'Цены'!S311,'Цены'!S321,'Цены'!S331,'Цены'!S341,'Цены'!S351,'Цены'!S361,'Цены'!S371,'Цены'!S381,'Цены'!S391,'Цены'!S401,'Цены'!S411,'Цены'!S421,'Цены'!S431,'Цены'!S441,'Цены'!S451,'Цены'!S461,'Цены'!S471,'Цены'!S481,'Цены'!S491,'Цены'!S501,'Цены'!S511,'Цены'!S521,'Цены'!S531,'Цены'!S541,'Цены'!S551,'Цены'!S561,'Цены'!S571,'Цены'!S581,'Цены'!S591,'Цены'!S601,'Цены'!S611,'Цены'!S621,'Цены'!S631,'Цены'!S641,'Цены'!S651,'Цены'!S661,'Цены'!S671,'Цены'!S681,'Цены'!S691,'Цены'!S701,'Цены'!S711,'Цены'!S721,'Цены'!S731,'Цены'!S741,'Цены'!S751,'Цены'!S761,'Цены'!S771,'Цены'!S781,'Цены'!S791,'Цены'!S801,'Цены'!S811,'Цены'!S821,'Цены'!S831,'Цены'!S841,'Цены'!S851,'Цены'!S861,'Цены'!S871,'Цены'!S881,'Цены'!S891,'Цены'!S901,'Цены'!S911,'Цены'!S921,'Цены'!S931,'Цены'!S941,'Цены'!S951,'Цены'!S961,'Цены'!S971,'Цены'!S981,'Цены'!S991,'Цены'!S1001))</x:f>
        <x:v>-0.006304819426548924</x:v>
      </x:c>
      <x:c r="I31" s="14" t="n">
        <x:f>IF(D31=0,"",COUNTIFS('Цены'!$B$8:$B$1007,60,'Цены'!$I$8:$I$1007,"Есть цена",'Цены'!$G$8:$G$1007,"&gt;0", 'Цены'!$C$8:$C$1007,"Докупка")/D31)</x:f>
        <x:v>0.36363636363636365</x:v>
      </x:c>
      <x:c r="J31" s="14" t="n">
        <x:f>IF(D31=0,"",COUNTIFS('Цены'!$B$8:$B$1007,60,'Цены'!$I$8:$I$1007,"Есть цена",'Цены'!$G$8:$G$1007,"&gt;=0.05", 'Цены'!$C$8:$C$1007,"Докупка")/D31)</x:f>
        <x:v>0.2727272727272727</x:v>
      </x:c>
      <x:c r="K31" s="14" t="n">
        <x:f>IF(D31=0,"",MIN('Цены'!S11,'Цены'!S21,'Цены'!S31,'Цены'!S41,'Цены'!S51,'Цены'!S61,'Цены'!S71,'Цены'!S81,'Цены'!S91,'Цены'!S101,'Цены'!S111,'Цены'!S121,'Цены'!S131,'Цены'!S141,'Цены'!S151,'Цены'!S161,'Цены'!S171,'Цены'!S181,'Цены'!S191,'Цены'!S201,'Цены'!S211,'Цены'!S221,'Цены'!S231,'Цены'!S241,'Цены'!S251,'Цены'!S261,'Цены'!S271,'Цены'!S281,'Цены'!S291,'Цены'!S301,'Цены'!S311,'Цены'!S321,'Цены'!S331,'Цены'!S341,'Цены'!S351,'Цены'!S361,'Цены'!S371,'Цены'!S381,'Цены'!S391,'Цены'!S401,'Цены'!S411,'Цены'!S421,'Цены'!S431,'Цены'!S441,'Цены'!S451,'Цены'!S461,'Цены'!S471,'Цены'!S481,'Цены'!S491,'Цены'!S501,'Цены'!S511,'Цены'!S521,'Цены'!S531,'Цены'!S541,'Цены'!S551,'Цены'!S561,'Цены'!S571,'Цены'!S581,'Цены'!S591,'Цены'!S601,'Цены'!S611,'Цены'!S621,'Цены'!S631,'Цены'!S641,'Цены'!S651,'Цены'!S661,'Цены'!S671,'Цены'!S681,'Цены'!S691,'Цены'!S701,'Цены'!S711,'Цены'!S721,'Цены'!S731,'Цены'!S741,'Цены'!S751,'Цены'!S761,'Цены'!S771,'Цены'!S781,'Цены'!S791,'Цены'!S801,'Цены'!S811,'Цены'!S821,'Цены'!S831,'Цены'!S841,'Цены'!S851,'Цены'!S861,'Цены'!S871,'Цены'!S881,'Цены'!S891,'Цены'!S901,'Цены'!S911,'Цены'!S921,'Цены'!S931,'Цены'!S941,'Цены'!S951,'Цены'!S961,'Цены'!S971,'Цены'!S981,'Цены'!S991,'Цены'!S1001))</x:f>
        <x:v>-0.2948564773065735</x:v>
      </x:c>
      <x:c r="L31" s="14" t="n">
        <x:f>IF(D31=0,"",MAX('Цены'!S11,'Цены'!S21,'Цены'!S31,'Цены'!S41,'Цены'!S51,'Цены'!S61,'Цены'!S71,'Цены'!S81,'Цены'!S91,'Цены'!S101,'Цены'!S111,'Цены'!S121,'Цены'!S131,'Цены'!S141,'Цены'!S151,'Цены'!S161,'Цены'!S171,'Цены'!S181,'Цены'!S191,'Цены'!S201,'Цены'!S211,'Цены'!S221,'Цены'!S231,'Цены'!S241,'Цены'!S251,'Цены'!S261,'Цены'!S271,'Цены'!S281,'Цены'!S291,'Цены'!S301,'Цены'!S311,'Цены'!S321,'Цены'!S331,'Цены'!S341,'Цены'!S351,'Цены'!S361,'Цены'!S371,'Цены'!S381,'Цены'!S391,'Цены'!S401,'Цены'!S411,'Цены'!S421,'Цены'!S431,'Цены'!S441,'Цены'!S451,'Цены'!S461,'Цены'!S471,'Цены'!S481,'Цены'!S491,'Цены'!S501,'Цены'!S511,'Цены'!S521,'Цены'!S531,'Цены'!S541,'Цены'!S551,'Цены'!S561,'Цены'!S571,'Цены'!S581,'Цены'!S591,'Цены'!S601,'Цены'!S611,'Цены'!S621,'Цены'!S631,'Цены'!S641,'Цены'!S651,'Цены'!S661,'Цены'!S671,'Цены'!S681,'Цены'!S691,'Цены'!S701,'Цены'!S711,'Цены'!S721,'Цены'!S731,'Цены'!S741,'Цены'!S751,'Цены'!S761,'Цены'!S771,'Цены'!S781,'Цены'!S791,'Цены'!S801,'Цены'!S811,'Цены'!S821,'Цены'!S831,'Цены'!S841,'Цены'!S851,'Цены'!S861,'Цены'!S871,'Цены'!S881,'Цены'!S891,'Цены'!S901,'Цены'!S911,'Цены'!S921,'Цены'!S931,'Цены'!S941,'Цены'!S951,'Цены'!S961,'Цены'!S971,'Цены'!S981,'Цены'!S991,'Цены'!S1001))</x:f>
        <x:v>0.9258845697186631</x:v>
      </x:c>
    </x:row>
    <x:row r="32" ht="21" customHeight="1">
      <x:c r="A32" s="2" t="str">
        <x:v>Докупка</x:v>
      </x:c>
      <x:c r="B32" s="2" t="str">
        <x:v>3 мин</x:v>
      </x:c>
      <x:c r="C32" s="2" t="n">
        <x:f>COUNTIFS('Покупки'!$C$8:$C$107,"Докупка")</x:f>
        <x:v>77</x:v>
      </x:c>
      <x:c r="D32" s="2" t="n">
        <x:f>COUNTIFS('Цены'!$B$8:$B$1007,180,'Цены'!$I$8:$I$1007,"Есть цена", 'Цены'!$C$8:$C$1007,"Докупка")</x:f>
        <x:v>11</x:v>
      </x:c>
      <x:c r="E32" s="2" t="n">
        <x:f>C32-D32-F32</x:f>
        <x:v>66</x:v>
      </x:c>
      <x:c r="F32" s="2" t="n">
        <x:f>COUNTIFS('Цены'!$B$8:$B$1007,180,'Цены'!$I$8:$I$1007,"Ещё рано", 'Цены'!$C$8:$C$1007,"Докупка")</x:f>
        <x:v>0</x:v>
      </x:c>
      <x:c r="G32" s="14" t="n">
        <x:f>IF(D32=0,"",AVERAGE('Цены'!S12,'Цены'!S22,'Цены'!S32,'Цены'!S42,'Цены'!S52,'Цены'!S62,'Цены'!S72,'Цены'!S82,'Цены'!S92,'Цены'!S102,'Цены'!S112,'Цены'!S122,'Цены'!S132,'Цены'!S142,'Цены'!S152,'Цены'!S162,'Цены'!S172,'Цены'!S182,'Цены'!S192,'Цены'!S202,'Цены'!S212,'Цены'!S222,'Цены'!S232,'Цены'!S242,'Цены'!S252,'Цены'!S262,'Цены'!S272,'Цены'!S282,'Цены'!S292,'Цены'!S302,'Цены'!S312,'Цены'!S322,'Цены'!S332,'Цены'!S342,'Цены'!S352,'Цены'!S362,'Цены'!S372,'Цены'!S382,'Цены'!S392,'Цены'!S402,'Цены'!S412,'Цены'!S422,'Цены'!S432,'Цены'!S442,'Цены'!S452,'Цены'!S462,'Цены'!S472,'Цены'!S482,'Цены'!S492,'Цены'!S502,'Цены'!S512,'Цены'!S522,'Цены'!S532,'Цены'!S542,'Цены'!S552,'Цены'!S562,'Цены'!S572,'Цены'!S582,'Цены'!S592,'Цены'!S602,'Цены'!S612,'Цены'!S622,'Цены'!S632,'Цены'!S642,'Цены'!S652,'Цены'!S662,'Цены'!S672,'Цены'!S682,'Цены'!S692,'Цены'!S702,'Цены'!S712,'Цены'!S722,'Цены'!S732,'Цены'!S742,'Цены'!S752,'Цены'!S762,'Цены'!S772,'Цены'!S782,'Цены'!S792,'Цены'!S802,'Цены'!S812,'Цены'!S822,'Цены'!S832,'Цены'!S842,'Цены'!S852,'Цены'!S862,'Цены'!S872,'Цены'!S882,'Цены'!S892,'Цены'!S902,'Цены'!S912,'Цены'!S922,'Цены'!S932,'Цены'!S942,'Цены'!S952,'Цены'!S962,'Цены'!S972,'Цены'!S982,'Цены'!S992,'Цены'!S1002))</x:f>
        <x:v>0.027405297315108667</x:v>
      </x:c>
      <x:c r="H32" s="14" t="n">
        <x:f>IF(D32=0,"",MEDIAN('Цены'!S12,'Цены'!S22,'Цены'!S32,'Цены'!S42,'Цены'!S52,'Цены'!S62,'Цены'!S72,'Цены'!S82,'Цены'!S92,'Цены'!S102,'Цены'!S112,'Цены'!S122,'Цены'!S132,'Цены'!S142,'Цены'!S152,'Цены'!S162,'Цены'!S172,'Цены'!S182,'Цены'!S192,'Цены'!S202,'Цены'!S212,'Цены'!S222,'Цены'!S232,'Цены'!S242,'Цены'!S252,'Цены'!S262,'Цены'!S272,'Цены'!S282,'Цены'!S292,'Цены'!S302,'Цены'!S312,'Цены'!S322,'Цены'!S332,'Цены'!S342,'Цены'!S352,'Цены'!S362,'Цены'!S372,'Цены'!S382,'Цены'!S392,'Цены'!S402,'Цены'!S412,'Цены'!S422,'Цены'!S432,'Цены'!S442,'Цены'!S452,'Цены'!S462,'Цены'!S472,'Цены'!S482,'Цены'!S492,'Цены'!S502,'Цены'!S512,'Цены'!S522,'Цены'!S532,'Цены'!S542,'Цены'!S552,'Цены'!S562,'Цены'!S572,'Цены'!S582,'Цены'!S592,'Цены'!S602,'Цены'!S612,'Цены'!S622,'Цены'!S632,'Цены'!S642,'Цены'!S652,'Цены'!S662,'Цены'!S672,'Цены'!S682,'Цены'!S692,'Цены'!S702,'Цены'!S712,'Цены'!S722,'Цены'!S732,'Цены'!S742,'Цены'!S752,'Цены'!S762,'Цены'!S772,'Цены'!S782,'Цены'!S792,'Цены'!S802,'Цены'!S812,'Цены'!S822,'Цены'!S832,'Цены'!S842,'Цены'!S852,'Цены'!S862,'Цены'!S872,'Цены'!S882,'Цены'!S892,'Цены'!S902,'Цены'!S912,'Цены'!S922,'Цены'!S932,'Цены'!S942,'Цены'!S952,'Цены'!S962,'Цены'!S972,'Цены'!S982,'Цены'!S992,'Цены'!S1002))</x:f>
        <x:v>-0.005433516716332187</x:v>
      </x:c>
      <x:c r="I32" s="14" t="n">
        <x:f>IF(D32=0,"",COUNTIFS('Цены'!$B$8:$B$1007,180,'Цены'!$I$8:$I$1007,"Есть цена",'Цены'!$G$8:$G$1007,"&gt;0", 'Цены'!$C$8:$C$1007,"Докупка")/D32)</x:f>
        <x:v>0.45454545454545453</x:v>
      </x:c>
      <x:c r="J32" s="14" t="n">
        <x:f>IF(D32=0,"",COUNTIFS('Цены'!$B$8:$B$1007,180,'Цены'!$I$8:$I$1007,"Есть цена",'Цены'!$G$8:$G$1007,"&gt;=0.05", 'Цены'!$C$8:$C$1007,"Докупка")/D32)</x:f>
        <x:v>0.18181818181818182</x:v>
      </x:c>
      <x:c r="K32" s="14" t="n">
        <x:f>IF(D32=0,"",MIN('Цены'!S12,'Цены'!S22,'Цены'!S32,'Цены'!S42,'Цены'!S52,'Цены'!S62,'Цены'!S72,'Цены'!S82,'Цены'!S92,'Цены'!S102,'Цены'!S112,'Цены'!S122,'Цены'!S132,'Цены'!S142,'Цены'!S152,'Цены'!S162,'Цены'!S172,'Цены'!S182,'Цены'!S192,'Цены'!S202,'Цены'!S212,'Цены'!S222,'Цены'!S232,'Цены'!S242,'Цены'!S252,'Цены'!S262,'Цены'!S272,'Цены'!S282,'Цены'!S292,'Цены'!S302,'Цены'!S312,'Цены'!S322,'Цены'!S332,'Цены'!S342,'Цены'!S352,'Цены'!S362,'Цены'!S372,'Цены'!S382,'Цены'!S392,'Цены'!S402,'Цены'!S412,'Цены'!S422,'Цены'!S432,'Цены'!S442,'Цены'!S452,'Цены'!S462,'Цены'!S472,'Цены'!S482,'Цены'!S492,'Цены'!S502,'Цены'!S512,'Цены'!S522,'Цены'!S532,'Цены'!S542,'Цены'!S552,'Цены'!S562,'Цены'!S572,'Цены'!S582,'Цены'!S592,'Цены'!S602,'Цены'!S612,'Цены'!S622,'Цены'!S632,'Цены'!S642,'Цены'!S652,'Цены'!S662,'Цены'!S672,'Цены'!S682,'Цены'!S692,'Цены'!S702,'Цены'!S712,'Цены'!S722,'Цены'!S732,'Цены'!S742,'Цены'!S752,'Цены'!S762,'Цены'!S772,'Цены'!S782,'Цены'!S792,'Цены'!S802,'Цены'!S812,'Цены'!S822,'Цены'!S832,'Цены'!S842,'Цены'!S852,'Цены'!S862,'Цены'!S872,'Цены'!S882,'Цены'!S892,'Цены'!S902,'Цены'!S912,'Цены'!S922,'Цены'!S932,'Цены'!S942,'Цены'!S952,'Цены'!S962,'Цены'!S972,'Цены'!S982,'Цены'!S992,'Цены'!S1002))</x:f>
        <x:v>-0.28100930141933234</x:v>
      </x:c>
      <x:c r="L32" s="14" t="n">
        <x:f>IF(D32=0,"",MAX('Цены'!S12,'Цены'!S22,'Цены'!S32,'Цены'!S42,'Цены'!S52,'Цены'!S62,'Цены'!S72,'Цены'!S82,'Цены'!S92,'Цены'!S102,'Цены'!S112,'Цены'!S122,'Цены'!S132,'Цены'!S142,'Цены'!S152,'Цены'!S162,'Цены'!S172,'Цены'!S182,'Цены'!S192,'Цены'!S202,'Цены'!S212,'Цены'!S222,'Цены'!S232,'Цены'!S242,'Цены'!S252,'Цены'!S262,'Цены'!S272,'Цены'!S282,'Цены'!S292,'Цены'!S302,'Цены'!S312,'Цены'!S322,'Цены'!S332,'Цены'!S342,'Цены'!S352,'Цены'!S362,'Цены'!S372,'Цены'!S382,'Цены'!S392,'Цены'!S402,'Цены'!S412,'Цены'!S422,'Цены'!S432,'Цены'!S442,'Цены'!S452,'Цены'!S462,'Цены'!S472,'Цены'!S482,'Цены'!S492,'Цены'!S502,'Цены'!S512,'Цены'!S522,'Цены'!S532,'Цены'!S542,'Цены'!S552,'Цены'!S562,'Цены'!S572,'Цены'!S582,'Цены'!S592,'Цены'!S602,'Цены'!S612,'Цены'!S622,'Цены'!S632,'Цены'!S642,'Цены'!S652,'Цены'!S662,'Цены'!S672,'Цены'!S682,'Цены'!S692,'Цены'!S702,'Цены'!S712,'Цены'!S722,'Цены'!S732,'Цены'!S742,'Цены'!S752,'Цены'!S762,'Цены'!S772,'Цены'!S782,'Цены'!S792,'Цены'!S802,'Цены'!S812,'Цены'!S822,'Цены'!S832,'Цены'!S842,'Цены'!S852,'Цены'!S862,'Цены'!S872,'Цены'!S882,'Цены'!S892,'Цены'!S902,'Цены'!S912,'Цены'!S922,'Цены'!S932,'Цены'!S942,'Цены'!S952,'Цены'!S962,'Цены'!S972,'Цены'!S982,'Цены'!S992,'Цены'!S1002))</x:f>
        <x:v>0.5088897147521496</x:v>
      </x:c>
    </x:row>
    <x:row r="33" ht="21" customHeight="1">
      <x:c r="A33" s="2" t="str">
        <x:v>Докупка</x:v>
      </x:c>
      <x:c r="B33" s="2" t="str">
        <x:v>5 мин</x:v>
      </x:c>
      <x:c r="C33" s="2" t="n">
        <x:f>COUNTIFS('Покупки'!$C$8:$C$107,"Докупка")</x:f>
        <x:v>77</x:v>
      </x:c>
      <x:c r="D33" s="2" t="n">
        <x:f>COUNTIFS('Цены'!$B$8:$B$1007,300,'Цены'!$I$8:$I$1007,"Есть цена", 'Цены'!$C$8:$C$1007,"Докупка")</x:f>
        <x:v>11</x:v>
      </x:c>
      <x:c r="E33" s="2" t="n">
        <x:f>C33-D33-F33</x:f>
        <x:v>66</x:v>
      </x:c>
      <x:c r="F33" s="2" t="n">
        <x:f>COUNTIFS('Цены'!$B$8:$B$1007,300,'Цены'!$I$8:$I$1007,"Ещё рано", 'Цены'!$C$8:$C$1007,"Докупка")</x:f>
        <x:v>0</x:v>
      </x:c>
      <x:c r="G33" s="14" t="n">
        <x:f>IF(D33=0,"",AVERAGE('Цены'!S13,'Цены'!S23,'Цены'!S33,'Цены'!S43,'Цены'!S53,'Цены'!S63,'Цены'!S73,'Цены'!S83,'Цены'!S93,'Цены'!S103,'Цены'!S113,'Цены'!S123,'Цены'!S133,'Цены'!S143,'Цены'!S153,'Цены'!S163,'Цены'!S173,'Цены'!S183,'Цены'!S193,'Цены'!S203,'Цены'!S213,'Цены'!S223,'Цены'!S233,'Цены'!S243,'Цены'!S253,'Цены'!S263,'Цены'!S273,'Цены'!S283,'Цены'!S293,'Цены'!S303,'Цены'!S313,'Цены'!S323,'Цены'!S333,'Цены'!S343,'Цены'!S353,'Цены'!S363,'Цены'!S373,'Цены'!S383,'Цены'!S393,'Цены'!S403,'Цены'!S413,'Цены'!S423,'Цены'!S433,'Цены'!S443,'Цены'!S453,'Цены'!S463,'Цены'!S473,'Цены'!S483,'Цены'!S493,'Цены'!S503,'Цены'!S513,'Цены'!S523,'Цены'!S533,'Цены'!S543,'Цены'!S553,'Цены'!S563,'Цены'!S573,'Цены'!S583,'Цены'!S593,'Цены'!S603,'Цены'!S613,'Цены'!S623,'Цены'!S633,'Цены'!S643,'Цены'!S653,'Цены'!S663,'Цены'!S673,'Цены'!S683,'Цены'!S693,'Цены'!S703,'Цены'!S713,'Цены'!S723,'Цены'!S733,'Цены'!S743,'Цены'!S753,'Цены'!S763,'Цены'!S773,'Цены'!S783,'Цены'!S793,'Цены'!S803,'Цены'!S813,'Цены'!S823,'Цены'!S833,'Цены'!S843,'Цены'!S853,'Цены'!S863,'Цены'!S873,'Цены'!S883,'Цены'!S893,'Цены'!S903,'Цены'!S913,'Цены'!S923,'Цены'!S933,'Цены'!S943,'Цены'!S953,'Цены'!S963,'Цены'!S973,'Цены'!S983,'Цены'!S993,'Цены'!S1003))</x:f>
        <x:v>0.05487608453443371</x:v>
      </x:c>
      <x:c r="H33" s="14" t="n">
        <x:f>IF(D33=0,"",MEDIAN('Цены'!S13,'Цены'!S23,'Цены'!S33,'Цены'!S43,'Цены'!S53,'Цены'!S63,'Цены'!S73,'Цены'!S83,'Цены'!S93,'Цены'!S103,'Цены'!S113,'Цены'!S123,'Цены'!S133,'Цены'!S143,'Цены'!S153,'Цены'!S163,'Цены'!S173,'Цены'!S183,'Цены'!S193,'Цены'!S203,'Цены'!S213,'Цены'!S223,'Цены'!S233,'Цены'!S243,'Цены'!S253,'Цены'!S263,'Цены'!S273,'Цены'!S283,'Цены'!S293,'Цены'!S303,'Цены'!S313,'Цены'!S323,'Цены'!S333,'Цены'!S343,'Цены'!S353,'Цены'!S363,'Цены'!S373,'Цены'!S383,'Цены'!S393,'Цены'!S403,'Цены'!S413,'Цены'!S423,'Цены'!S433,'Цены'!S443,'Цены'!S453,'Цены'!S463,'Цены'!S473,'Цены'!S483,'Цены'!S493,'Цены'!S503,'Цены'!S513,'Цены'!S523,'Цены'!S533,'Цены'!S543,'Цены'!S553,'Цены'!S563,'Цены'!S573,'Цены'!S583,'Цены'!S593,'Цены'!S603,'Цены'!S613,'Цены'!S623,'Цены'!S633,'Цены'!S643,'Цены'!S653,'Цены'!S663,'Цены'!S673,'Цены'!S683,'Цены'!S693,'Цены'!S703,'Цены'!S713,'Цены'!S723,'Цены'!S733,'Цены'!S743,'Цены'!S753,'Цены'!S763,'Цены'!S773,'Цены'!S783,'Цены'!S793,'Цены'!S803,'Цены'!S813,'Цены'!S823,'Цены'!S833,'Цены'!S843,'Цены'!S853,'Цены'!S863,'Цены'!S873,'Цены'!S883,'Цены'!S893,'Цены'!S903,'Цены'!S913,'Цены'!S923,'Цены'!S933,'Цены'!S943,'Цены'!S953,'Цены'!S963,'Цены'!S973,'Цены'!S983,'Цены'!S993,'Цены'!S1003))</x:f>
        <x:v>-0.005911352738837139</x:v>
      </x:c>
      <x:c r="I33" s="14" t="n">
        <x:f>IF(D33=0,"",COUNTIFS('Цены'!$B$8:$B$1007,300,'Цены'!$I$8:$I$1007,"Есть цена",'Цены'!$G$8:$G$1007,"&gt;0", 'Цены'!$C$8:$C$1007,"Докупка")/D33)</x:f>
        <x:v>0.36363636363636365</x:v>
      </x:c>
      <x:c r="J33" s="14" t="n">
        <x:f>IF(D33=0,"",COUNTIFS('Цены'!$B$8:$B$1007,300,'Цены'!$I$8:$I$1007,"Есть цена",'Цены'!$G$8:$G$1007,"&gt;=0.05", 'Цены'!$C$8:$C$1007,"Докупка")/D33)</x:f>
        <x:v>0.2727272727272727</x:v>
      </x:c>
      <x:c r="K33" s="14" t="n">
        <x:f>IF(D33=0,"",MIN('Цены'!S13,'Цены'!S23,'Цены'!S33,'Цены'!S43,'Цены'!S53,'Цены'!S63,'Цены'!S73,'Цены'!S83,'Цены'!S93,'Цены'!S103,'Цены'!S113,'Цены'!S123,'Цены'!S133,'Цены'!S143,'Цены'!S153,'Цены'!S163,'Цены'!S173,'Цены'!S183,'Цены'!S193,'Цены'!S203,'Цены'!S213,'Цены'!S223,'Цены'!S233,'Цены'!S243,'Цены'!S253,'Цены'!S263,'Цены'!S273,'Цены'!S283,'Цены'!S293,'Цены'!S303,'Цены'!S313,'Цены'!S323,'Цены'!S333,'Цены'!S343,'Цены'!S353,'Цены'!S363,'Цены'!S373,'Цены'!S383,'Цены'!S393,'Цены'!S403,'Цены'!S413,'Цены'!S423,'Цены'!S433,'Цены'!S443,'Цены'!S453,'Цены'!S463,'Цены'!S473,'Цены'!S483,'Цены'!S493,'Цены'!S503,'Цены'!S513,'Цены'!S523,'Цены'!S533,'Цены'!S543,'Цены'!S553,'Цены'!S563,'Цены'!S573,'Цены'!S583,'Цены'!S593,'Цены'!S603,'Цены'!S613,'Цены'!S623,'Цены'!S633,'Цены'!S643,'Цены'!S653,'Цены'!S663,'Цены'!S673,'Цены'!S683,'Цены'!S693,'Цены'!S703,'Цены'!S713,'Цены'!S723,'Цены'!S733,'Цены'!S743,'Цены'!S753,'Цены'!S763,'Цены'!S773,'Цены'!S783,'Цены'!S793,'Цены'!S803,'Цены'!S813,'Цены'!S823,'Цены'!S833,'Цены'!S843,'Цены'!S853,'Цены'!S863,'Цены'!S873,'Цены'!S883,'Цены'!S893,'Цены'!S903,'Цены'!S913,'Цены'!S923,'Цены'!S933,'Цены'!S943,'Цены'!S953,'Цены'!S963,'Цены'!S973,'Цены'!S983,'Цены'!S993,'Цены'!S1003))</x:f>
        <x:v>-0.29853093180839163</x:v>
      </x:c>
      <x:c r="L33" s="14" t="n">
        <x:f>IF(D33=0,"",MAX('Цены'!S13,'Цены'!S23,'Цены'!S33,'Цены'!S43,'Цены'!S53,'Цены'!S63,'Цены'!S73,'Цены'!S83,'Цены'!S93,'Цены'!S103,'Цены'!S113,'Цены'!S123,'Цены'!S133,'Цены'!S143,'Цены'!S153,'Цены'!S163,'Цены'!S173,'Цены'!S183,'Цены'!S193,'Цены'!S203,'Цены'!S213,'Цены'!S223,'Цены'!S233,'Цены'!S243,'Цены'!S253,'Цены'!S263,'Цены'!S273,'Цены'!S283,'Цены'!S293,'Цены'!S303,'Цены'!S313,'Цены'!S323,'Цены'!S333,'Цены'!S343,'Цены'!S353,'Цены'!S363,'Цены'!S373,'Цены'!S383,'Цены'!S393,'Цены'!S403,'Цены'!S413,'Цены'!S423,'Цены'!S433,'Цены'!S443,'Цены'!S453,'Цены'!S463,'Цены'!S473,'Цены'!S483,'Цены'!S493,'Цены'!S503,'Цены'!S513,'Цены'!S523,'Цены'!S533,'Цены'!S543,'Цены'!S553,'Цены'!S563,'Цены'!S573,'Цены'!S583,'Цены'!S593,'Цены'!S603,'Цены'!S613,'Цены'!S623,'Цены'!S633,'Цены'!S643,'Цены'!S653,'Цены'!S663,'Цены'!S673,'Цены'!S683,'Цены'!S693,'Цены'!S703,'Цены'!S713,'Цены'!S723,'Цены'!S733,'Цены'!S743,'Цены'!S753,'Цены'!S763,'Цены'!S773,'Цены'!S783,'Цены'!S793,'Цены'!S803,'Цены'!S813,'Цены'!S823,'Цены'!S833,'Цены'!S843,'Цены'!S853,'Цены'!S863,'Цены'!S873,'Цены'!S883,'Цены'!S893,'Цены'!S903,'Цены'!S913,'Цены'!S923,'Цены'!S933,'Цены'!S943,'Цены'!S953,'Цены'!S963,'Цены'!S973,'Цены'!S983,'Цены'!S993,'Цены'!S1003))</x:f>
        <x:v>0.8124562608169119</x:v>
      </x:c>
    </x:row>
    <x:row r="34" ht="21" customHeight="1">
      <x:c r="A34" s="2" t="str">
        <x:v>Докупка</x:v>
      </x:c>
      <x:c r="B34" s="2" t="str">
        <x:v>15 мин</x:v>
      </x:c>
      <x:c r="C34" s="2" t="n">
        <x:f>COUNTIFS('Покупки'!$C$8:$C$107,"Докупка")</x:f>
        <x:v>77</x:v>
      </x:c>
      <x:c r="D34" s="2" t="n">
        <x:f>COUNTIFS('Цены'!$B$8:$B$1007,900,'Цены'!$I$8:$I$1007,"Есть цена", 'Цены'!$C$8:$C$1007,"Докупка")</x:f>
        <x:v>8</x:v>
      </x:c>
      <x:c r="E34" s="2" t="n">
        <x:f>C34-D34-F34</x:f>
        <x:v>69</x:v>
      </x:c>
      <x:c r="F34" s="2" t="n">
        <x:f>COUNTIFS('Цены'!$B$8:$B$1007,900,'Цены'!$I$8:$I$1007,"Ещё рано", 'Цены'!$C$8:$C$1007,"Докупка")</x:f>
        <x:v>0</x:v>
      </x:c>
      <x:c r="G34" s="14" t="n">
        <x:f>IF(D34=0,"",AVERAGE('Цены'!S14,'Цены'!S24,'Цены'!S34,'Цены'!S44,'Цены'!S54,'Цены'!S64,'Цены'!S74,'Цены'!S84,'Цены'!S94,'Цены'!S104,'Цены'!S114,'Цены'!S124,'Цены'!S134,'Цены'!S144,'Цены'!S154,'Цены'!S164,'Цены'!S174,'Цены'!S184,'Цены'!S194,'Цены'!S204,'Цены'!S214,'Цены'!S224,'Цены'!S234,'Цены'!S244,'Цены'!S254,'Цены'!S264,'Цены'!S274,'Цены'!S284,'Цены'!S294,'Цены'!S304,'Цены'!S314,'Цены'!S324,'Цены'!S334,'Цены'!S344,'Цены'!S354,'Цены'!S364,'Цены'!S374,'Цены'!S384,'Цены'!S394,'Цены'!S404,'Цены'!S414,'Цены'!S424,'Цены'!S434,'Цены'!S444,'Цены'!S454,'Цены'!S464,'Цены'!S474,'Цены'!S484,'Цены'!S494,'Цены'!S504,'Цены'!S514,'Цены'!S524,'Цены'!S534,'Цены'!S544,'Цены'!S554,'Цены'!S564,'Цены'!S574,'Цены'!S584,'Цены'!S594,'Цены'!S604,'Цены'!S614,'Цены'!S624,'Цены'!S634,'Цены'!S644,'Цены'!S654,'Цены'!S664,'Цены'!S674,'Цены'!S684,'Цены'!S694,'Цены'!S704,'Цены'!S714,'Цены'!S724,'Цены'!S734,'Цены'!S744,'Цены'!S754,'Цены'!S764,'Цены'!S774,'Цены'!S784,'Цены'!S794,'Цены'!S804,'Цены'!S814,'Цены'!S824,'Цены'!S834,'Цены'!S844,'Цены'!S854,'Цены'!S864,'Цены'!S874,'Цены'!S884,'Цены'!S894,'Цены'!S904,'Цены'!S914,'Цены'!S924,'Цены'!S934,'Цены'!S944,'Цены'!S954,'Цены'!S964,'Цены'!S974,'Цены'!S984,'Цены'!S994,'Цены'!S1004))</x:f>
        <x:v>0.10253228948624458</x:v>
      </x:c>
      <x:c r="H34" s="14" t="n">
        <x:f>IF(D34=0,"",MEDIAN('Цены'!S14,'Цены'!S24,'Цены'!S34,'Цены'!S44,'Цены'!S54,'Цены'!S64,'Цены'!S74,'Цены'!S84,'Цены'!S94,'Цены'!S104,'Цены'!S114,'Цены'!S124,'Цены'!S134,'Цены'!S144,'Цены'!S154,'Цены'!S164,'Цены'!S174,'Цены'!S184,'Цены'!S194,'Цены'!S204,'Цены'!S214,'Цены'!S224,'Цены'!S234,'Цены'!S244,'Цены'!S254,'Цены'!S264,'Цены'!S274,'Цены'!S284,'Цены'!S294,'Цены'!S304,'Цены'!S314,'Цены'!S324,'Цены'!S334,'Цены'!S344,'Цены'!S354,'Цены'!S364,'Цены'!S374,'Цены'!S384,'Цены'!S394,'Цены'!S404,'Цены'!S414,'Цены'!S424,'Цены'!S434,'Цены'!S444,'Цены'!S454,'Цены'!S464,'Цены'!S474,'Цены'!S484,'Цены'!S494,'Цены'!S504,'Цены'!S514,'Цены'!S524,'Цены'!S534,'Цены'!S544,'Цены'!S554,'Цены'!S564,'Цены'!S574,'Цены'!S584,'Цены'!S594,'Цены'!S604,'Цены'!S614,'Цены'!S624,'Цены'!S634,'Цены'!S644,'Цены'!S654,'Цены'!S664,'Цены'!S674,'Цены'!S684,'Цены'!S694,'Цены'!S704,'Цены'!S714,'Цены'!S724,'Цены'!S734,'Цены'!S744,'Цены'!S754,'Цены'!S764,'Цены'!S774,'Цены'!S784,'Цены'!S794,'Цены'!S804,'Цены'!S814,'Цены'!S824,'Цены'!S834,'Цены'!S844,'Цены'!S854,'Цены'!S864,'Цены'!S874,'Цены'!S884,'Цены'!S894,'Цены'!S904,'Цены'!S914,'Цены'!S924,'Цены'!S934,'Цены'!S944,'Цены'!S954,'Цены'!S964,'Цены'!S974,'Цены'!S984,'Цены'!S994,'Цены'!S1004))</x:f>
        <x:v>-0.004349364782715581</x:v>
      </x:c>
      <x:c r="I34" s="14" t="n">
        <x:f>IF(D34=0,"",COUNTIFS('Цены'!$B$8:$B$1007,900,'Цены'!$I$8:$I$1007,"Есть цена",'Цены'!$G$8:$G$1007,"&gt;0", 'Цены'!$C$8:$C$1007,"Докупка")/D34)</x:f>
        <x:v>0.375</x:v>
      </x:c>
      <x:c r="J34" s="14" t="n">
        <x:f>IF(D34=0,"",COUNTIFS('Цены'!$B$8:$B$1007,900,'Цены'!$I$8:$I$1007,"Есть цена",'Цены'!$G$8:$G$1007,"&gt;=0.05", 'Цены'!$C$8:$C$1007,"Докупка")/D34)</x:f>
        <x:v>0.375</x:v>
      </x:c>
      <x:c r="K34" s="14" t="n">
        <x:f>IF(D34=0,"",MIN('Цены'!S14,'Цены'!S24,'Цены'!S34,'Цены'!S44,'Цены'!S54,'Цены'!S64,'Цены'!S74,'Цены'!S84,'Цены'!S94,'Цены'!S104,'Цены'!S114,'Цены'!S124,'Цены'!S134,'Цены'!S144,'Цены'!S154,'Цены'!S164,'Цены'!S174,'Цены'!S184,'Цены'!S194,'Цены'!S204,'Цены'!S214,'Цены'!S224,'Цены'!S234,'Цены'!S244,'Цены'!S254,'Цены'!S264,'Цены'!S274,'Цены'!S284,'Цены'!S294,'Цены'!S304,'Цены'!S314,'Цены'!S324,'Цены'!S334,'Цены'!S344,'Цены'!S354,'Цены'!S364,'Цены'!S374,'Цены'!S384,'Цены'!S394,'Цены'!S404,'Цены'!S414,'Цены'!S424,'Цены'!S434,'Цены'!S444,'Цены'!S454,'Цены'!S464,'Цены'!S474,'Цены'!S484,'Цены'!S494,'Цены'!S504,'Цены'!S514,'Цены'!S524,'Цены'!S534,'Цены'!S544,'Цены'!S554,'Цены'!S564,'Цены'!S574,'Цены'!S584,'Цены'!S594,'Цены'!S604,'Цены'!S614,'Цены'!S624,'Цены'!S634,'Цены'!S644,'Цены'!S654,'Цены'!S664,'Цены'!S674,'Цены'!S684,'Цены'!S694,'Цены'!S704,'Цены'!S714,'Цены'!S724,'Цены'!S734,'Цены'!S744,'Цены'!S754,'Цены'!S764,'Цены'!S774,'Цены'!S784,'Цены'!S794,'Цены'!S804,'Цены'!S814,'Цены'!S824,'Цены'!S834,'Цены'!S844,'Цены'!S854,'Цены'!S864,'Цены'!S874,'Цены'!S884,'Цены'!S894,'Цены'!S904,'Цены'!S914,'Цены'!S924,'Цены'!S934,'Цены'!S944,'Цены'!S954,'Цены'!S964,'Цены'!S974,'Цены'!S984,'Цены'!S994,'Цены'!S1004))</x:f>
        <x:v>-0.10145030135187016</x:v>
      </x:c>
      <x:c r="L34" s="14" t="n">
        <x:f>IF(D34=0,"",MAX('Цены'!S14,'Цены'!S24,'Цены'!S34,'Цены'!S44,'Цены'!S54,'Цены'!S64,'Цены'!S74,'Цены'!S84,'Цены'!S94,'Цены'!S104,'Цены'!S114,'Цены'!S124,'Цены'!S134,'Цены'!S144,'Цены'!S154,'Цены'!S164,'Цены'!S174,'Цены'!S184,'Цены'!S194,'Цены'!S204,'Цены'!S214,'Цены'!S224,'Цены'!S234,'Цены'!S244,'Цены'!S254,'Цены'!S264,'Цены'!S274,'Цены'!S284,'Цены'!S294,'Цены'!S304,'Цены'!S314,'Цены'!S324,'Цены'!S334,'Цены'!S344,'Цены'!S354,'Цены'!S364,'Цены'!S374,'Цены'!S384,'Цены'!S394,'Цены'!S404,'Цены'!S414,'Цены'!S424,'Цены'!S434,'Цены'!S444,'Цены'!S454,'Цены'!S464,'Цены'!S474,'Цены'!S484,'Цены'!S494,'Цены'!S504,'Цены'!S514,'Цены'!S524,'Цены'!S534,'Цены'!S544,'Цены'!S554,'Цены'!S564,'Цены'!S574,'Цены'!S584,'Цены'!S594,'Цены'!S604,'Цены'!S614,'Цены'!S624,'Цены'!S634,'Цены'!S644,'Цены'!S654,'Цены'!S664,'Цены'!S674,'Цены'!S684,'Цены'!S694,'Цены'!S704,'Цены'!S714,'Цены'!S724,'Цены'!S734,'Цены'!S744,'Цены'!S754,'Цены'!S764,'Цены'!S774,'Цены'!S784,'Цены'!S794,'Цены'!S804,'Цены'!S814,'Цены'!S824,'Цены'!S834,'Цены'!S844,'Цены'!S854,'Цены'!S864,'Цены'!S874,'Цены'!S884,'Цены'!S894,'Цены'!S904,'Цены'!S914,'Цены'!S924,'Цены'!S934,'Цены'!S944,'Цены'!S954,'Цены'!S964,'Цены'!S974,'Цены'!S984,'Цены'!S994,'Цены'!S1004))</x:f>
        <x:v>0.7344553757906638</x:v>
      </x:c>
    </x:row>
    <x:row r="35" ht="21" customHeight="1">
      <x:c r="A35" s="2" t="str">
        <x:v>Докупка</x:v>
      </x:c>
      <x:c r="B35" s="2" t="str">
        <x:v>1 ч</x:v>
      </x:c>
      <x:c r="C35" s="2" t="n">
        <x:f>COUNTIFS('Покупки'!$C$8:$C$107,"Докупка")</x:f>
        <x:v>77</x:v>
      </x:c>
      <x:c r="D35" s="2" t="n">
        <x:f>COUNTIFS('Цены'!$B$8:$B$1007,3600,'Цены'!$I$8:$I$1007,"Есть цена", 'Цены'!$C$8:$C$1007,"Докупка")</x:f>
        <x:v>11</x:v>
      </x:c>
      <x:c r="E35" s="2" t="n">
        <x:f>C35-D35-F35</x:f>
        <x:v>66</x:v>
      </x:c>
      <x:c r="F35" s="2" t="n">
        <x:f>COUNTIFS('Цены'!$B$8:$B$1007,3600,'Цены'!$I$8:$I$1007,"Ещё рано", 'Цены'!$C$8:$C$1007,"Докупка")</x:f>
        <x:v>0</x:v>
      </x:c>
      <x:c r="G35" s="14" t="n">
        <x:f>IF(D35=0,"",AVERAGE('Цены'!S15,'Цены'!S25,'Цены'!S35,'Цены'!S45,'Цены'!S55,'Цены'!S65,'Цены'!S75,'Цены'!S85,'Цены'!S95,'Цены'!S105,'Цены'!S115,'Цены'!S125,'Цены'!S135,'Цены'!S145,'Цены'!S155,'Цены'!S165,'Цены'!S175,'Цены'!S185,'Цены'!S195,'Цены'!S205,'Цены'!S215,'Цены'!S225,'Цены'!S235,'Цены'!S245,'Цены'!S255,'Цены'!S265,'Цены'!S275,'Цены'!S285,'Цены'!S295,'Цены'!S305,'Цены'!S315,'Цены'!S325,'Цены'!S335,'Цены'!S345,'Цены'!S355,'Цены'!S365,'Цены'!S375,'Цены'!S385,'Цены'!S395,'Цены'!S405,'Цены'!S415,'Цены'!S425,'Цены'!S435,'Цены'!S445,'Цены'!S455,'Цены'!S465,'Цены'!S475,'Цены'!S485,'Цены'!S495,'Цены'!S505,'Цены'!S515,'Цены'!S525,'Цены'!S535,'Цены'!S545,'Цены'!S555,'Цены'!S565,'Цены'!S575,'Цены'!S585,'Цены'!S595,'Цены'!S605,'Цены'!S615,'Цены'!S625,'Цены'!S635,'Цены'!S645,'Цены'!S655,'Цены'!S665,'Цены'!S675,'Цены'!S685,'Цены'!S695,'Цены'!S705,'Цены'!S715,'Цены'!S725,'Цены'!S735,'Цены'!S745,'Цены'!S755,'Цены'!S765,'Цены'!S775,'Цены'!S785,'Цены'!S795,'Цены'!S805,'Цены'!S815,'Цены'!S825,'Цены'!S835,'Цены'!S845,'Цены'!S855,'Цены'!S865,'Цены'!S875,'Цены'!S885,'Цены'!S895,'Цены'!S905,'Цены'!S915,'Цены'!S925,'Цены'!S935,'Цены'!S945,'Цены'!S955,'Цены'!S965,'Цены'!S975,'Цены'!S985,'Цены'!S995,'Цены'!S1005))</x:f>
        <x:v>0.09412356225135494</x:v>
      </x:c>
      <x:c r="H35" s="14" t="n">
        <x:f>IF(D35=0,"",MEDIAN('Цены'!S15,'Цены'!S25,'Цены'!S35,'Цены'!S45,'Цены'!S55,'Цены'!S65,'Цены'!S75,'Цены'!S85,'Цены'!S95,'Цены'!S105,'Цены'!S115,'Цены'!S125,'Цены'!S135,'Цены'!S145,'Цены'!S155,'Цены'!S165,'Цены'!S175,'Цены'!S185,'Цены'!S195,'Цены'!S205,'Цены'!S215,'Цены'!S225,'Цены'!S235,'Цены'!S245,'Цены'!S255,'Цены'!S265,'Цены'!S275,'Цены'!S285,'Цены'!S295,'Цены'!S305,'Цены'!S315,'Цены'!S325,'Цены'!S335,'Цены'!S345,'Цены'!S355,'Цены'!S365,'Цены'!S375,'Цены'!S385,'Цены'!S395,'Цены'!S405,'Цены'!S415,'Цены'!S425,'Цены'!S435,'Цены'!S445,'Цены'!S455,'Цены'!S465,'Цены'!S475,'Цены'!S485,'Цены'!S495,'Цены'!S505,'Цены'!S515,'Цены'!S525,'Цены'!S535,'Цены'!S545,'Цены'!S555,'Цены'!S565,'Цены'!S575,'Цены'!S585,'Цены'!S595,'Цены'!S605,'Цены'!S615,'Цены'!S625,'Цены'!S635,'Цены'!S645,'Цены'!S655,'Цены'!S665,'Цены'!S675,'Цены'!S685,'Цены'!S695,'Цены'!S705,'Цены'!S715,'Цены'!S725,'Цены'!S735,'Цены'!S745,'Цены'!S755,'Цены'!S765,'Цены'!S775,'Цены'!S785,'Цены'!S795,'Цены'!S805,'Цены'!S815,'Цены'!S825,'Цены'!S835,'Цены'!S845,'Цены'!S855,'Цены'!S865,'Цены'!S875,'Цены'!S885,'Цены'!S895,'Цены'!S905,'Цены'!S915,'Цены'!S925,'Цены'!S935,'Цены'!S945,'Цены'!S955,'Цены'!S965,'Цены'!S975,'Цены'!S985,'Цены'!S995,'Цены'!S1005))</x:f>
        <x:v>-0.00009774696636966063</x:v>
      </x:c>
      <x:c r="I35" s="14" t="n">
        <x:f>IF(D35=0,"",COUNTIFS('Цены'!$B$8:$B$1007,3600,'Цены'!$I$8:$I$1007,"Есть цена",'Цены'!$G$8:$G$1007,"&gt;0", 'Цены'!$C$8:$C$1007,"Докупка")/D35)</x:f>
        <x:v>0.45454545454545453</x:v>
      </x:c>
      <x:c r="J35" s="14" t="n">
        <x:f>IF(D35=0,"",COUNTIFS('Цены'!$B$8:$B$1007,3600,'Цены'!$I$8:$I$1007,"Есть цена",'Цены'!$G$8:$G$1007,"&gt;=0.05", 'Цены'!$C$8:$C$1007,"Докупка")/D35)</x:f>
        <x:v>0.45454545454545453</x:v>
      </x:c>
      <x:c r="K35" s="14" t="n">
        <x:f>IF(D35=0,"",MIN('Цены'!S15,'Цены'!S25,'Цены'!S35,'Цены'!S45,'Цены'!S55,'Цены'!S65,'Цены'!S75,'Цены'!S85,'Цены'!S95,'Цены'!S105,'Цены'!S115,'Цены'!S125,'Цены'!S135,'Цены'!S145,'Цены'!S155,'Цены'!S165,'Цены'!S175,'Цены'!S185,'Цены'!S195,'Цены'!S205,'Цены'!S215,'Цены'!S225,'Цены'!S235,'Цены'!S245,'Цены'!S255,'Цены'!S265,'Цены'!S275,'Цены'!S285,'Цены'!S295,'Цены'!S305,'Цены'!S315,'Цены'!S325,'Цены'!S335,'Цены'!S345,'Цены'!S355,'Цены'!S365,'Цены'!S375,'Цены'!S385,'Цены'!S395,'Цены'!S405,'Цены'!S415,'Цены'!S425,'Цены'!S435,'Цены'!S445,'Цены'!S455,'Цены'!S465,'Цены'!S475,'Цены'!S485,'Цены'!S495,'Цены'!S505,'Цены'!S515,'Цены'!S525,'Цены'!S535,'Цены'!S545,'Цены'!S555,'Цены'!S565,'Цены'!S575,'Цены'!S585,'Цены'!S595,'Цены'!S605,'Цены'!S615,'Цены'!S625,'Цены'!S635,'Цены'!S645,'Цены'!S655,'Цены'!S665,'Цены'!S675,'Цены'!S685,'Цены'!S695,'Цены'!S705,'Цены'!S715,'Цены'!S725,'Цены'!S735,'Цены'!S745,'Цены'!S755,'Цены'!S765,'Цены'!S775,'Цены'!S785,'Цены'!S795,'Цены'!S805,'Цены'!S815,'Цены'!S825,'Цены'!S835,'Цены'!S845,'Цены'!S855,'Цены'!S865,'Цены'!S875,'Цены'!S885,'Цены'!S895,'Цены'!S905,'Цены'!S915,'Цены'!S925,'Цены'!S935,'Цены'!S945,'Цены'!S955,'Цены'!S965,'Цены'!S975,'Цены'!S985,'Цены'!S995,'Цены'!S1005))</x:f>
        <x:v>-0.11083264966584727</x:v>
      </x:c>
      <x:c r="L35" s="14" t="n">
        <x:f>IF(D35=0,"",MAX('Цены'!S15,'Цены'!S25,'Цены'!S35,'Цены'!S45,'Цены'!S55,'Цены'!S65,'Цены'!S75,'Цены'!S85,'Цены'!S95,'Цены'!S105,'Цены'!S115,'Цены'!S125,'Цены'!S135,'Цены'!S145,'Цены'!S155,'Цены'!S165,'Цены'!S175,'Цены'!S185,'Цены'!S195,'Цены'!S205,'Цены'!S215,'Цены'!S225,'Цены'!S235,'Цены'!S245,'Цены'!S255,'Цены'!S265,'Цены'!S275,'Цены'!S285,'Цены'!S295,'Цены'!S305,'Цены'!S315,'Цены'!S325,'Цены'!S335,'Цены'!S345,'Цены'!S355,'Цены'!S365,'Цены'!S375,'Цены'!S385,'Цены'!S395,'Цены'!S405,'Цены'!S415,'Цены'!S425,'Цены'!S435,'Цены'!S445,'Цены'!S455,'Цены'!S465,'Цены'!S475,'Цены'!S485,'Цены'!S495,'Цены'!S505,'Цены'!S515,'Цены'!S525,'Цены'!S535,'Цены'!S545,'Цены'!S555,'Цены'!S565,'Цены'!S575,'Цены'!S585,'Цены'!S595,'Цены'!S605,'Цены'!S615,'Цены'!S625,'Цены'!S635,'Цены'!S645,'Цены'!S655,'Цены'!S665,'Цены'!S675,'Цены'!S685,'Цены'!S695,'Цены'!S705,'Цены'!S715,'Цены'!S725,'Цены'!S735,'Цены'!S745,'Цены'!S755,'Цены'!S765,'Цены'!S775,'Цены'!S785,'Цены'!S795,'Цены'!S805,'Цены'!S815,'Цены'!S825,'Цены'!S835,'Цены'!S845,'Цены'!S855,'Цены'!S865,'Цены'!S875,'Цены'!S885,'Цены'!S895,'Цены'!S905,'Цены'!S915,'Цены'!S925,'Цены'!S935,'Цены'!S945,'Цены'!S955,'Цены'!S965,'Цены'!S975,'Цены'!S985,'Цены'!S995,'Цены'!S1005))</x:f>
        <x:v>0.7105320465358433</x:v>
      </x:c>
    </x:row>
    <x:row r="36" ht="21" customHeight="1">
      <x:c r="A36" s="2" t="str">
        <x:v>Докупка</x:v>
      </x:c>
      <x:c r="B36" s="2" t="str">
        <x:v>6 ч</x:v>
      </x:c>
      <x:c r="C36" s="2" t="n">
        <x:f>COUNTIFS('Покупки'!$C$8:$C$107,"Докупка")</x:f>
        <x:v>77</x:v>
      </x:c>
      <x:c r="D36" s="2" t="n">
        <x:f>COUNTIFS('Цены'!$B$8:$B$1007,21600,'Цены'!$I$8:$I$1007,"Есть цена", 'Цены'!$C$8:$C$1007,"Докупка")</x:f>
        <x:v>1</x:v>
      </x:c>
      <x:c r="E36" s="2" t="n">
        <x:f>C36-D36-F36</x:f>
        <x:v>64</x:v>
      </x:c>
      <x:c r="F36" s="2" t="n">
        <x:f>COUNTIFS('Цены'!$B$8:$B$1007,21600,'Цены'!$I$8:$I$1007,"Ещё рано", 'Цены'!$C$8:$C$1007,"Докупка")</x:f>
        <x:v>12</x:v>
      </x:c>
      <x:c r="G36" s="14" t="n">
        <x:f>IF(D36=0,"",AVERAGE('Цены'!S16,'Цены'!S26,'Цены'!S36,'Цены'!S46,'Цены'!S56,'Цены'!S66,'Цены'!S76,'Цены'!S86,'Цены'!S96,'Цены'!S106,'Цены'!S116,'Цены'!S126,'Цены'!S136,'Цены'!S146,'Цены'!S156,'Цены'!S166,'Цены'!S176,'Цены'!S186,'Цены'!S196,'Цены'!S206,'Цены'!S216,'Цены'!S226,'Цены'!S236,'Цены'!S246,'Цены'!S256,'Цены'!S266,'Цены'!S276,'Цены'!S286,'Цены'!S296,'Цены'!S306,'Цены'!S316,'Цены'!S326,'Цены'!S336,'Цены'!S346,'Цены'!S356,'Цены'!S366,'Цены'!S376,'Цены'!S386,'Цены'!S396,'Цены'!S406,'Цены'!S416,'Цены'!S426,'Цены'!S436,'Цены'!S446,'Цены'!S456,'Цены'!S466,'Цены'!S476,'Цены'!S486,'Цены'!S496,'Цены'!S506,'Цены'!S516,'Цены'!S526,'Цены'!S536,'Цены'!S546,'Цены'!S556,'Цены'!S566,'Цены'!S576,'Цены'!S586,'Цены'!S596,'Цены'!S606,'Цены'!S616,'Цены'!S626,'Цены'!S636,'Цены'!S646,'Цены'!S656,'Цены'!S666,'Цены'!S676,'Цены'!S686,'Цены'!S696,'Цены'!S706,'Цены'!S716,'Цены'!S726,'Цены'!S736,'Цены'!S746,'Цены'!S756,'Цены'!S766,'Цены'!S776,'Цены'!S786,'Цены'!S796,'Цены'!S806,'Цены'!S816,'Цены'!S826,'Цены'!S836,'Цены'!S846,'Цены'!S856,'Цены'!S866,'Цены'!S876,'Цены'!S886,'Цены'!S896,'Цены'!S906,'Цены'!S916,'Цены'!S926,'Цены'!S936,'Цены'!S946,'Цены'!S956,'Цены'!S966,'Цены'!S976,'Цены'!S986,'Цены'!S996,'Цены'!S1006))</x:f>
        <x:v>0.7221498734517551</x:v>
      </x:c>
      <x:c r="H36" s="14" t="n">
        <x:f>IF(D36=0,"",MEDIAN('Цены'!S16,'Цены'!S26,'Цены'!S36,'Цены'!S46,'Цены'!S56,'Цены'!S66,'Цены'!S76,'Цены'!S86,'Цены'!S96,'Цены'!S106,'Цены'!S116,'Цены'!S126,'Цены'!S136,'Цены'!S146,'Цены'!S156,'Цены'!S166,'Цены'!S176,'Цены'!S186,'Цены'!S196,'Цены'!S206,'Цены'!S216,'Цены'!S226,'Цены'!S236,'Цены'!S246,'Цены'!S256,'Цены'!S266,'Цены'!S276,'Цены'!S286,'Цены'!S296,'Цены'!S306,'Цены'!S316,'Цены'!S326,'Цены'!S336,'Цены'!S346,'Цены'!S356,'Цены'!S366,'Цены'!S376,'Цены'!S386,'Цены'!S396,'Цены'!S406,'Цены'!S416,'Цены'!S426,'Цены'!S436,'Цены'!S446,'Цены'!S456,'Цены'!S466,'Цены'!S476,'Цены'!S486,'Цены'!S496,'Цены'!S506,'Цены'!S516,'Цены'!S526,'Цены'!S536,'Цены'!S546,'Цены'!S556,'Цены'!S566,'Цены'!S576,'Цены'!S586,'Цены'!S596,'Цены'!S606,'Цены'!S616,'Цены'!S626,'Цены'!S636,'Цены'!S646,'Цены'!S656,'Цены'!S666,'Цены'!S676,'Цены'!S686,'Цены'!S696,'Цены'!S706,'Цены'!S716,'Цены'!S726,'Цены'!S736,'Цены'!S746,'Цены'!S756,'Цены'!S766,'Цены'!S776,'Цены'!S786,'Цены'!S796,'Цены'!S806,'Цены'!S816,'Цены'!S826,'Цены'!S836,'Цены'!S846,'Цены'!S856,'Цены'!S866,'Цены'!S876,'Цены'!S886,'Цены'!S896,'Цены'!S906,'Цены'!S916,'Цены'!S926,'Цены'!S936,'Цены'!S946,'Цены'!S956,'Цены'!S966,'Цены'!S976,'Цены'!S986,'Цены'!S996,'Цены'!S1006))</x:f>
        <x:v>0.7221498734517551</x:v>
      </x:c>
      <x:c r="I36" s="14" t="n">
        <x:f>IF(D36=0,"",COUNTIFS('Цены'!$B$8:$B$1007,21600,'Цены'!$I$8:$I$1007,"Есть цена",'Цены'!$G$8:$G$1007,"&gt;0", 'Цены'!$C$8:$C$1007,"Докупка")/D36)</x:f>
        <x:v>1</x:v>
      </x:c>
      <x:c r="J36" s="14" t="n">
        <x:f>IF(D36=0,"",COUNTIFS('Цены'!$B$8:$B$1007,21600,'Цены'!$I$8:$I$1007,"Есть цена",'Цены'!$G$8:$G$1007,"&gt;=0.05", 'Цены'!$C$8:$C$1007,"Докупка")/D36)</x:f>
        <x:v>1</x:v>
      </x:c>
      <x:c r="K36" s="14" t="n">
        <x:f>IF(D36=0,"",MIN('Цены'!S16,'Цены'!S26,'Цены'!S36,'Цены'!S46,'Цены'!S56,'Цены'!S66,'Цены'!S76,'Цены'!S86,'Цены'!S96,'Цены'!S106,'Цены'!S116,'Цены'!S126,'Цены'!S136,'Цены'!S146,'Цены'!S156,'Цены'!S166,'Цены'!S176,'Цены'!S186,'Цены'!S196,'Цены'!S206,'Цены'!S216,'Цены'!S226,'Цены'!S236,'Цены'!S246,'Цены'!S256,'Цены'!S266,'Цены'!S276,'Цены'!S286,'Цены'!S296,'Цены'!S306,'Цены'!S316,'Цены'!S326,'Цены'!S336,'Цены'!S346,'Цены'!S356,'Цены'!S366,'Цены'!S376,'Цены'!S386,'Цены'!S396,'Цены'!S406,'Цены'!S416,'Цены'!S426,'Цены'!S436,'Цены'!S446,'Цены'!S456,'Цены'!S466,'Цены'!S476,'Цены'!S486,'Цены'!S496,'Цены'!S506,'Цены'!S516,'Цены'!S526,'Цены'!S536,'Цены'!S546,'Цены'!S556,'Цены'!S566,'Цены'!S576,'Цены'!S586,'Цены'!S596,'Цены'!S606,'Цены'!S616,'Цены'!S626,'Цены'!S636,'Цены'!S646,'Цены'!S656,'Цены'!S666,'Цены'!S676,'Цены'!S686,'Цены'!S696,'Цены'!S706,'Цены'!S716,'Цены'!S726,'Цены'!S736,'Цены'!S746,'Цены'!S756,'Цены'!S766,'Цены'!S776,'Цены'!S786,'Цены'!S796,'Цены'!S806,'Цены'!S816,'Цены'!S826,'Цены'!S836,'Цены'!S846,'Цены'!S856,'Цены'!S866,'Цены'!S876,'Цены'!S886,'Цены'!S896,'Цены'!S906,'Цены'!S916,'Цены'!S926,'Цены'!S936,'Цены'!S946,'Цены'!S956,'Цены'!S966,'Цены'!S976,'Цены'!S986,'Цены'!S996,'Цены'!S1006))</x:f>
        <x:v>0.7221498734517551</x:v>
      </x:c>
      <x:c r="L36" s="14" t="n">
        <x:f>IF(D36=0,"",MAX('Цены'!S16,'Цены'!S26,'Цены'!S36,'Цены'!S46,'Цены'!S56,'Цены'!S66,'Цены'!S76,'Цены'!S86,'Цены'!S96,'Цены'!S106,'Цены'!S116,'Цены'!S126,'Цены'!S136,'Цены'!S146,'Цены'!S156,'Цены'!S166,'Цены'!S176,'Цены'!S186,'Цены'!S196,'Цены'!S206,'Цены'!S216,'Цены'!S226,'Цены'!S236,'Цены'!S246,'Цены'!S256,'Цены'!S266,'Цены'!S276,'Цены'!S286,'Цены'!S296,'Цены'!S306,'Цены'!S316,'Цены'!S326,'Цены'!S336,'Цены'!S346,'Цены'!S356,'Цены'!S366,'Цены'!S376,'Цены'!S386,'Цены'!S396,'Цены'!S406,'Цены'!S416,'Цены'!S426,'Цены'!S436,'Цены'!S446,'Цены'!S456,'Цены'!S466,'Цены'!S476,'Цены'!S486,'Цены'!S496,'Цены'!S506,'Цены'!S516,'Цены'!S526,'Цены'!S536,'Цены'!S546,'Цены'!S556,'Цены'!S566,'Цены'!S576,'Цены'!S586,'Цены'!S596,'Цены'!S606,'Цены'!S616,'Цены'!S626,'Цены'!S636,'Цены'!S646,'Цены'!S656,'Цены'!S666,'Цены'!S676,'Цены'!S686,'Цены'!S696,'Цены'!S706,'Цены'!S716,'Цены'!S726,'Цены'!S736,'Цены'!S746,'Цены'!S756,'Цены'!S766,'Цены'!S776,'Цены'!S786,'Цены'!S796,'Цены'!S806,'Цены'!S816,'Цены'!S826,'Цены'!S836,'Цены'!S846,'Цены'!S856,'Цены'!S866,'Цены'!S876,'Цены'!S886,'Цены'!S896,'Цены'!S906,'Цены'!S916,'Цены'!S926,'Цены'!S936,'Цены'!S946,'Цены'!S956,'Цены'!S966,'Цены'!S976,'Цены'!S986,'Цены'!S996,'Цены'!S1006))</x:f>
        <x:v>0.7221498734517551</x:v>
      </x:c>
    </x:row>
    <x:row r="37" ht="21" customHeight="1">
      <x:c r="A37" s="2" t="str">
        <x:v>Докупка</x:v>
      </x:c>
      <x:c r="B37" s="2" t="str">
        <x:v>24 ч</x:v>
      </x:c>
      <x:c r="C37" s="2" t="n">
        <x:f>COUNTIFS('Покупки'!$C$8:$C$107,"Докупка")</x:f>
        <x:v>77</x:v>
      </x:c>
      <x:c r="D37" s="2" t="n">
        <x:f>COUNTIFS('Цены'!$B$8:$B$1007,86400,'Цены'!$I$8:$I$1007,"Есть цена", 'Цены'!$C$8:$C$1007,"Докупка")</x:f>
        <x:v>1</x:v>
      </x:c>
      <x:c r="E37" s="2" t="n">
        <x:f>C37-D37-F37</x:f>
        <x:v>54</x:v>
      </x:c>
      <x:c r="F37" s="2" t="n">
        <x:f>COUNTIFS('Цены'!$B$8:$B$1007,86400,'Цены'!$I$8:$I$1007,"Ещё рано", 'Цены'!$C$8:$C$1007,"Докупка")</x:f>
        <x:v>22</x:v>
      </x:c>
      <x:c r="G37" s="14" t="n">
        <x:f>IF(D37=0,"",AVERAGE('Цены'!S17,'Цены'!S27,'Цены'!S37,'Цены'!S47,'Цены'!S57,'Цены'!S67,'Цены'!S77,'Цены'!S87,'Цены'!S97,'Цены'!S107,'Цены'!S117,'Цены'!S127,'Цены'!S137,'Цены'!S147,'Цены'!S157,'Цены'!S167,'Цены'!S177,'Цены'!S187,'Цены'!S197,'Цены'!S207,'Цены'!S217,'Цены'!S227,'Цены'!S237,'Цены'!S247,'Цены'!S257,'Цены'!S267,'Цены'!S277,'Цены'!S287,'Цены'!S297,'Цены'!S307,'Цены'!S317,'Цены'!S327,'Цены'!S337,'Цены'!S347,'Цены'!S357,'Цены'!S367,'Цены'!S377,'Цены'!S387,'Цены'!S397,'Цены'!S407,'Цены'!S417,'Цены'!S427,'Цены'!S437,'Цены'!S447,'Цены'!S457,'Цены'!S467,'Цены'!S477,'Цены'!S487,'Цены'!S497,'Цены'!S507,'Цены'!S517,'Цены'!S527,'Цены'!S537,'Цены'!S547,'Цены'!S557,'Цены'!S567,'Цены'!S577,'Цены'!S587,'Цены'!S597,'Цены'!S607,'Цены'!S617,'Цены'!S627,'Цены'!S637,'Цены'!S647,'Цены'!S657,'Цены'!S667,'Цены'!S677,'Цены'!S687,'Цены'!S697,'Цены'!S707,'Цены'!S717,'Цены'!S727,'Цены'!S737,'Цены'!S747,'Цены'!S757,'Цены'!S767,'Цены'!S777,'Цены'!S787,'Цены'!S797,'Цены'!S807,'Цены'!S817,'Цены'!S827,'Цены'!S837,'Цены'!S847,'Цены'!S857,'Цены'!S867,'Цены'!S877,'Цены'!S887,'Цены'!S897,'Цены'!S907,'Цены'!S917,'Цены'!S927,'Цены'!S937,'Цены'!S947,'Цены'!S957,'Цены'!S967,'Цены'!S977,'Цены'!S987,'Цены'!S997,'Цены'!S1007))</x:f>
        <x:v>0.4184491358719018</x:v>
      </x:c>
      <x:c r="H37" s="14" t="n">
        <x:f>IF(D37=0,"",MEDIAN('Цены'!S17,'Цены'!S27,'Цены'!S37,'Цены'!S47,'Цены'!S57,'Цены'!S67,'Цены'!S77,'Цены'!S87,'Цены'!S97,'Цены'!S107,'Цены'!S117,'Цены'!S127,'Цены'!S137,'Цены'!S147,'Цены'!S157,'Цены'!S167,'Цены'!S177,'Цены'!S187,'Цены'!S197,'Цены'!S207,'Цены'!S217,'Цены'!S227,'Цены'!S237,'Цены'!S247,'Цены'!S257,'Цены'!S267,'Цены'!S277,'Цены'!S287,'Цены'!S297,'Цены'!S307,'Цены'!S317,'Цены'!S327,'Цены'!S337,'Цены'!S347,'Цены'!S357,'Цены'!S367,'Цены'!S377,'Цены'!S387,'Цены'!S397,'Цены'!S407,'Цены'!S417,'Цены'!S427,'Цены'!S437,'Цены'!S447,'Цены'!S457,'Цены'!S467,'Цены'!S477,'Цены'!S487,'Цены'!S497,'Цены'!S507,'Цены'!S517,'Цены'!S527,'Цены'!S537,'Цены'!S547,'Цены'!S557,'Цены'!S567,'Цены'!S577,'Цены'!S587,'Цены'!S597,'Цены'!S607,'Цены'!S617,'Цены'!S627,'Цены'!S637,'Цены'!S647,'Цены'!S657,'Цены'!S667,'Цены'!S677,'Цены'!S687,'Цены'!S697,'Цены'!S707,'Цены'!S717,'Цены'!S727,'Цены'!S737,'Цены'!S747,'Цены'!S757,'Цены'!S767,'Цены'!S777,'Цены'!S787,'Цены'!S797,'Цены'!S807,'Цены'!S817,'Цены'!S827,'Цены'!S837,'Цены'!S847,'Цены'!S857,'Цены'!S867,'Цены'!S877,'Цены'!S887,'Цены'!S897,'Цены'!S907,'Цены'!S917,'Цены'!S927,'Цены'!S937,'Цены'!S947,'Цены'!S957,'Цены'!S967,'Цены'!S977,'Цены'!S987,'Цены'!S997,'Цены'!S1007))</x:f>
        <x:v>0.4184491358719018</x:v>
      </x:c>
      <x:c r="I37" s="14" t="n">
        <x:f>IF(D37=0,"",COUNTIFS('Цены'!$B$8:$B$1007,86400,'Цены'!$I$8:$I$1007,"Есть цена",'Цены'!$G$8:$G$1007,"&gt;0", 'Цены'!$C$8:$C$1007,"Докупка")/D37)</x:f>
        <x:v>1</x:v>
      </x:c>
      <x:c r="J37" s="14" t="n">
        <x:f>IF(D37=0,"",COUNTIFS('Цены'!$B$8:$B$1007,86400,'Цены'!$I$8:$I$1007,"Есть цена",'Цены'!$G$8:$G$1007,"&gt;=0.05", 'Цены'!$C$8:$C$1007,"Докупка")/D37)</x:f>
        <x:v>1</x:v>
      </x:c>
      <x:c r="K37" s="14" t="n">
        <x:f>IF(D37=0,"",MIN('Цены'!S17,'Цены'!S27,'Цены'!S37,'Цены'!S47,'Цены'!S57,'Цены'!S67,'Цены'!S77,'Цены'!S87,'Цены'!S97,'Цены'!S107,'Цены'!S117,'Цены'!S127,'Цены'!S137,'Цены'!S147,'Цены'!S157,'Цены'!S167,'Цены'!S177,'Цены'!S187,'Цены'!S197,'Цены'!S207,'Цены'!S217,'Цены'!S227,'Цены'!S237,'Цены'!S247,'Цены'!S257,'Цены'!S267,'Цены'!S277,'Цены'!S287,'Цены'!S297,'Цены'!S307,'Цены'!S317,'Цены'!S327,'Цены'!S337,'Цены'!S347,'Цены'!S357,'Цены'!S367,'Цены'!S377,'Цены'!S387,'Цены'!S397,'Цены'!S407,'Цены'!S417,'Цены'!S427,'Цены'!S437,'Цены'!S447,'Цены'!S457,'Цены'!S467,'Цены'!S477,'Цены'!S487,'Цены'!S497,'Цены'!S507,'Цены'!S517,'Цены'!S527,'Цены'!S537,'Цены'!S547,'Цены'!S557,'Цены'!S567,'Цены'!S577,'Цены'!S587,'Цены'!S597,'Цены'!S607,'Цены'!S617,'Цены'!S627,'Цены'!S637,'Цены'!S647,'Цены'!S657,'Цены'!S667,'Цены'!S677,'Цены'!S687,'Цены'!S697,'Цены'!S707,'Цены'!S717,'Цены'!S727,'Цены'!S737,'Цены'!S747,'Цены'!S757,'Цены'!S767,'Цены'!S777,'Цены'!S787,'Цены'!S797,'Цены'!S807,'Цены'!S817,'Цены'!S827,'Цены'!S837,'Цены'!S847,'Цены'!S857,'Цены'!S867,'Цены'!S877,'Цены'!S887,'Цены'!S897,'Цены'!S907,'Цены'!S917,'Цены'!S927,'Цены'!S937,'Цены'!S947,'Цены'!S957,'Цены'!S967,'Цены'!S977,'Цены'!S987,'Цены'!S997,'Цены'!S1007))</x:f>
        <x:v>0.4184491358719018</x:v>
      </x:c>
      <x:c r="L37" s="14" t="n">
        <x:f>IF(D37=0,"",MAX('Цены'!S17,'Цены'!S27,'Цены'!S37,'Цены'!S47,'Цены'!S57,'Цены'!S67,'Цены'!S77,'Цены'!S87,'Цены'!S97,'Цены'!S107,'Цены'!S117,'Цены'!S127,'Цены'!S137,'Цены'!S147,'Цены'!S157,'Цены'!S167,'Цены'!S177,'Цены'!S187,'Цены'!S197,'Цены'!S207,'Цены'!S217,'Цены'!S227,'Цены'!S237,'Цены'!S247,'Цены'!S257,'Цены'!S267,'Цены'!S277,'Цены'!S287,'Цены'!S297,'Цены'!S307,'Цены'!S317,'Цены'!S327,'Цены'!S337,'Цены'!S347,'Цены'!S357,'Цены'!S367,'Цены'!S377,'Цены'!S387,'Цены'!S397,'Цены'!S407,'Цены'!S417,'Цены'!S427,'Цены'!S437,'Цены'!S447,'Цены'!S457,'Цены'!S467,'Цены'!S477,'Цены'!S487,'Цены'!S497,'Цены'!S507,'Цены'!S517,'Цены'!S527,'Цены'!S537,'Цены'!S547,'Цены'!S557,'Цены'!S567,'Цены'!S577,'Цены'!S587,'Цены'!S597,'Цены'!S607,'Цены'!S617,'Цены'!S627,'Цены'!S637,'Цены'!S647,'Цены'!S657,'Цены'!S667,'Цены'!S677,'Цены'!S687,'Цены'!S697,'Цены'!S707,'Цены'!S717,'Цены'!S727,'Цены'!S737,'Цены'!S747,'Цены'!S757,'Цены'!S767,'Цены'!S777,'Цены'!S787,'Цены'!S797,'Цены'!S807,'Цены'!S817,'Цены'!S827,'Цены'!S837,'Цены'!S847,'Цены'!S857,'Цены'!S867,'Цены'!S877,'Цены'!S887,'Цены'!S897,'Цены'!S907,'Цены'!S917,'Цены'!S927,'Цены'!S937,'Цены'!S947,'Цены'!S957,'Цены'!S967,'Цены'!S977,'Цены'!S987,'Цены'!S997,'Цены'!S1007))</x:f>
        <x:v>0.4184491358719018</x:v>
      </x:c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16" t="str">
        <x:v>Сопоставимые 17 покупок: полные точки от +5 секунд до +5 минут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36" customHeight="1">
      <x:c r="A42" s="8" t="str">
        <x:v>Группа</x:v>
      </x:c>
      <x:c r="B42" s="8" t="str">
        <x:v>Горизонт</x:v>
      </x:c>
      <x:c r="C42" s="8" t="str">
        <x:v>Покупок</x:v>
      </x:c>
      <x:c r="D42" s="8" t="str">
        <x:v>Среднее к входу</x:v>
      </x:c>
      <x:c r="E42" s="8" t="str">
        <x:v>Медиана к входу</x:v>
      </x:c>
      <x:c r="F42" s="8" t="str">
        <x:v>Среднее к +5 с</x:v>
      </x:c>
      <x:c r="G42" s="8" t="str">
        <x:v>Медиана к +5 с</x:v>
      </x:c>
      <x:c r="H42" s="8" t="str">
        <x:v>Доля &gt; 0 к +5 с</x:v>
      </x:c>
      <x:c r="I42" s="2"/>
      <x:c r="J42" s="2"/>
      <x:c r="K42" s="2"/>
      <x:c r="L42" s="2"/>
    </x:row>
    <x:row r="43" ht="21" customHeight="1">
      <x:c r="A43" s="2" t="str">
        <x:v>Все</x:v>
      </x:c>
      <x:c r="B43" s="2" t="str">
        <x:v>5 с</x:v>
      </x:c>
      <x:c r="C43" s="2" t="n">
        <x:v>17</x:v>
      </x:c>
      <x:c r="D43" s="14" t="n">
        <x:v>0.3001292734881188</x:v>
      </x:c>
      <x:c r="E43" s="14" t="n">
        <x:v>0.040346666957142806</x:v>
      </x:c>
      <x:c r="F43" s="14" t="n">
        <x:v>0</x:v>
      </x:c>
      <x:c r="G43" s="14" t="n">
        <x:v>0</x:v>
      </x:c>
      <x:c r="H43" s="14" t="n">
        <x:v>0</x:v>
      </x:c>
      <x:c r="I43" s="2"/>
      <x:c r="J43" s="2"/>
      <x:c r="K43" s="2"/>
      <x:c r="L43" s="2"/>
    </x:row>
    <x:row r="44" ht="21" customHeight="1">
      <x:c r="A44" s="2" t="str">
        <x:v>Все</x:v>
      </x:c>
      <x:c r="B44" s="2" t="str">
        <x:v>15 с</x:v>
      </x:c>
      <x:c r="C44" s="2" t="n">
        <x:v>17</x:v>
      </x:c>
      <x:c r="D44" s="14" t="n">
        <x:v>0.39316674398526025</x:v>
      </x:c>
      <x:c r="E44" s="14" t="n">
        <x:v>0.08457493828435943</x:v>
      </x:c>
      <x:c r="F44" s="14" t="n">
        <x:v>0.05730818746077349</x:v>
      </x:c>
      <x:c r="G44" s="14" t="n">
        <x:v>0.02037975097793865</x:v>
      </x:c>
      <x:c r="H44" s="14" t="n">
        <x:v>0.8823529411764706</x:v>
      </x:c>
      <x:c r="I44" s="2"/>
      <x:c r="J44" s="2"/>
      <x:c r="K44" s="2"/>
      <x:c r="L44" s="2"/>
    </x:row>
    <x:row r="45" ht="21" customHeight="1">
      <x:c r="A45" s="2" t="str">
        <x:v>Все</x:v>
      </x:c>
      <x:c r="B45" s="2" t="str">
        <x:v>30 с</x:v>
      </x:c>
      <x:c r="C45" s="2" t="n">
        <x:v>17</x:v>
      </x:c>
      <x:c r="D45" s="14" t="n">
        <x:v>0.5568135308006963</x:v>
      </x:c>
      <x:c r="E45" s="14" t="n">
        <x:v>0.08146291636243559</x:v>
      </x:c>
      <x:c r="F45" s="14" t="n">
        <x:v>0.14777673465272909</x:v>
      </x:c>
      <x:c r="G45" s="14" t="n">
        <x:v>0.047915754653316656</x:v>
      </x:c>
      <x:c r="H45" s="14" t="n">
        <x:v>0.9411764705882353</x:v>
      </x:c>
      <x:c r="I45" s="2"/>
      <x:c r="J45" s="2"/>
      <x:c r="K45" s="2"/>
      <x:c r="L45" s="2"/>
    </x:row>
    <x:row r="46" ht="21" customHeight="1">
      <x:c r="A46" s="2" t="str">
        <x:v>Все</x:v>
      </x:c>
      <x:c r="B46" s="2" t="str">
        <x:v>1 мин</x:v>
      </x:c>
      <x:c r="C46" s="2" t="n">
        <x:v>17</x:v>
      </x:c>
      <x:c r="D46" s="14" t="n">
        <x:v>0.5434734712718684</x:v>
      </x:c>
      <x:c r="E46" s="14" t="n">
        <x:v>0.04127646753295838</x:v>
      </x:c>
      <x:c r="F46" s="14" t="n">
        <x:v>0.13437196451897856</x:v>
      </x:c>
      <x:c r="G46" s="14" t="n">
        <x:v>0.013769920543079905</x:v>
      </x:c>
      <x:c r="H46" s="14" t="n">
        <x:v>0.7647058823529411</x:v>
      </x:c>
      <x:c r="I46" s="2"/>
      <x:c r="J46" s="2"/>
      <x:c r="K46" s="2"/>
      <x:c r="L46" s="2"/>
    </x:row>
    <x:row r="47" ht="21" customHeight="1">
      <x:c r="A47" s="2" t="str">
        <x:v>Все</x:v>
      </x:c>
      <x:c r="B47" s="2" t="str">
        <x:v>3 мин</x:v>
      </x:c>
      <x:c r="C47" s="2" t="n">
        <x:v>17</x:v>
      </x:c>
      <x:c r="D47" s="14" t="n">
        <x:v>0.39864916247709065</x:v>
      </x:c>
      <x:c r="E47" s="14" t="n">
        <x:v>0.04550859448630931</x:v>
      </x:c>
      <x:c r="F47" s="14" t="n">
        <x:v>0.05779804341770449</x:v>
      </x:c>
      <x:c r="G47" s="14" t="n">
        <x:v>0.01049522216896448</x:v>
      </x:c>
      <x:c r="H47" s="14" t="n">
        <x:v>0.6470588235294118</x:v>
      </x:c>
      <x:c r="I47" s="2"/>
      <x:c r="J47" s="2"/>
      <x:c r="K47" s="2"/>
      <x:c r="L47" s="2"/>
    </x:row>
    <x:row r="48" ht="21" customHeight="1">
      <x:c r="A48" s="2" t="str">
        <x:v>Все</x:v>
      </x:c>
      <x:c r="B48" s="2" t="str">
        <x:v>5 мин</x:v>
      </x:c>
      <x:c r="C48" s="2" t="n">
        <x:v>17</x:v>
      </x:c>
      <x:c r="D48" s="14" t="n">
        <x:v>0.40186518389016596</x:v>
      </x:c>
      <x:c r="E48" s="14" t="n">
        <x:v>0.12049836285721945</x:v>
      </x:c>
      <x:c r="F48" s="14" t="n">
        <x:v>0.06638745815347498</x:v>
      </x:c>
      <x:c r="G48" s="14" t="n">
        <x:v>0.03370522924786146</x:v>
      </x:c>
      <x:c r="H48" s="14" t="n">
        <x:v>0.7647058823529411</x:v>
      </x:c>
      <x:c r="I48" s="2"/>
      <x:c r="J48" s="2"/>
      <x:c r="K48" s="2"/>
      <x:c r="L48" s="2"/>
    </x:row>
    <x:row r="49" ht="21" customHeight="1">
      <x:c r="A49" s="2" t="str">
        <x:v>Нулевой остаток</x:v>
      </x:c>
      <x:c r="B49" s="2" t="str">
        <x:v>5 с</x:v>
      </x:c>
      <x:c r="C49" s="2" t="n">
        <x:v>7</x:v>
      </x:c>
      <x:c r="D49" s="14" t="n">
        <x:v>0.6591412388638502</x:v>
      </x:c>
      <x:c r="E49" s="14" t="n">
        <x:v>0.845542874712325</x:v>
      </x:c>
      <x:c r="F49" s="14" t="n">
        <x:v>0</x:v>
      </x:c>
      <x:c r="G49" s="14" t="n">
        <x:v>0</x:v>
      </x:c>
      <x:c r="H49" s="14" t="n">
        <x:v>0</x:v>
      </x:c>
      <x:c r="I49" s="2"/>
      <x:c r="J49" s="2"/>
      <x:c r="K49" s="2"/>
      <x:c r="L49" s="2"/>
    </x:row>
    <x:row r="50" ht="21" customHeight="1">
      <x:c r="A50" s="2" t="str">
        <x:v>Нулевой остаток</x:v>
      </x:c>
      <x:c r="B50" s="2" t="str">
        <x:v>15 с</x:v>
      </x:c>
      <x:c r="C50" s="2" t="n">
        <x:v>7</x:v>
      </x:c>
      <x:c r="D50" s="14" t="n">
        <x:v>0.8424385590904435</x:v>
      </x:c>
      <x:c r="E50" s="14" t="n">
        <x:v>0.9525126487020944</x:v>
      </x:c>
      <x:c r="F50" s="14" t="n">
        <x:v>0.10857964955982122</x:v>
      </x:c>
      <x:c r="G50" s="14" t="n">
        <x:v>0.05796114273771247</x:v>
      </x:c>
      <x:c r="H50" s="14" t="n">
        <x:v>1</x:v>
      </x:c>
      <x:c r="I50" s="2"/>
      <x:c r="J50" s="2"/>
      <x:c r="K50" s="2"/>
      <x:c r="L50" s="2"/>
    </x:row>
    <x:row r="51" ht="21" customHeight="1">
      <x:c r="A51" s="2" t="str">
        <x:v>Нулевой остаток</x:v>
      </x:c>
      <x:c r="B51" s="2" t="str">
        <x:v>30 с</x:v>
      </x:c>
      <x:c r="C51" s="2" t="n">
        <x:v>7</x:v>
      </x:c>
      <x:c r="D51" s="14" t="n">
        <x:v>1.1979702802566832</x:v>
      </x:c>
      <x:c r="E51" s="14" t="n">
        <x:v>1.0466157377709515</x:v>
      </x:c>
      <x:c r="F51" s="14" t="n">
        <x:v>0.29637731940809936</x:v>
      </x:c>
      <x:c r="G51" s="14" t="n">
        <x:v>0.28925712549797655</x:v>
      </x:c>
      <x:c r="H51" s="14" t="n">
        <x:v>1</x:v>
      </x:c>
      <x:c r="I51" s="2"/>
      <x:c r="J51" s="2"/>
      <x:c r="K51" s="2"/>
      <x:c r="L51" s="2"/>
    </x:row>
    <x:row r="52" ht="21" customHeight="1">
      <x:c r="A52" s="2" t="str">
        <x:v>Нулевой остаток</x:v>
      </x:c>
      <x:c r="B52" s="2" t="str">
        <x:v>1 мин</x:v>
      </x:c>
      <x:c r="C52" s="2" t="n">
        <x:v>7</x:v>
      </x:c>
      <x:c r="D52" s="14" t="n">
        <x:v>1.216736962978835</x:v>
      </x:c>
      <x:c r="E52" s="14" t="n">
        <x:v>0.8152028098688708</x:v>
      </x:c>
      <x:c r="F52" s="14" t="n">
        <x:v>0.2920724103414671</x:v>
      </x:c>
      <x:c r="G52" s="14" t="n">
        <x:v>0.169801028195121</x:v>
      </x:c>
      <x:c r="H52" s="14" t="n">
        <x:v>0.7142857142857143</x:v>
      </x:c>
      <x:c r="I52" s="2"/>
      <x:c r="J52" s="2"/>
      <x:c r="K52" s="2"/>
      <x:c r="L52" s="2"/>
    </x:row>
    <x:row r="53" ht="21" customHeight="1">
      <x:c r="A53" s="2" t="str">
        <x:v>Нулевой остаток</x:v>
      </x:c>
      <x:c r="B53" s="2" t="str">
        <x:v>3 мин</x:v>
      </x:c>
      <x:c r="C53" s="2" t="n">
        <x:v>7</x:v>
      </x:c>
      <x:c r="D53" s="14" t="n">
        <x:v>0.9320917968239129</x:v>
      </x:c>
      <x:c r="E53" s="14" t="n">
        <x:v>0.8587092979901211</x:v>
      </x:c>
      <x:c r="F53" s="14" t="n">
        <x:v>0.14324057219078837</x:v>
      </x:c>
      <x:c r="G53" s="14" t="n">
        <x:v>0.039207064827434746</x:v>
      </x:c>
      <x:c r="H53" s="14" t="n">
        <x:v>0.7142857142857143</x:v>
      </x:c>
      <x:c r="I53" s="2"/>
      <x:c r="J53" s="2"/>
      <x:c r="K53" s="2"/>
      <x:c r="L53" s="2"/>
    </x:row>
    <x:row r="54" ht="21" customHeight="1">
      <x:c r="A54" s="2" t="str">
        <x:v>Нулевой остаток</x:v>
      </x:c>
      <x:c r="B54" s="2" t="str">
        <x:v>5 мин</x:v>
      </x:c>
      <x:c r="C54" s="2" t="n">
        <x:v>7</x:v>
      </x:c>
      <x:c r="D54" s="14" t="n">
        <x:v>0.8969003204305876</x:v>
      </x:c>
      <x:c r="E54" s="14" t="n">
        <x:v>0.9547957151648092</x:v>
      </x:c>
      <x:c r="F54" s="14" t="n">
        <x:v>0.14316832800113688</x:v>
      </x:c>
      <x:c r="G54" s="14" t="n">
        <x:v>0.16535334923746725</x:v>
      </x:c>
      <x:c r="H54" s="14" t="n">
        <x:v>0.8571428571428571</x:v>
      </x:c>
      <x:c r="I54" s="2"/>
      <x:c r="J54" s="2"/>
      <x:c r="K54" s="2"/>
      <x:c r="L54" s="2"/>
    </x:row>
    <x:row r="55" ht="21" customHeight="1">
      <x:c r="A55" s="2" t="str">
        <x:v>Докупка</x:v>
      </x:c>
      <x:c r="B55" s="2" t="str">
        <x:v>5 с</x:v>
      </x:c>
      <x:c r="C55" s="2" t="n">
        <x:v>10</x:v>
      </x:c>
      <x:c r="D55" s="14" t="n">
        <x:v>0.04882089772510677</x:v>
      </x:c>
      <x:c r="E55" s="14" t="n">
        <x:v>-0.020151483447209736</x:v>
      </x:c>
      <x:c r="F55" s="14" t="n">
        <x:v>0</x:v>
      </x:c>
      <x:c r="G55" s="14" t="n">
        <x:v>0</x:v>
      </x:c>
      <x:c r="H55" s="14" t="n">
        <x:v>0</x:v>
      </x:c>
      <x:c r="I55" s="2"/>
      <x:c r="J55" s="2"/>
      <x:c r="K55" s="2"/>
      <x:c r="L55" s="2"/>
    </x:row>
    <x:row r="56" ht="21" customHeight="1">
      <x:c r="A56" s="2" t="str">
        <x:v>Докупка</x:v>
      </x:c>
      <x:c r="B56" s="2" t="str">
        <x:v>15 с</x:v>
      </x:c>
      <x:c r="C56" s="2" t="n">
        <x:v>10</x:v>
      </x:c>
      <x:c r="D56" s="14" t="n">
        <x:v>0.07867647341163195</x:v>
      </x:c>
      <x:c r="E56" s="14" t="n">
        <x:v>-0.020717252176061622</x:v>
      </x:c>
      <x:c r="F56" s="14" t="n">
        <x:v>0.021418163991440087</x:v>
      </x:c>
      <x:c r="G56" s="14" t="n">
        <x:v>0.0033130885229394336</x:v>
      </x:c>
      <x:c r="H56" s="14" t="n">
        <x:v>0.8</x:v>
      </x:c>
      <x:c r="I56" s="2"/>
      <x:c r="J56" s="2"/>
      <x:c r="K56" s="2"/>
      <x:c r="L56" s="2"/>
    </x:row>
    <x:row r="57" ht="21" customHeight="1">
      <x:c r="A57" s="2" t="str">
        <x:v>Докупка</x:v>
      </x:c>
      <x:c r="B57" s="2" t="str">
        <x:v>30 с</x:v>
      </x:c>
      <x:c r="C57" s="2" t="n">
        <x:v>10</x:v>
      </x:c>
      <x:c r="D57" s="14" t="n">
        <x:v>0.10800380618150544</x:v>
      </x:c>
      <x:c r="E57" s="14" t="n">
        <x:v>-0.017346706620351895</x:v>
      </x:c>
      <x:c r="F57" s="14" t="n">
        <x:v>0.04375632532396986</x:v>
      </x:c>
      <x:c r="G57" s="14" t="n">
        <x:v>0.010376804555936259</x:v>
      </x:c>
      <x:c r="H57" s="14" t="n">
        <x:v>0.9</x:v>
      </x:c>
      <x:c r="I57" s="2"/>
      <x:c r="J57" s="2"/>
      <x:c r="K57" s="2"/>
      <x:c r="L57" s="2"/>
    </x:row>
    <x:row r="58" ht="21" customHeight="1">
      <x:c r="A58" s="2" t="str">
        <x:v>Докупка</x:v>
      </x:c>
      <x:c r="B58" s="2" t="str">
        <x:v>1 мин</x:v>
      </x:c>
      <x:c r="C58" s="2" t="n">
        <x:v>10</x:v>
      </x:c>
      <x:c r="D58" s="14" t="n">
        <x:v>0.07218902707699172</x:v>
      </x:c>
      <x:c r="E58" s="14" t="n">
        <x:v>-0.016646850072909145</x:v>
      </x:c>
      <x:c r="F58" s="14" t="n">
        <x:v>0.023981652443236613</x:v>
      </x:c>
      <x:c r="G58" s="14" t="n">
        <x:v>0.011359897087516724</x:v>
      </x:c>
      <x:c r="H58" s="14" t="n">
        <x:v>0.8</x:v>
      </x:c>
      <x:c r="I58" s="2"/>
      <x:c r="J58" s="2"/>
      <x:c r="K58" s="2"/>
      <x:c r="L58" s="2"/>
    </x:row>
    <x:row r="59" ht="21" customHeight="1">
      <x:c r="A59" s="2" t="str">
        <x:v>Докупка</x:v>
      </x:c>
      <x:c r="B59" s="2" t="str">
        <x:v>3 мин</x:v>
      </x:c>
      <x:c r="C59" s="2" t="n">
        <x:v>10</x:v>
      </x:c>
      <x:c r="D59" s="14" t="n">
        <x:v>0.02523931843431509</x:v>
      </x:c>
      <x:c r="E59" s="14" t="n">
        <x:v>-0.008098291516217876</x:v>
      </x:c>
      <x:c r="F59" s="14" t="n">
        <x:v>-0.002011726723454221</x:v>
      </x:c>
      <x:c r="G59" s="14" t="n">
        <x:v>0.0057436245386740525</x:v>
      </x:c>
      <x:c r="H59" s="14" t="n">
        <x:v>0.6</x:v>
      </x:c>
      <x:c r="I59" s="2"/>
      <x:c r="J59" s="2"/>
      <x:c r="K59" s="2"/>
      <x:c r="L59" s="2"/>
    </x:row>
    <x:row r="60" ht="21" customHeight="1">
      <x:c r="A60" s="2" t="str">
        <x:v>Докупка</x:v>
      </x:c>
      <x:c r="B60" s="2" t="str">
        <x:v>5 мин</x:v>
      </x:c>
      <x:c r="C60" s="2" t="n">
        <x:v>10</x:v>
      </x:c>
      <x:c r="D60" s="14" t="n">
        <x:v>0.055340588311870775</x:v>
      </x:c>
      <x:c r="E60" s="14" t="n">
        <x:v>-0.007800220363948347</x:v>
      </x:c>
      <x:c r="F60" s="14" t="n">
        <x:v>0.012640849260111654</x:v>
      </x:c>
      <x:c r="G60" s="14" t="n">
        <x:v>0.0067836179369018534</x:v>
      </x:c>
      <x:c r="H60" s="14" t="n">
        <x:v>0.7</x:v>
      </x:c>
      <x:c r="I60" s="2"/>
      <x:c r="J60" s="2"/>
      <x:c r="K60" s="2"/>
      <x:c r="L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1" customHeight="1">
      <x:c r="A62" s="2" t="str">
        <x:v>Сравнение 17 случаев — фиксированный срез, не независимая проверка оптимального выхода и не выборка всех 100.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1" customHeight="1">
      <x:c r="A63" s="2" t="str">
        <x:v>Нулевой остаток не означает первую покупку за всю историю. Учтены балансы участвовавших токен-счетов.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1" customHeight="1">
      <x:c r="A64" s="2" t="str">
        <x:v>39 из 100 покупок относятся к одному mint 6GmAFSYs…UNgx; все они — докупки.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1" customHeight="1">
      <x:c r="A65" s="2" t="str">
        <x:v>USDC≈USD — допущение. Входная цена включает фактический расход / чистое получение токенов.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1" customHeight="1">
      <x:c r="A66" s="2" t="str">
        <x:v>Комиссия tx может быть оплачена другим адресом. Котировка и комиссия относятся к выбранному пулу маршрута.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1" customHeight="1">
      <x:c r="A67" s="2" t="str">
        <x:v>Загрузка остановлена ошибкой сетевого доступа CONNECT 403. Пропуски не заменены нулевой доходностью.</x:v>
      </x:c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1" customHeight="1">
      <x:c r="A68" s="2" t="str">
        <x:v>Источники: сохранённые RPC-транзакции и блоки Solana; ссылки на покупки и ценовые обмены — в детализации.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</x:sheetData>
  <x:conditionalFormatting sqref="G8:L37">
    <x:cfRule type="cellIs" dxfId="4" priority="1" operator="lessThan">
      <x:formula>0</x:formula>
    </x:cfRule>
  </x:conditionalFormatting>
  <x:conditionalFormatting sqref="D43:H60">
    <x:cfRule type="cellIs" dxfId="5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5" hidden="0" customWidth="1"/>
    <x:col min="2" max="2" width="23" hidden="0" customWidth="1"/>
    <x:col min="3" max="3" width="21" hidden="0" customWidth="1"/>
    <x:col min="4" max="4" width="51" hidden="0" customWidth="1"/>
    <x:col min="5" max="5" width="13" hidden="0" customWidth="1"/>
    <x:col min="6" max="6" width="21" hidden="0" customWidth="1"/>
    <x:col min="7" max="7" width="21" hidden="0" customWidth="1"/>
    <x:col min="8" max="8" width="21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3" hidden="0" customWidth="1"/>
    <x:col min="21" max="21" width="82" hidden="0" customWidth="1"/>
    <x:col min="22" max="22" width="13" hidden="0" customWidth="1"/>
    <x:col min="23" max="23" width="13" hidden="0" customWidth="1"/>
    <x:col min="24" max="24" width="13" hidden="0" customWidth="1"/>
    <x:col min="25" max="25" width="102" hidden="0" customWidth="1"/>
    <x:col min="26" max="26" width="120" hidden="0" customWidth="1"/>
    <x:col min="27" max="27" width="56" hidden="0" customWidth="1"/>
    <x:col min="28" max="28" width="5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1" customHeight="1">
      <x:c r="A2" s="3" t="str">
        <x:v>Все 100 подтверждённых покупок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1" customHeight="1">
      <x:c r="A3" s="2" t="str">
        <x:v>16.09.2026 03:23:13 — 17.09.2026 19:06:29 UTC. Порог: расход USDC строго больше 500.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1" customHeight="1">
      <x:c r="A4" s="2" t="str">
        <x:v>Проценты = котировка / фактическая средняя цена покупки − 1. Расходы выхода и влияние объёма не вычтены.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1" customHeight="1">
      <x:c r="A5" s="2" t="str">
        <x:v>Пустой процент означает отсутствие проверенной цены. Причины указаны справа и на листе «Цены».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36" customHeight="1">
      <x:c r="A7" s="8" t="str">
        <x:v>№</x:v>
      </x:c>
      <x:c r="B7" s="8" t="str">
        <x:v>Время UTC</x:v>
      </x:c>
      <x:c r="C7" s="8" t="str">
        <x:v>Тип входа</x:v>
      </x:c>
      <x:c r="D7" s="8" t="str">
        <x:v>Токен (mint)</x:v>
      </x:c>
      <x:c r="E7" s="8" t="str">
        <x:v>Расход USDC</x:v>
      </x:c>
      <x:c r="F7" s="8" t="str">
        <x:v>Получено токенов</x:v>
      </x:c>
      <x:c r="G7" s="8" t="str">
        <x:v>Остаток до</x:v>
      </x:c>
      <x:c r="H7" s="8" t="str">
        <x:v>Цена входа USDC</x:v>
      </x:c>
      <x:c r="I7" s="8" t="str">
        <x:v>Комиссия выбранного пула</x:v>
      </x:c>
      <x:c r="J7" s="8" t="str">
        <x:v>5 с</x:v>
      </x:c>
      <x:c r="K7" s="8" t="str">
        <x:v>15 с</x:v>
      </x:c>
      <x:c r="L7" s="8" t="str">
        <x:v>30 с</x:v>
      </x:c>
      <x:c r="M7" s="8" t="str">
        <x:v>1 мин</x:v>
      </x:c>
      <x:c r="N7" s="8" t="str">
        <x:v>3 мин</x:v>
      </x:c>
      <x:c r="O7" s="8" t="str">
        <x:v>5 мин</x:v>
      </x:c>
      <x:c r="P7" s="8" t="str">
        <x:v>15 мин</x:v>
      </x:c>
      <x:c r="Q7" s="8" t="str">
        <x:v>1 ч</x:v>
      </x:c>
      <x:c r="R7" s="8" t="str">
        <x:v>6 ч</x:v>
      </x:c>
      <x:c r="S7" s="8" t="str">
        <x:v>24 ч</x:v>
      </x:c>
      <x:c r="T7" s="8" t="str">
        <x:v>Точек из 10</x:v>
      </x:c>
      <x:c r="U7" s="8" t="str">
        <x:v>Причины пропусков</x:v>
      </x:c>
      <x:c r="V7" s="8" t="str">
        <x:v>Слот</x:v>
      </x:c>
      <x:c r="W7" s="8" t="str">
        <x:v>Индекс в блоке</x:v>
      </x:c>
      <x:c r="X7" s="8" t="str">
        <x:v>Комиссия tx, SOL</x:v>
      </x:c>
      <x:c r="Y7" s="8" t="str">
        <x:v>Сигнатура</x:v>
      </x:c>
      <x:c r="Z7" s="8" t="str">
        <x:v>Источник</x:v>
      </x:c>
      <x:c r="AA7" s="8" t="str">
        <x:v>Площадка / комиссия</x:v>
      </x:c>
      <x:c r="AB7" s="8" t="str">
        <x:v>Пул котировки</x:v>
      </x:c>
    </x:row>
    <x:row r="8" ht="21" customHeight="1">
      <x:c r="A8" s="2" t="n">
        <x:v>1</x:v>
      </x:c>
      <x:c r="B8" s="9" t="n">
        <x:v>46282.796168981484</x:v>
      </x:c>
      <x:c r="C8" s="2" t="str">
        <x:v>Нулевой остаток</x:v>
      </x:c>
      <x:c r="D8" s="2" t="str">
        <x:v>BXrbjRfUH35Y9fDxmHw9GambqVHZ6McmgfRXGqkzUjQr</x:v>
      </x:c>
      <x:c r="E8" s="10" t="n">
        <x:v>2000</x:v>
      </x:c>
      <x:c r="F8" s="11" t="n">
        <x:v>25591931.476034</x:v>
      </x:c>
      <x:c r="G8" s="11" t="n">
        <x:v>0</x:v>
      </x:c>
      <x:c r="H8" s="12" t="n">
        <x:f>IF(AND(E8&gt;0,F8&gt;0),E8/F8,NA())</x:f>
        <x:v>0.00007814963094414871</x:v>
      </x:c>
      <x:c r="I8" s="13" t="n">
        <x:v>0.0125</x:v>
      </x:c>
      <x:c r="J8" s="14" t="n">
        <x:f>'Цены'!G8</x:f>
        <x:v>0.9741574394932144</x:v>
      </x:c>
      <x:c r="K8" s="14" t="n">
        <x:f>'Цены'!G9</x:f>
        <x:v>1.0382318727268531</x:v>
      </x:c>
      <x:c r="L8" s="14" t="n">
        <x:f>'Цены'!G10</x:f>
        <x:v>1.8672108705549402</x:v>
      </x:c>
      <x:c r="M8" s="14" t="n">
        <x:f>'Цены'!G11</x:f>
        <x:v>2.969100685074792</x:v>
      </x:c>
      <x:c r="N8" s="14" t="n">
        <x:f>'Цены'!G12</x:f>
        <x:v>1.7403031915685343</x:v>
      </x:c>
      <x:c r="O8" s="14" t="n">
        <x:f>'Цены'!G13</x:f>
        <x:v>1.4237900981610014</x:v>
      </x:c>
      <x:c r="P8" s="14" t="n">
        <x:f>'Цены'!G14</x:f>
        <x:v>1.3097213682973603</x:v>
      </x:c>
      <x:c r="Q8" s="14" t="n">
        <x:f>'Цены'!G15</x:f>
        <x:v>0.5368819848135313</x:v>
      </x:c>
      <x:c r="R8" s="14" t="str">
        <x:f>'Цены'!G16</x:f>
      </x:c>
      <x:c r="S8" s="14" t="str">
        <x:f>'Цены'!G17</x:f>
      </x:c>
      <x:c r="T8" s="2" t="n">
        <x:f>COUNT(J8:S8)</x:f>
        <x:v>8</x:v>
      </x:c>
      <x:c r="U8" s="2" t="str">
        <x:v>Ещё рано: 2</x:v>
      </x:c>
      <x:c r="V8" s="2" t="n">
        <x:v>447870555</x:v>
      </x:c>
      <x:c r="W8" s="2" t="n">
        <x:v>57</x:v>
      </x:c>
      <x:c r="X8" s="15" t="n">
        <x:v>0.001468614</x:v>
      </x:c>
      <x:c r="Y8" s="2" t="str">
        <x:v>JLHP1V9ediM8QETprKpTAC7MbKxWrc8J6MFkraKR1BqCea8t54HQQ58pCnPuZahtGxCmpqakSvbBqJ1SnSf8oWm</x:v>
      </x:c>
      <x:c r="Z8" s="2" t="str">
        <x:v>https://solscan.io/tx/JLHP1V9ediM8QETprKpTAC7MbKxWrc8J6MFkraKR1BqCea8t54HQQ58pCnPuZahtGxCmpqakSvbBqJ1SnSf8oWm</x:v>
      </x:c>
      <x:c r="AA8" s="2" t="str">
        <x:v>Raydium CPMM: конфигурация и событие</x:v>
      </x:c>
      <x:c r="AB8" s="2" t="str">
        <x:v>kuasvHwyBm31UjcgCQKLGQYJ5xZnsjpxWfSYZLHgduH</x:v>
      </x:c>
    </x:row>
    <x:row r="9" ht="21" customHeight="1">
      <x:c r="A9" s="2" t="n">
        <x:v>2</x:v>
      </x:c>
      <x:c r="B9" s="9" t="n">
        <x:v>46282.795648148145</x:v>
      </x:c>
      <x:c r="C9" s="2" t="str">
        <x:v>Нулевой остаток</x:v>
      </x:c>
      <x:c r="D9" s="2" t="str">
        <x:v>DDndHihssMMJnd3je9Fxukq4M9PdxwQ2XqF8cZgkZu1s</x:v>
      </x:c>
      <x:c r="E9" s="10" t="n">
        <x:v>600</x:v>
      </x:c>
      <x:c r="F9" s="11" t="n">
        <x:v>18241363.985734</x:v>
      </x:c>
      <x:c r="G9" s="11" t="n">
        <x:v>0</x:v>
      </x:c>
      <x:c r="H9" s="12" t="n">
        <x:f>IF(AND(E9&gt;0,F9&gt;0),E9/F9,NA())</x:f>
        <x:v>0.00003289227716026286</x:v>
      </x:c>
      <x:c r="I9" s="13" t="n">
        <x:v>0.0125</x:v>
      </x:c>
      <x:c r="J9" s="14" t="n">
        <x:f>'Цены'!G18</x:f>
        <x:v>1.2699109550396162</x:v>
      </x:c>
      <x:c r="K9" s="14" t="n">
        <x:f>'Цены'!G19</x:f>
        <x:v>1.7295954776435423</x:v>
      </x:c>
      <x:c r="L9" s="14" t="n">
        <x:f>'Цены'!G20</x:f>
        <x:v>2.043915286872222</x:v>
      </x:c>
      <x:c r="M9" s="14" t="n">
        <x:f>'Цены'!G21</x:f>
        <x:v>2.089939193834782</x:v>
      </x:c>
      <x:c r="N9" s="14" t="n">
        <x:f>'Цены'!G22</x:f>
        <x:v>2.1536105641005356</x:v>
      </x:c>
      <x:c r="O9" s="14" t="n">
        <x:f>'Цены'!G23</x:f>
        <x:v>1.6452483339262347</x:v>
      </x:c>
      <x:c r="P9" s="14" t="n">
        <x:f>'Цены'!G24</x:f>
        <x:v>1.519005399037789</x:v>
      </x:c>
      <x:c r="Q9" s="14" t="n">
        <x:f>'Цены'!G25</x:f>
        <x:v>3.0794535623302046</x:v>
      </x:c>
      <x:c r="R9" s="14" t="str">
        <x:f>'Цены'!G26</x:f>
      </x:c>
      <x:c r="S9" s="14" t="str">
        <x:f>'Цены'!G27</x:f>
      </x:c>
      <x:c r="T9" s="2" t="n">
        <x:f>COUNT(J9:S9)</x:f>
        <x:v>8</x:v>
      </x:c>
      <x:c r="U9" s="2" t="str">
        <x:v>Ещё рано: 2</x:v>
      </x:c>
      <x:c r="V9" s="2" t="n">
        <x:v>447870412</x:v>
      </x:c>
      <x:c r="W9" s="2" t="n">
        <x:v>40</x:v>
      </x:c>
      <x:c r="X9" s="15" t="n">
        <x:v>0.000793295</x:v>
      </x:c>
      <x:c r="Y9" s="2" t="str">
        <x:v>4DpW5GZo5nAH89x1NQRZrXA2YnbYC4h2zeKixaAJEor75sTczmv1RQbAFgfS9GDQRsqiZ2QwBznx1Emh5ENJ8Pwi</x:v>
      </x:c>
      <x:c r="Z9" s="2" t="str">
        <x:v>https://solscan.io/tx/4DpW5GZo5nAH89x1NQRZrXA2YnbYC4h2zeKixaAJEor75sTczmv1RQbAFgfS9GDQRsqiZ2QwBznx1Emh5ENJ8Pwi</x:v>
      </x:c>
      <x:c r="AA9" s="2" t="str">
        <x:v>Raydium CPMM: конфигурация и событие</x:v>
      </x:c>
      <x:c r="AB9" s="2" t="str">
        <x:v>SxTqJ5vNdXds2w7umZo5eCyd7DTpMmr7TYeBAEKgi6n</x:v>
      </x:c>
    </x:row>
    <x:row r="10" ht="21" customHeight="1">
      <x:c r="A10" s="2" t="n">
        <x:v>3</x:v>
      </x:c>
      <x:c r="B10" s="9" t="n">
        <x:v>46282.785729166666</x:v>
      </x:c>
      <x:c r="C10" s="2" t="str">
        <x:v>Докупка</x:v>
      </x:c>
      <x:c r="D10" s="2" t="str">
        <x:v>7LA4wwjoXU4hAdwX1eT5ouuSsMrHq9wHQBfAyPfJK1eQ</x:v>
      </x:c>
      <x:c r="E10" s="10" t="n">
        <x:v>4000</x:v>
      </x:c>
      <x:c r="F10" s="11" t="n">
        <x:v>5560445.628967251</x:v>
      </x:c>
      <x:c r="G10" s="11" t="n">
        <x:v>5092911.39661234</x:v>
      </x:c>
      <x:c r="H10" s="12" t="n">
        <x:f>IF(AND(E10&gt;0,F10&gt;0),E10/F10,NA())</x:f>
        <x:v>0.0007193668038334772</x:v>
      </x:c>
      <x:c r="I10" s="13" t="n">
        <x:v>0.04</x:v>
      </x:c>
      <x:c r="J10" s="14" t="n">
        <x:f>'Цены'!G28</x:f>
        <x:v>0.048954321755664054</x:v>
      </x:c>
      <x:c r="K10" s="14" t="n">
        <x:f>'Цены'!G29</x:f>
        <x:v>0.08919100857073925</x:v>
      </x:c>
      <x:c r="L10" s="14" t="n">
        <x:f>'Цены'!G30</x:f>
        <x:v>0.08146291636243563</x:v>
      </x:c>
      <x:c r="M10" s="14" t="n">
        <x:f>'Цены'!G31</x:f>
        <x:v>0.041276467532958216</x:v>
      </x:c>
      <x:c r="N10" s="14" t="n">
        <x:f>'Цены'!G32</x:f>
        <x:v>0.04550859448630917</x:v>
      </x:c>
      <x:c r="O10" s="14" t="n">
        <x:f>'Цены'!G33</x:f>
        <x:v>0.032639271998378794</x:v>
      </x:c>
      <x:c r="P10" s="14" t="n">
        <x:f>'Цены'!G34</x:f>
        <x:v>0.09728665123622449</x:v>
      </x:c>
      <x:c r="Q10" s="14" t="n">
        <x:f>'Цены'!G35</x:f>
        <x:v>0.12295538978433784</x:v>
      </x:c>
      <x:c r="R10" s="14" t="str">
        <x:f>'Цены'!G36</x:f>
      </x:c>
      <x:c r="S10" s="14" t="str">
        <x:f>'Цены'!G37</x:f>
      </x:c>
      <x:c r="T10" s="2" t="n">
        <x:f>COUNT(J10:S10)</x:f>
        <x:v>8</x:v>
      </x:c>
      <x:c r="U10" s="2" t="str">
        <x:v>Ещё рано: 2</x:v>
      </x:c>
      <x:c r="V10" s="2" t="n">
        <x:v>447867709</x:v>
      </x:c>
      <x:c r="W10" s="2" t="n">
        <x:v>1053</x:v>
      </x:c>
      <x:c r="X10" s="15" t="n">
        <x:v>0.000047267</x:v>
      </x:c>
      <x:c r="Y10" s="2" t="str">
        <x:v>2uj6KydmYxyjmhx3EN8YFrK8uXAcSEiau5nDMd4dwvGuPYZy3gEwcixagKAqysmd8chxXHRXh7NdpcCCRzAsDiVG</x:v>
      </x:c>
      <x:c r="Z10" s="2" t="str">
        <x:v>https://solscan.io/tx/2uj6KydmYxyjmhx3EN8YFrK8uXAcSEiau5nDMd4dwvGuPYZy3gEwcixagKAqysmd8chxXHRXh7NdpcCCRzAsDiVG</x:v>
      </x:c>
      <x:c r="AA10" s="2" t="str">
        <x:v>Raydium CLMM: конфигурация подтверждена</x:v>
      </x:c>
      <x:c r="AB10" s="2" t="str">
        <x:v>GtmPDVPVepVJjENBNharAsBRLwifdD9PktYVj5f1VCWe</x:v>
      </x:c>
    </x:row>
    <x:row r="11" ht="21" customHeight="1">
      <x:c r="A11" s="2" t="n">
        <x:v>4</x:v>
      </x:c>
      <x:c r="B11" s="9" t="n">
        <x:v>46282.76354166667</x:v>
      </x:c>
      <x:c r="C11" s="2" t="str">
        <x:v>Докупка</x:v>
      </x:c>
      <x:c r="D11" s="2" t="str">
        <x:v>6GmAFSYs4gk3FDao5FzzySQpPZaWsa4rUJHacpMpUNgx</x:v>
      </x:c>
      <x:c r="E11" s="10" t="n">
        <x:v>2000</x:v>
      </x:c>
      <x:c r="F11" s="11" t="n">
        <x:v>8600.231745336</x:v>
      </x:c>
      <x:c r="G11" s="11" t="n">
        <x:v>38778743.266966715</x:v>
      </x:c>
      <x:c r="H11" s="12" t="n">
        <x:f>IF(AND(E11&gt;0,F11&gt;0),E11/F11,NA())</x:f>
        <x:v>0.23255187292884544</x:v>
      </x:c>
      <x:c r="I11" s="13" t="n">
        <x:v>0.0015337423105829056</x:v>
      </x:c>
      <x:c r="J11" s="14" t="n">
        <x:f>'Цены'!G38</x:f>
        <x:v>-0.007793129731951121</x:v>
      </x:c>
      <x:c r="K11" s="14" t="n">
        <x:f>'Цены'!G39</x:f>
        <x:v>-0.009279210915577707</x:v>
      </x:c>
      <x:c r="L11" s="14" t="n">
        <x:f>'Цены'!G40</x:f>
        <x:v>-0.006304819426548924</x:v>
      </x:c>
      <x:c r="M11" s="14" t="n">
        <x:f>'Цены'!G41</x:f>
        <x:v>-0.006304819426548924</x:v>
      </x:c>
      <x:c r="N11" s="14" t="n">
        <x:f>'Цены'!G42</x:f>
        <x:v>-0.010763066316103576</x:v>
      </x:c>
      <x:c r="O11" s="14" t="n">
        <x:f>'Цены'!G43</x:f>
        <x:v>-0.004814276655688787</x:v>
      </x:c>
      <x:c r="P11" s="14" t="n">
        <x:f>'Цены'!G44</x:f>
        <x:v>-0.004814276655688787</x:v>
      </x:c>
      <x:c r="Q11" s="14" t="n">
        <x:f>'Цены'!G45</x:f>
        <x:v>-0.006304819426548924</x:v>
      </x:c>
      <x:c r="R11" s="14" t="str">
        <x:f>'Цены'!G46</x:f>
      </x:c>
      <x:c r="S11" s="14" t="str">
        <x:f>'Цены'!G47</x:f>
      </x:c>
      <x:c r="T11" s="2" t="n">
        <x:f>COUNT(J11:S11)</x:f>
        <x:v>8</x:v>
      </x:c>
      <x:c r="U11" s="2" t="str">
        <x:v>Ещё рано: 2</x:v>
      </x:c>
      <x:c r="V11" s="2" t="n">
        <x:v>447861667</x:v>
      </x:c>
      <x:c r="W11" s="2" t="n">
        <x:v>841</x:v>
      </x:c>
      <x:c r="X11" s="15" t="n">
        <x:v>0.001451201</x:v>
      </x:c>
      <x:c r="Y11" s="2" t="str">
        <x:v>2SGJX52MbsMk29gnk3xNhxb78nd4JkdtnNtb9dH6tddu2iQmN74UUuJu3MdHZZRrVNt71ewpv9gXz4cpNg3Z7qJ1</x:v>
      </x:c>
      <x:c r="Z11" s="2" t="str">
        <x:v>https://solscan.io/tx/2SGJX52MbsMk29gnk3xNhxb78nd4JkdtnNtb9dH6tddu2iQmN74UUuJu3MdHZZRrVNt71ewpv9gXz4cpNg3Z7qJ1</x:v>
      </x:c>
      <x:c r="AA11" s="2" t="str">
        <x:v>Meteora DLMM: фактическая комиссия</x:v>
      </x:c>
      <x:c r="AB11" s="2" t="str">
        <x:v>36SpkkrsnyUgjPC24KU993r8T3whkJaPgoEeAmbBj9uB</x:v>
      </x:c>
    </x:row>
    <x:row r="12" ht="21" customHeight="1">
      <x:c r="A12" s="2" t="n">
        <x:v>5</x:v>
      </x:c>
      <x:c r="B12" s="9" t="n">
        <x:v>46282.76006944444</x:v>
      </x:c>
      <x:c r="C12" s="2" t="str">
        <x:v>Докупка</x:v>
      </x:c>
      <x:c r="D12" s="2" t="str">
        <x:v>FeDrozMMWvy1MjV7Y5pcgssxiN42TR1fV3GqYmohqA6W</x:v>
      </x:c>
      <x:c r="E12" s="10" t="n">
        <x:v>800</x:v>
      </x:c>
      <x:c r="F12" s="11" t="n">
        <x:v>5435432.469830369</x:v>
      </x:c>
      <x:c r="G12" s="11" t="n">
        <x:v>4556669.81841409</x:v>
      </x:c>
      <x:c r="H12" s="12" t="n">
        <x:f>IF(AND(E12&gt;0,F12&gt;0),E12/F12,NA())</x:f>
        <x:v>0.00014718240074555958</x:v>
      </x:c>
      <x:c r="I12" s="13" t="n">
        <x:v>0.01000000000000074</x:v>
      </x:c>
      <x:c r="J12" s="14" t="n">
        <x:f>'Цены'!G48</x:f>
        <x:v>-0.3293493806607013</x:v>
      </x:c>
      <x:c r="K12" s="14" t="n">
        <x:f>'Цены'!G49</x:f>
        <x:v>-0.3162334198503566</x:v>
      </x:c>
      <x:c r="L12" s="14" t="n">
        <x:f>'Цены'!G50</x:f>
        <x:v>-0.2972146501263446</x:v>
      </x:c>
      <x:c r="M12" s="14" t="n">
        <x:f>'Цены'!G51</x:f>
        <x:v>-0.2948564773065735</x:v>
      </x:c>
      <x:c r="N12" s="14" t="n">
        <x:f>'Цены'!G52</x:f>
        <x:v>-0.28100930141933234</x:v>
      </x:c>
      <x:c r="O12" s="14" t="n">
        <x:f>'Цены'!G53</x:f>
        <x:v>-0.29853093180839163</x:v>
      </x:c>
      <x:c r="P12" s="14" t="str">
        <x:f>'Цены'!G54</x:f>
      </x:c>
      <x:c r="Q12" s="14" t="n">
        <x:f>'Цены'!G55</x:f>
        <x:v>0.2932127953194579</x:v>
      </x:c>
      <x:c r="R12" s="14" t="str">
        <x:f>'Цены'!G56</x:f>
      </x:c>
      <x:c r="S12" s="14" t="str">
        <x:f>'Цены'!G57</x:f>
      </x:c>
      <x:c r="T12" s="2" t="n">
        <x:f>COUNT(J12:S12)</x:f>
        <x:v>7</x:v>
      </x:c>
      <x:c r="U12" s="2" t="str">
        <x:v>RPC: данные не загружены: 1; Ещё рано: 2</x:v>
      </x:c>
      <x:c r="V12" s="2" t="n">
        <x:v>447860720</x:v>
      </x:c>
      <x:c r="W12" s="2" t="n">
        <x:v>1392</x:v>
      </x:c>
      <x:c r="X12" s="15" t="n">
        <x:v>0.000080001</x:v>
      </x:c>
      <x:c r="Y12" s="2" t="str">
        <x:v>5y38rMoQsL9fS921RhcAhGiPBEGA19iYfrzGYpKjfusb86hFh9Uazd8ypgkcf4KEoqkekWrTcRVJ9oeFLPZ2m3Se</x:v>
      </x:c>
      <x:c r="Z12" s="2" t="str">
        <x:v>https://solscan.io/tx/5y38rMoQsL9fS921RhcAhGiPBEGA19iYfrzGYpKjfusb86hFh9Uazd8ypgkcf4KEoqkekWrTcRVJ9oeFLPZ2m3Se</x:v>
      </x:c>
      <x:c r="AA12" s="2" t="str">
        <x:v>Raydium CLMM: фактическая комиссия</x:v>
      </x:c>
      <x:c r="AB12" s="2" t="str">
        <x:v>DCivQfRN6jy4LUHjgsoX16tkQtGJtLQdwmHYHPFDZmX</x:v>
      </x:c>
    </x:row>
    <x:row r="13" ht="21" customHeight="1">
      <x:c r="A13" s="2" t="n">
        <x:v>6</x:v>
      </x:c>
      <x:c r="B13" s="9" t="n">
        <x:v>46282.75824074074</x:v>
      </x:c>
      <x:c r="C13" s="2" t="str">
        <x:v>Нулевой остаток</x:v>
      </x:c>
      <x:c r="D13" s="2" t="str">
        <x:v>7hGgx1VtNTj193fFXXuMEkp1MRV6JbWYgMBhHRYxaxu2</x:v>
      </x:c>
      <x:c r="E13" s="10" t="n">
        <x:v>2000</x:v>
      </x:c>
      <x:c r="F13" s="11" t="n">
        <x:v>3363255.273228359</x:v>
      </x:c>
      <x:c r="G13" s="11" t="n">
        <x:v>0</x:v>
      </x:c>
      <x:c r="H13" s="12" t="n">
        <x:f>IF(AND(E13&gt;0,F13&gt;0),E13/F13,NA())</x:f>
        <x:v>0.000594661968099798</x:v>
      </x:c>
      <x:c r="I13" s="13" t="n">
        <x:v>0.04</x:v>
      </x:c>
      <x:c r="J13" s="14" t="n">
        <x:f>'Цены'!G58</x:f>
        <x:v>0.07599985240058205</x:v>
      </x:c>
      <x:c r="K13" s="14" t="n">
        <x:f>'Цены'!G59</x:f>
        <x:v>0.23561188135227495</x:v>
      </x:c>
      <x:c r="L13" s="14" t="n">
        <x:f>'Цены'!G60</x:f>
        <x:v>0.30169973199495925</x:v>
      </x:c>
      <x:c r="M13" s="14" t="n">
        <x:f>'Цены'!G61</x:f>
        <x:v>0.25870573367599925</x:v>
      </x:c>
      <x:c r="N13" s="14" t="n">
        <x:f>'Цены'!G62</x:f>
        <x:v>0.3493464791037517</x:v>
      </x:c>
      <x:c r="O13" s="14" t="n">
        <x:f>'Цены'!G63</x:f>
        <x:v>0.46819067143541715</x:v>
      </x:c>
      <x:c r="P13" s="14" t="n">
        <x:f>'Цены'!G64</x:f>
        <x:v>0.27281045564723394</x:v>
      </x:c>
      <x:c r="Q13" s="14" t="n">
        <x:f>'Цены'!G65</x:f>
        <x:v>1.1468273355877199</x:v>
      </x:c>
      <x:c r="R13" s="14" t="str">
        <x:f>'Цены'!G66</x:f>
      </x:c>
      <x:c r="S13" s="14" t="str">
        <x:f>'Цены'!G67</x:f>
      </x:c>
      <x:c r="T13" s="2" t="n">
        <x:f>COUNT(J13:S13)</x:f>
        <x:v>8</x:v>
      </x:c>
      <x:c r="U13" s="2" t="str">
        <x:v>Ещё рано: 2</x:v>
      </x:c>
      <x:c r="V13" s="2" t="n">
        <x:v>447860218</x:v>
      </x:c>
      <x:c r="W13" s="2" t="n">
        <x:v>587</x:v>
      </x:c>
      <x:c r="X13" s="15" t="n">
        <x:v>0.001682863</x:v>
      </x:c>
      <x:c r="Y13" s="2" t="str">
        <x:v>fxscHbqstB39REnbpxb5zGGjGcsRFefbKrNKDNZsYNAgJTjph8eZ2Ckti3dJPsmx8dAq2NiHSGRJ4SuRaTSkGAa</x:v>
      </x:c>
      <x:c r="Z13" s="2" t="str">
        <x:v>https://solscan.io/tx/fxscHbqstB39REnbpxb5zGGjGcsRFefbKrNKDNZsYNAgJTjph8eZ2Ckti3dJPsmx8dAq2NiHSGRJ4SuRaTSkGAa</x:v>
      </x:c>
      <x:c r="AA13" s="2" t="str">
        <x:v>Raydium CLMM: конфигурация подтверждена</x:v>
      </x:c>
      <x:c r="AB13" s="2" t="str">
        <x:v>6HqstnfN8RN5sAdRZMCr88tD2GKpuWBjRntwyKxLG75V</x:v>
      </x:c>
    </x:row>
    <x:row r="14" ht="21" customHeight="1">
      <x:c r="A14" s="2" t="n">
        <x:v>7</x:v>
      </x:c>
      <x:c r="B14" s="9" t="n">
        <x:v>46282.74875</x:v>
      </x:c>
      <x:c r="C14" s="2" t="str">
        <x:v>Докупка</x:v>
      </x:c>
      <x:c r="D14" s="2" t="str">
        <x:v>8RVBk8vxLiUHueLUW1f4izFVqN3nWippLhkohKg6EGkS</x:v>
      </x:c>
      <x:c r="E14" s="10" t="n">
        <x:v>1023.156621</x:v>
      </x:c>
      <x:c r="F14" s="11" t="n">
        <x:v>49824.350373</x:v>
      </x:c>
      <x:c r="G14" s="11" t="n">
        <x:v>696986.179921</x:v>
      </x:c>
      <x:c r="H14" s="12" t="n">
        <x:f>IF(AND(E14&gt;0,F14&gt;0),E14/F14,NA())</x:f>
        <x:v>0.020535272679730758</x:v>
      </x:c>
      <x:c r="I14" s="13" t="n">
        <x:v>0.0125</x:v>
      </x:c>
      <x:c r="J14" s="14" t="str">
        <x:f>'Цены'!G68</x:f>
      </x:c>
      <x:c r="K14" s="14" t="str">
        <x:f>'Цены'!G69</x:f>
      </x:c>
      <x:c r="L14" s="14" t="str">
        <x:f>'Цены'!G70</x:f>
      </x:c>
      <x:c r="M14" s="14" t="str">
        <x:f>'Цены'!G71</x:f>
      </x:c>
      <x:c r="N14" s="14" t="str">
        <x:f>'Цены'!G72</x:f>
      </x:c>
      <x:c r="O14" s="14" t="str">
        <x:f>'Цены'!G73</x:f>
      </x:c>
      <x:c r="P14" s="14" t="str">
        <x:f>'Цены'!G74</x:f>
      </x:c>
      <x:c r="Q14" s="14" t="str">
        <x:f>'Цены'!G75</x:f>
      </x:c>
      <x:c r="R14" s="14" t="str">
        <x:f>'Цены'!G76</x:f>
      </x:c>
      <x:c r="S14" s="14" t="str">
        <x:f>'Цены'!G77</x:f>
      </x:c>
      <x:c r="T14" s="2" t="n">
        <x:f>COUNT(J14:S14)</x:f>
        <x:v>0</x:v>
      </x:c>
      <x:c r="U14" s="2" t="str">
        <x:v>RPC: данные не загружены: 8; Ещё рано: 2</x:v>
      </x:c>
      <x:c r="V14" s="2" t="n">
        <x:v>447857630</x:v>
      </x:c>
      <x:c r="W14" s="2" t="n">
        <x:v>49</x:v>
      </x:c>
      <x:c r="X14" s="15" t="n">
        <x:v>0.001648609</x:v>
      </x:c>
      <x:c r="Y14" s="2" t="str">
        <x:v>3WdZoTtAa9FyqQm9dPReLrgWPw41bufUCBDa8C6NUKqJXdQHWXfEPk451dS4r7dQv3qbjymhftxugWwoS3kxzt8F</x:v>
      </x:c>
      <x:c r="Z14" s="2" t="str">
        <x:v>https://solscan.io/tx/3WdZoTtAa9FyqQm9dPReLrgWPw41bufUCBDa8C6NUKqJXdQHWXfEPk451dS4r7dQv3qbjymhftxugWwoS3kxzt8F</x:v>
      </x:c>
      <x:c r="AA14" s="2" t="str">
        <x:v>Raydium CPMM: конфигурация и событие</x:v>
      </x:c>
      <x:c r="AB14" s="2" t="str">
        <x:v>BUVzsLLLG7GWoyJVoU31pXiBveazA6GXTavZ9VD3CwS9</x:v>
      </x:c>
    </x:row>
    <x:row r="15" ht="21" customHeight="1">
      <x:c r="A15" s="2" t="n">
        <x:v>8</x:v>
      </x:c>
      <x:c r="B15" s="9" t="n">
        <x:v>46282.74865740741</x:v>
      </x:c>
      <x:c r="C15" s="2" t="str">
        <x:v>Докупка</x:v>
      </x:c>
      <x:c r="D15" s="2" t="str">
        <x:v>8RVBk8vxLiUHueLUW1f4izFVqN3nWippLhkohKg6EGkS</x:v>
      </x:c>
      <x:c r="E15" s="10" t="n">
        <x:v>1500</x:v>
      </x:c>
      <x:c r="F15" s="11" t="n">
        <x:v>73663.497386</x:v>
      </x:c>
      <x:c r="G15" s="11" t="n">
        <x:v>623322.682535</x:v>
      </x:c>
      <x:c r="H15" s="12" t="n">
        <x:f>IF(AND(E15&gt;0,F15&gt;0),E15/F15,NA())</x:f>
        <x:v>0.020362866999647507</x:v>
      </x:c>
      <x:c r="I15" s="13" t="n">
        <x:v>0.0125</x:v>
      </x:c>
      <x:c r="J15" s="14" t="n">
        <x:f>'Цены'!G78</x:f>
        <x:v>-0.041092315263985935</x:v>
      </x:c>
      <x:c r="K15" s="14" t="n">
        <x:f>'Цены'!G79</x:f>
        <x:v>-0.03861562621076087</x:v>
      </x:c>
      <x:c r="L15" s="14" t="n">
        <x:f>'Цены'!G80</x:f>
        <x:v>-0.03310048808483301</x:v>
      </x:c>
      <x:c r="M15" s="14" t="n">
        <x:f>'Цены'!G81</x:f>
        <x:v>-0.027888232637022337</x:v>
      </x:c>
      <x:c r="N15" s="14" t="n">
        <x:f>'Цены'!G82</x:f>
        <x:v>-0.02028976620776146</x:v>
      </x:c>
      <x:c r="O15" s="14" t="n">
        <x:f>'Цены'!G83</x:f>
        <x:v>-0.02048358668849526</x:v>
      </x:c>
      <x:c r="P15" s="14" t="n">
        <x:f>'Цены'!G84</x:f>
        <x:v>-0.011230238718128671</x:v>
      </x:c>
      <x:c r="Q15" s="14" t="n">
        <x:f>'Цены'!G85</x:f>
        <x:v>0.1428626124692649</x:v>
      </x:c>
      <x:c r="R15" s="14" t="str">
        <x:f>'Цены'!G86</x:f>
      </x:c>
      <x:c r="S15" s="14" t="str">
        <x:f>'Цены'!G87</x:f>
      </x:c>
      <x:c r="T15" s="2" t="n">
        <x:f>COUNT(J15:S15)</x:f>
        <x:v>8</x:v>
      </x:c>
      <x:c r="U15" s="2" t="str">
        <x:v>Ещё рано: 2</x:v>
      </x:c>
      <x:c r="V15" s="2" t="n">
        <x:v>447857603</x:v>
      </x:c>
      <x:c r="W15" s="2" t="n">
        <x:v>179</x:v>
      </x:c>
      <x:c r="X15" s="15" t="n">
        <x:v>0.000023509</x:v>
      </x:c>
      <x:c r="Y15" s="2" t="str">
        <x:v>4JRePo4XGXL68BQFQuzQ45HzvqzxnsSxrZxfcwSzwteNTNb3MBxuoSquM7mg3bBF45hFb32bGf6AcZbeUTecAZz</x:v>
      </x:c>
      <x:c r="Z15" s="2" t="str">
        <x:v>https://solscan.io/tx/4JRePo4XGXL68BQFQuzQ45HzvqzxnsSxrZxfcwSzwteNTNb3MBxuoSquM7mg3bBF45hFb32bGf6AcZbeUTecAZz</x:v>
      </x:c>
      <x:c r="AA15" s="2" t="str">
        <x:v>Raydium CPMM: конфигурация и событие</x:v>
      </x:c>
      <x:c r="AB15" s="2" t="str">
        <x:v>BUVzsLLLG7GWoyJVoU31pXiBveazA6GXTavZ9VD3CwS9</x:v>
      </x:c>
    </x:row>
    <x:row r="16" ht="21" customHeight="1">
      <x:c r="A16" s="2" t="n">
        <x:v>9</x:v>
      </x:c>
      <x:c r="B16" s="9" t="n">
        <x:v>46282.74151620371</x:v>
      </x:c>
      <x:c r="C16" s="2" t="str">
        <x:v>Докупка</x:v>
      </x:c>
      <x:c r="D16" s="2" t="str">
        <x:v>6GmAFSYs4gk3FDao5FzzySQpPZaWsa4rUJHacpMpUNgx</x:v>
      </x:c>
      <x:c r="E16" s="10" t="n">
        <x:v>2000</x:v>
      </x:c>
      <x:c r="F16" s="11" t="n">
        <x:v>8951.657220122</x:v>
      </x:c>
      <x:c r="G16" s="11" t="n">
        <x:v>38769696.89190008</x:v>
      </x:c>
      <x:c r="H16" s="12" t="n">
        <x:f>IF(AND(E16&gt;0,F16&gt;0),E16/F16,NA())</x:f>
        <x:v>0.2234223173229082</x:v>
      </x:c>
      <x:c r="I16" s="13" t="n">
        <x:v>0.0018747851976412219</x:v>
      </x:c>
      <x:c r="J16" s="14" t="n">
        <x:f>'Цены'!G88</x:f>
        <x:v>-0.006419175629761353</x:v>
      </x:c>
      <x:c r="K16" s="14" t="n">
        <x:f>'Цены'!G89</x:f>
        <x:v>-0.006924261100962337</x:v>
      </x:c>
      <x:c r="L16" s="14" t="n">
        <x:f>'Цены'!G90</x:f>
        <x:v>-0.006564867967001398</x:v>
      </x:c>
      <x:c r="M16" s="14" t="n">
        <x:f>'Цены'!G91</x:f>
        <x:v>-0.005306154393054818</x:v>
      </x:c>
      <x:c r="N16" s="14" t="n">
        <x:f>'Цены'!G92</x:f>
        <x:v>-0.005433516716332187</x:v>
      </x:c>
      <x:c r="O16" s="14" t="n">
        <x:f>'Цены'!G93</x:f>
        <x:v>-0.005911352738837139</x:v>
      </x:c>
      <x:c r="P16" s="14" t="n">
        <x:f>'Цены'!G94</x:f>
        <x:v>-0.0038844529097423752</x:v>
      </x:c>
      <x:c r="Q16" s="14" t="n">
        <x:f>'Цены'!G95</x:f>
        <x:v>0.06636701153465374</x:v>
      </x:c>
      <x:c r="R16" s="14" t="str">
        <x:f>'Цены'!G96</x:f>
      </x:c>
      <x:c r="S16" s="14" t="str">
        <x:f>'Цены'!G97</x:f>
      </x:c>
      <x:c r="T16" s="2" t="n">
        <x:f>COUNT(J16:S16)</x:f>
        <x:v>8</x:v>
      </x:c>
      <x:c r="U16" s="2" t="str">
        <x:v>Ещё рано: 2</x:v>
      </x:c>
      <x:c r="V16" s="2" t="n">
        <x:v>447855660</x:v>
      </x:c>
      <x:c r="W16" s="2" t="n">
        <x:v>1824</x:v>
      </x:c>
      <x:c r="X16" s="15" t="n">
        <x:v>0.002016732</x:v>
      </x:c>
      <x:c r="Y16" s="2" t="str">
        <x:v>5yaEaR3owd96KLtjaF7mMNHcEFeaGQd8LZVqWwFiRu26PJrS3QXijGGC3soP2r6gExPLCYCkuw6tMZGU8G6kyynd</x:v>
      </x:c>
      <x:c r="Z16" s="2" t="str">
        <x:v>https://solscan.io/tx/5yaEaR3owd96KLtjaF7mMNHcEFeaGQd8LZVqWwFiRu26PJrS3QXijGGC3soP2r6gExPLCYCkuw6tMZGU8G6kyynd</x:v>
      </x:c>
      <x:c r="AA16" s="2" t="str">
        <x:v>Raydium CLMM: фактическая комиссия</x:v>
      </x:c>
      <x:c r="AB16" s="2" t="str">
        <x:v>G4G5SzkbLFMhoSgHiQNeyJFt75sSDsL1rD8LVyT5xZbU</x:v>
      </x:c>
    </x:row>
    <x:row r="17" ht="21" customHeight="1">
      <x:c r="A17" s="2" t="n">
        <x:v>10</x:v>
      </x:c>
      <x:c r="B17" s="9" t="n">
        <x:v>46282.74118055555</x:v>
      </x:c>
      <x:c r="C17" s="2" t="str">
        <x:v>Нулевой остаток</x:v>
      </x:c>
      <x:c r="D17" s="2" t="str">
        <x:v>8jZTEysTtA2f57evMwWyrWXQAnSksGRtCYp6vQUw7L76</x:v>
      </x:c>
      <x:c r="E17" s="10" t="n">
        <x:v>2000</x:v>
      </x:c>
      <x:c r="F17" s="11" t="n">
        <x:v>18231423.648872</x:v>
      </x:c>
      <x:c r="G17" s="11" t="n">
        <x:v>0</x:v>
      </x:c>
      <x:c r="H17" s="12" t="n">
        <x:f>IF(AND(E17&gt;0,F17&gt;0),E17/F17,NA())</x:f>
        <x:v>0.0001097007034951844</x:v>
      </x:c>
      <x:c r="I17" s="13" t="n">
        <x:v>0.0125</x:v>
      </x:c>
      <x:c r="J17" s="14" t="n">
        <x:f>'Цены'!G98</x:f>
        <x:v>0.8502233667658337</x:v>
      </x:c>
      <x:c r="K17" s="14" t="n">
        <x:f>'Цены'!G99</x:f>
        <x:v>0.8879304582340848</x:v>
      </x:c>
      <x:c r="L17" s="14" t="n">
        <x:f>'Цены'!G100</x:f>
        <x:v>1.0466157377709515</x:v>
      </x:c>
      <x:c r="M17" s="14" t="n">
        <x:f>'Цены'!G101</x:f>
        <x:v>0.7361241462742045</x:v>
      </x:c>
      <x:c r="N17" s="14" t="n">
        <x:f>'Цены'!G102</x:f>
        <x:v>0.858709297990121</x:v>
      </x:c>
      <x:c r="O17" s="14" t="n">
        <x:f>'Цены'!G103</x:f>
        <x:v>0.954795715164809</x:v>
      </x:c>
      <x:c r="P17" s="14" t="n">
        <x:f>'Цены'!G104</x:f>
        <x:v>0.5731662750380642</x:v>
      </x:c>
      <x:c r="Q17" s="14" t="n">
        <x:f>'Цены'!G105</x:f>
        <x:v>0.09337791594226652</x:v>
      </x:c>
      <x:c r="R17" s="14" t="str">
        <x:f>'Цены'!G106</x:f>
      </x:c>
      <x:c r="S17" s="14" t="str">
        <x:f>'Цены'!G107</x:f>
      </x:c>
      <x:c r="T17" s="2" t="n">
        <x:f>COUNT(J17:S17)</x:f>
        <x:v>8</x:v>
      </x:c>
      <x:c r="U17" s="2" t="str">
        <x:v>Ещё рано: 2</x:v>
      </x:c>
      <x:c r="V17" s="2" t="n">
        <x:v>447855567</x:v>
      </x:c>
      <x:c r="W17" s="2" t="n">
        <x:v>12</x:v>
      </x:c>
      <x:c r="X17" s="15" t="n">
        <x:v>0.002293468</x:v>
      </x:c>
      <x:c r="Y17" s="2" t="str">
        <x:v>4B6YmfoUXxgbY2vt1qjJMkE7xv8qfMD6GsFBhc369BKh4W3jPDG74zf7SNKVvEwwqyCbTntGQbqi5UB6Uy7pk11a</x:v>
      </x:c>
      <x:c r="Z17" s="2" t="str">
        <x:v>https://solscan.io/tx/4B6YmfoUXxgbY2vt1qjJMkE7xv8qfMD6GsFBhc369BKh4W3jPDG74zf7SNKVvEwwqyCbTntGQbqi5UB6Uy7pk11a</x:v>
      </x:c>
      <x:c r="AA17" s="2" t="str">
        <x:v>Raydium CPMM: конфигурация и событие</x:v>
      </x:c>
      <x:c r="AB17" s="2" t="str">
        <x:v>EGi28sbzUMgrKYg4AQZxSvvk12Lm6nBipyjF7tAdRR6B</x:v>
      </x:c>
    </x:row>
    <x:row r="18" ht="21" customHeight="1">
      <x:c r="A18" s="2" t="n">
        <x:v>11</x:v>
      </x:c>
      <x:c r="B18" s="9" t="n">
        <x:v>46282.72950231482</x:v>
      </x:c>
      <x:c r="C18" s="2" t="str">
        <x:v>Докупка</x:v>
      </x:c>
      <x:c r="D18" s="2" t="str">
        <x:v>Lyi47medADEVDd5hxJo1mbxhnBct841sFpcGRyHTuwp</x:v>
      </x:c>
      <x:c r="E18" s="10" t="n">
        <x:v>835.915827</x:v>
      </x:c>
      <x:c r="F18" s="11" t="n">
        <x:v>1486007.606830669</x:v>
      </x:c>
      <x:c r="G18" s="11" t="n">
        <x:v>52996321.062118925</x:v>
      </x:c>
      <x:c r="H18" s="12" t="n">
        <x:f>IF(AND(E18&gt;0,F18&gt;0),E18/F18,NA())</x:f>
        <x:v>0.0005625245948658544</x:v>
      </x:c>
      <x:c r="I18" s="13" t="n">
        <x:v>0.04</x:v>
      </x:c>
      <x:c r="J18" s="14" t="n">
        <x:f>'Цены'!G108</x:f>
        <x:v>-0.03250983716246847</x:v>
      </x:c>
      <x:c r="K18" s="14" t="n">
        <x:f>'Цены'!G109</x:f>
        <x:v>-0.03215529343654544</x:v>
      </x:c>
      <x:c r="L18" s="14" t="n">
        <x:f>'Цены'!G110</x:f>
        <x:v>-0.03215529343654544</x:v>
      </x:c>
      <x:c r="M18" s="14" t="n">
        <x:f>'Цены'!G111</x:f>
        <x:v>-0.03832406796270871</x:v>
      </x:c>
      <x:c r="N18" s="14" t="n">
        <x:f>'Цены'!G112</x:f>
        <x:v>-0.022355812957200905</x:v>
      </x:c>
      <x:c r="O18" s="14" t="n">
        <x:f>'Цены'!G113</x:f>
        <x:v>-0.022288317259045898</x:v>
      </x:c>
      <x:c r="P18" s="14" t="n">
        <x:f>'Цены'!G114</x:f>
        <x:v>-0.07245223778189369</x:v>
      </x:c>
      <x:c r="Q18" s="14" t="n">
        <x:f>'Цены'!G115</x:f>
        <x:v>-0.07608190807511572</x:v>
      </x:c>
      <x:c r="R18" s="14" t="str">
        <x:f>'Цены'!G116</x:f>
      </x:c>
      <x:c r="S18" s="14" t="str">
        <x:f>'Цены'!G117</x:f>
      </x:c>
      <x:c r="T18" s="2" t="n">
        <x:f>COUNT(J18:S18)</x:f>
        <x:v>8</x:v>
      </x:c>
      <x:c r="U18" s="2" t="str">
        <x:v>Ещё рано: 2</x:v>
      </x:c>
      <x:c r="V18" s="2" t="n">
        <x:v>447852397</x:v>
      </x:c>
      <x:c r="W18" s="2" t="n">
        <x:v>994</x:v>
      </x:c>
      <x:c r="X18" s="15" t="n">
        <x:v>0.000802462</x:v>
      </x:c>
      <x:c r="Y18" s="2" t="str">
        <x:v>4yh7QkEp4r1kkrpsVD81G6uHfGdQqifuM1Yz5zfAftcaeFtdyztwSASQ4gh2D9zDByp2eBbV4ZMeYfRdDXhWL8Wu</x:v>
      </x:c>
      <x:c r="Z18" s="2" t="str">
        <x:v>https://solscan.io/tx/4yh7QkEp4r1kkrpsVD81G6uHfGdQqifuM1Yz5zfAftcaeFtdyztwSASQ4gh2D9zDByp2eBbV4ZMeYfRdDXhWL8Wu</x:v>
      </x:c>
      <x:c r="AA18" s="2" t="str">
        <x:v>Raydium CLMM: конфигурация подтверждена</x:v>
      </x:c>
      <x:c r="AB18" s="2" t="str">
        <x:v>HMh9syEn37waF4hNYcyMuaPRv6xFTpTdb3MqMEMNppSR</x:v>
      </x:c>
    </x:row>
    <x:row r="19" ht="21" customHeight="1">
      <x:c r="A19" s="2" t="n">
        <x:v>12</x:v>
      </x:c>
      <x:c r="B19" s="9" t="n">
        <x:v>46282.729409722226</x:v>
      </x:c>
      <x:c r="C19" s="2" t="str">
        <x:v>Докупка</x:v>
      </x:c>
      <x:c r="D19" s="2" t="str">
        <x:v>AqoPZcUumKUBHrnfBsNtoNuneYEjoimaiWYq8GH8gpX9</x:v>
      </x:c>
      <x:c r="E19" s="10" t="n">
        <x:v>1500</x:v>
      </x:c>
      <x:c r="F19" s="11" t="n">
        <x:v>1106426.93956</x:v>
      </x:c>
      <x:c r="G19" s="11" t="n">
        <x:v>32334686.501793</x:v>
      </x:c>
      <x:c r="H19" s="12" t="n">
        <x:f>IF(AND(E19&gt;0,F19&gt;0),E19/F19,NA())</x:f>
        <x:v>0.0013557153630012974</x:v>
      </x:c>
      <x:c r="I19" s="13" t="n">
        <x:v>0.0125</x:v>
      </x:c>
      <x:c r="J19" s="14" t="n">
        <x:f>'Цены'!G118</x:f>
        <x:v>0.029956381185349157</x:v>
      </x:c>
      <x:c r="K19" s="14" t="n">
        <x:f>'Цены'!G119</x:f>
        <x:v>0.08457493828435947</x:v>
      </x:c>
      <x:c r="L19" s="14" t="n">
        <x:f>'Цены'!G120</x:f>
        <x:v>0.18014464058530133</x:v>
      </x:c>
      <x:c r="M19" s="14" t="n">
        <x:f>'Цены'!G121</x:f>
        <x:v>0.1823420782995575</x:v>
      </x:c>
      <x:c r="N19" s="14" t="n">
        <x:f>'Цены'!G122</x:f>
        <x:v>0.07916775009234245</x:v>
      </x:c>
      <x:c r="O19" s="14" t="n">
        <x:f>'Цены'!G123</x:f>
        <x:v>0.1204983628572196</x:v>
      </x:c>
      <x:c r="P19" s="14" t="n">
        <x:f>'Цены'!G124</x:f>
        <x:v>0.1823477962803921</x:v>
      </x:c>
      <x:c r="Q19" s="14" t="n">
        <x:f>'Цены'!G125</x:f>
        <x:v>-0.00009774696636966063</x:v>
      </x:c>
      <x:c r="R19" s="14" t="str">
        <x:f>'Цены'!G126</x:f>
      </x:c>
      <x:c r="S19" s="14" t="str">
        <x:f>'Цены'!G127</x:f>
      </x:c>
      <x:c r="T19" s="2" t="n">
        <x:f>COUNT(J19:S19)</x:f>
        <x:v>8</x:v>
      </x:c>
      <x:c r="U19" s="2" t="str">
        <x:v>Ещё рано: 2</x:v>
      </x:c>
      <x:c r="V19" s="2" t="n">
        <x:v>447852372</x:v>
      </x:c>
      <x:c r="W19" s="2" t="n">
        <x:v>341</x:v>
      </x:c>
      <x:c r="X19" s="15" t="n">
        <x:v>0.001486861</x:v>
      </x:c>
      <x:c r="Y19" s="2" t="str">
        <x:v>5MYrKUYfzXQHTpo9caeMDVWZAJF1d5wGujWf3oFLUBf5f83AD9XKK5fZoggZTtKMiaPabSb2TcNKnb1L6eHZGLZ6</x:v>
      </x:c>
      <x:c r="Z19" s="2" t="str">
        <x:v>https://solscan.io/tx/5MYrKUYfzXQHTpo9caeMDVWZAJF1d5wGujWf3oFLUBf5f83AD9XKK5fZoggZTtKMiaPabSb2TcNKnb1L6eHZGLZ6</x:v>
      </x:c>
      <x:c r="AA19" s="2" t="str">
        <x:v>Raydium CPMM: конфигурация и событие</x:v>
      </x:c>
      <x:c r="AB19" s="2" t="str">
        <x:v>nEnhtdXrHocxDQnmfTWgaLodJP8jxFbY6958iv28GzV</x:v>
      </x:c>
    </x:row>
    <x:row r="20" ht="21" customHeight="1">
      <x:c r="A20" s="2" t="n">
        <x:v>13</x:v>
      </x:c>
      <x:c r="B20" s="9" t="n">
        <x:v>46282.72934027778</x:v>
      </x:c>
      <x:c r="C20" s="2" t="str">
        <x:v>Докупка</x:v>
      </x:c>
      <x:c r="D20" s="2" t="str">
        <x:v>CFNRDaxFcvRwRSNnA5cHrCCr6AHhk9dNkHWpRUjNupFL</x:v>
      </x:c>
      <x:c r="E20" s="10" t="n">
        <x:v>2000</x:v>
      </x:c>
      <x:c r="F20" s="11" t="n">
        <x:v>250391.393261864</x:v>
      </x:c>
      <x:c r="G20" s="11" t="n">
        <x:v>18019401.24341996</x:v>
      </x:c>
      <x:c r="H20" s="12" t="n">
        <x:f>IF(AND(E20&gt;0,F20&gt;0),E20/F20,NA())</x:f>
        <x:v>0.007987494993122079</x:v>
      </x:c>
      <x:c r="I20" s="13" t="n">
        <x:v>0.010000000606305315</x:v>
      </x:c>
      <x:c r="J20" s="14" t="n">
        <x:f>'Цены'!G128</x:f>
        <x:v>-0.04005045256967421</x:v>
      </x:c>
      <x:c r="K20" s="14" t="n">
        <x:f>'Цены'!G129</x:f>
        <x:v>-0.03616903691369455</x:v>
      </x:c>
      <x:c r="L20" s="14" t="n">
        <x:f>'Цены'!G130</x:f>
        <x:v>-0.028128545273702454</x:v>
      </x:c>
      <x:c r="M20" s="14" t="n">
        <x:f>'Цены'!G131</x:f>
        <x:v>-0.026988880719269526</x:v>
      </x:c>
      <x:c r="N20" s="14" t="n">
        <x:f>'Цены'!G132</x:f>
        <x:v>-0.04441193363256046</x:v>
      </x:c>
      <x:c r="O20" s="14" t="n">
        <x:f>'Цены'!G133</x:f>
        <x:v>-0.050470459414284186</x:v>
      </x:c>
      <x:c r="P20" s="14" t="n">
        <x:f>'Цены'!G134</x:f>
        <x:v>-0.10145030135187016</x:v>
      </x:c>
      <x:c r="Q20" s="14" t="n">
        <x:f>'Цены'!G135</x:f>
        <x:v>-0.11083264966584727</x:v>
      </x:c>
      <x:c r="R20" s="14" t="str">
        <x:f>'Цены'!G136</x:f>
      </x:c>
      <x:c r="S20" s="14" t="str">
        <x:f>'Цены'!G137</x:f>
      </x:c>
      <x:c r="T20" s="2" t="n">
        <x:f>COUNT(J20:S20)</x:f>
        <x:v>8</x:v>
      </x:c>
      <x:c r="U20" s="2" t="str">
        <x:v>Ещё рано: 2</x:v>
      </x:c>
      <x:c r="V20" s="2" t="n">
        <x:v>447852356</x:v>
      </x:c>
      <x:c r="W20" s="2" t="n">
        <x:v>128</x:v>
      </x:c>
      <x:c r="X20" s="15" t="n">
        <x:v>0.000988999</x:v>
      </x:c>
      <x:c r="Y20" s="2" t="str">
        <x:v>3jAyy8kKJSU8KrvCFSYbXu5HZXdnUgDko6i995VyZskjnUFd4ZMAa9vMJyusWJkro6eyR98CJtzi1FA1qZGjvkHP</x:v>
      </x:c>
      <x:c r="Z20" s="2" t="str">
        <x:v>https://solscan.io/tx/3jAyy8kKJSU8KrvCFSYbXu5HZXdnUgDko6i995VyZskjnUFd4ZMAa9vMJyusWJkro6eyR98CJtzi1FA1qZGjvkHP</x:v>
      </x:c>
      <x:c r="AA20" s="2" t="str">
        <x:v>Raydium CLMM: фактическая комиссия</x:v>
      </x:c>
      <x:c r="AB20" s="2" t="str">
        <x:v>987VwvJZ5FRjWCY9ZwC2tRUGL8FbMT1aF4pUrT7XjPjD</x:v>
      </x:c>
    </x:row>
    <x:row r="21" ht="21" customHeight="1">
      <x:c r="A21" s="2" t="n">
        <x:v>14</x:v>
      </x:c>
      <x:c r="B21" s="9" t="n">
        <x:v>46282.70959490741</x:v>
      </x:c>
      <x:c r="C21" s="2" t="str">
        <x:v>Нулевой остаток</x:v>
      </x:c>
      <x:c r="D21" s="2" t="str">
        <x:v>7LA4wwjoXU4hAdwX1eT5ouuSsMrHq9wHQBfAyPfJK1eQ</x:v>
      </x:c>
      <x:c r="E21" s="10" t="n">
        <x:v>4500</x:v>
      </x:c>
      <x:c r="F21" s="11" t="n">
        <x:v>5063032.394842259</x:v>
      </x:c>
      <x:c r="G21" s="11" t="n">
        <x:v>0</x:v>
      </x:c>
      <x:c r="H21" s="12" t="n">
        <x:f>IF(AND(E21&gt;0,F21&gt;0),E21/F21,NA())</x:f>
        <x:v>0.0008887954192400935</x:v>
      </x:c>
      <x:c r="I21" s="13" t="n">
        <x:v>0.04</x:v>
      </x:c>
      <x:c r="J21" s="14" t="n">
        <x:f>'Цены'!G138</x:f>
        <x:v>0.04034666695714284</x:v>
      </x:c>
      <x:c r="K21" s="14" t="n">
        <x:f>'Цены'!G139</x:f>
        <x:v>0.06011232638598263</x:v>
      </x:c>
      <x:c r="L21" s="14" t="n">
        <x:f>'Цены'!G140</x:f>
        <x:v>0.06072200630319036</x:v>
      </x:c>
      <x:c r="M21" s="14" t="n">
        <x:f>'Цены'!G141</x:f>
        <x:v>0.007827151304170554</x:v>
      </x:c>
      <x:c r="N21" s="14" t="n">
        <x:f>'Цены'!G142</x:f>
        <x:v>0.000877420704049614</x:v>
      </x:c>
      <x:c r="O21" s="14" t="n">
        <x:f>'Цены'!G143</x:f>
        <x:v>0.14874821043240916</x:v>
      </x:c>
      <x:c r="P21" s="14" t="n">
        <x:f>'Цены'!G144</x:f>
        <x:v>0.05631671620741874</x:v>
      </x:c>
      <x:c r="Q21" s="14" t="n">
        <x:f>'Цены'!G145</x:f>
        <x:v>0.09215111018292821</x:v>
      </x:c>
      <x:c r="R21" s="14" t="str">
        <x:f>'Цены'!G146</x:f>
      </x:c>
      <x:c r="S21" s="14" t="str">
        <x:f>'Цены'!G147</x:f>
      </x:c>
      <x:c r="T21" s="2" t="n">
        <x:f>COUNT(J21:S21)</x:f>
        <x:v>8</x:v>
      </x:c>
      <x:c r="U21" s="2" t="str">
        <x:v>Ещё рано: 2</x:v>
      </x:c>
      <x:c r="V21" s="2" t="n">
        <x:v>447846976</x:v>
      </x:c>
      <x:c r="W21" s="2" t="n">
        <x:v>1425</x:v>
      </x:c>
      <x:c r="X21" s="15" t="n">
        <x:v>0.002843652</x:v>
      </x:c>
      <x:c r="Y21" s="2" t="str">
        <x:v>2envX63KocGpM3HBcLHSmNbn1oB4jkzJnxr1JGRF75zVFNt3uvBFsoKFygHRcrhkRh2mLb8wbArVVdmjv9onXLMG</x:v>
      </x:c>
      <x:c r="Z21" s="2" t="str">
        <x:v>https://solscan.io/tx/2envX63KocGpM3HBcLHSmNbn1oB4jkzJnxr1JGRF75zVFNt3uvBFsoKFygHRcrhkRh2mLb8wbArVVdmjv9onXLMG</x:v>
      </x:c>
      <x:c r="AA21" s="2" t="str">
        <x:v>Raydium CLMM: конфигурация подтверждена</x:v>
      </x:c>
      <x:c r="AB21" s="2" t="str">
        <x:v>GtmPDVPVepVJjENBNharAsBRLwifdD9PktYVj5f1VCWe</x:v>
      </x:c>
    </x:row>
    <x:row r="22" ht="21" customHeight="1">
      <x:c r="A22" s="2" t="n">
        <x:v>15</x:v>
      </x:c>
      <x:c r="B22" s="9" t="n">
        <x:v>46282.70820601852</x:v>
      </x:c>
      <x:c r="C22" s="2" t="str">
        <x:v>Докупка</x:v>
      </x:c>
      <x:c r="D22" s="2" t="str">
        <x:v>CFNRDaxFcvRwRSNnA5cHrCCr6AHhk9dNkHWpRUjNupFL</x:v>
      </x:c>
      <x:c r="E22" s="10" t="n">
        <x:v>1406.668942</x:v>
      </x:c>
      <x:c r="F22" s="11" t="n">
        <x:v>194848.823201668</x:v>
      </x:c>
      <x:c r="G22" s="11" t="n">
        <x:v>17780319.23940055</x:v>
      </x:c>
      <x:c r="H22" s="12" t="n">
        <x:f>IF(AND(E22&gt;0,F22&gt;0),E22/F22,NA())</x:f>
        <x:v>0.007219283744629555</x:v>
      </x:c>
      <x:c r="I22" s="13" t="n">
        <x:v>0.010000000936279804</x:v>
      </x:c>
      <x:c r="J22" s="14" t="n">
        <x:f>'Цены'!G148</x:f>
        <x:v>-0.041979392199162247</x:v>
      </x:c>
      <x:c r="K22" s="14" t="n">
        <x:f>'Цены'!G149</x:f>
        <x:v>-0.04032156789020669</x:v>
      </x:c>
      <x:c r="L22" s="14" t="n">
        <x:f>'Цены'!G150</x:f>
        <x:v>-0.033997576449575795</x:v>
      </x:c>
      <x:c r="M22" s="14" t="n">
        <x:f>'Цены'!G151</x:f>
        <x:v>-0.027944212336083463</x:v>
      </x:c>
      <x:c r="N22" s="14" t="n">
        <x:f>'Цены'!G152</x:f>
        <x:v>0.00309052226164086</x:v>
      </x:c>
      <x:c r="O22" s="14" t="n">
        <x:f>'Цены'!G153</x:f>
        <x:v>-0.00968908798905943</x:v>
      </x:c>
      <x:c r="P22" s="14" t="str">
        <x:f>'Цены'!G154</x:f>
      </x:c>
      <x:c r="Q22" s="14" t="n">
        <x:f>'Цены'!G155</x:f>
        <x:v>-0.003249674259638513</x:v>
      </x:c>
      <x:c r="R22" s="14" t="str">
        <x:f>'Цены'!G156</x:f>
      </x:c>
      <x:c r="S22" s="14" t="str">
        <x:f>'Цены'!G157</x:f>
      </x:c>
      <x:c r="T22" s="2" t="n">
        <x:f>COUNT(J22:S22)</x:f>
        <x:v>7</x:v>
      </x:c>
      <x:c r="U22" s="2" t="str">
        <x:v>RPC: данные не загружены: 1; Ещё рано: 2</x:v>
      </x:c>
      <x:c r="V22" s="2" t="n">
        <x:v>447846598</x:v>
      </x:c>
      <x:c r="W22" s="2" t="n">
        <x:v>666</x:v>
      </x:c>
      <x:c r="X22" s="15" t="n">
        <x:v>0.000025018</x:v>
      </x:c>
      <x:c r="Y22" s="2" t="str">
        <x:v>B5j77uv1WB1VfET8vmEPdENVLoE713328VqntgFjJRaL2MRNxwJ9VUTejNvDfaQJ3pBuno6tWqEQutetkYWpM31</x:v>
      </x:c>
      <x:c r="Z22" s="2" t="str">
        <x:v>https://solscan.io/tx/B5j77uv1WB1VfET8vmEPdENVLoE713328VqntgFjJRaL2MRNxwJ9VUTejNvDfaQJ3pBuno6tWqEQutetkYWpM31</x:v>
      </x:c>
      <x:c r="AA22" s="2" t="str">
        <x:v>Raydium CLMM: фактическая комиссия</x:v>
      </x:c>
      <x:c r="AB22" s="2" t="str">
        <x:v>987VwvJZ5FRjWCY9ZwC2tRUGL8FbMT1aF4pUrT7XjPjD</x:v>
      </x:c>
    </x:row>
    <x:row r="23" ht="21" customHeight="1">
      <x:c r="A23" s="2" t="n">
        <x:v>16</x:v>
      </x:c>
      <x:c r="B23" s="9" t="n">
        <x:v>46282.7078125</x:v>
      </x:c>
      <x:c r="C23" s="2" t="str">
        <x:v>Докупка</x:v>
      </x:c>
      <x:c r="D23" s="2" t="str">
        <x:v>6JrR1iqPdinYTNvNPWTR2P7e2wSJ1rwdsrKGyhnzjUVr</x:v>
      </x:c>
      <x:c r="E23" s="10" t="n">
        <x:v>2500</x:v>
      </x:c>
      <x:c r="F23" s="11" t="n">
        <x:v>860911.493179</x:v>
      </x:c>
      <x:c r="G23" s="11" t="n">
        <x:v>33536.079779</x:v>
      </x:c>
      <x:c r="H23" s="12" t="n">
        <x:f>IF(AND(E23&gt;0,F23&gt;0),E23/F23,NA())</x:f>
        <x:v>0.0029038989719704</x:v>
      </x:c>
      <x:c r="I23" s="13" t="n">
        <x:v>0.022813947047428475</x:v>
      </x:c>
      <x:c r="J23" s="14" t="str">
        <x:f>'Цены'!G158</x:f>
      </x:c>
      <x:c r="K23" s="14" t="n">
        <x:f>'Цены'!G159</x:f>
        <x:v>-0.012231185347192919</x:v>
      </x:c>
      <x:c r="L23" s="14" t="n">
        <x:f>'Цены'!G160</x:f>
        <x:v>0.048221466000723634</x:v>
      </x:c>
      <x:c r="M23" s="14" t="n">
        <x:f>'Цены'!G161</x:f>
        <x:v>0.06935360345779129</x:v>
      </x:c>
      <x:c r="N23" s="14" t="n">
        <x:f>'Цены'!G162</x:f>
        <x:v>0.049065086123044166</x:v>
      </x:c>
      <x:c r="O23" s="14" t="n">
        <x:f>'Цены'!G163</x:f>
        <x:v>0.05023104676006285</x:v>
      </x:c>
      <x:c r="P23" s="14" t="str">
        <x:f>'Цены'!G164</x:f>
      </x:c>
      <x:c r="Q23" s="14" t="n">
        <x:f>'Цены'!G165</x:f>
        <x:v>-0.1040038724851331</x:v>
      </x:c>
      <x:c r="R23" s="14" t="str">
        <x:f>'Цены'!G166</x:f>
      </x:c>
      <x:c r="S23" s="14" t="str">
        <x:f>'Цены'!G167</x:f>
      </x:c>
      <x:c r="T23" s="2" t="n">
        <x:f>COUNT(J23:S23)</x:f>
        <x:v>6</x:v>
      </x:c>
      <x:c r="U23" s="2" t="str">
        <x:v>RPC: данные не загружены: 2; Ещё рано: 2</x:v>
      </x:c>
      <x:c r="V23" s="2" t="n">
        <x:v>447846489</x:v>
      </x:c>
      <x:c r="W23" s="2" t="n">
        <x:v>1118</x:v>
      </x:c>
      <x:c r="X23" s="15" t="n">
        <x:v>0.000037768</x:v>
      </x:c>
      <x:c r="Y23" s="2" t="str">
        <x:v>31AoRCRKYCzKYG4TKvmsz29uBSFyG42rEe7UpEwypHTyE9rqXoeZZJQTJwcfFVfXkDtSL96LhxSW1KebS6rp1sHQ</x:v>
      </x:c>
      <x:c r="Z23" s="2" t="str">
        <x:v>https://solscan.io/tx/31AoRCRKYCzKYG4TKvmsz29uBSFyG42rEe7UpEwypHTyE9rqXoeZZJQTJwcfFVfXkDtSL96LhxSW1KebS6rp1sHQ</x:v>
      </x:c>
      <x:c r="AA23" s="2" t="str">
        <x:v>Meteora DLMM: фактическая комиссия</x:v>
      </x:c>
      <x:c r="AB23" s="2" t="str">
        <x:v>AjgCfyw7FV8xVxAtKpzhkB43swJFHH3cczsbu6wx22ss</x:v>
      </x:c>
    </x:row>
    <x:row r="24" ht="21" customHeight="1">
      <x:c r="A24" s="2" t="n">
        <x:v>17</x:v>
      </x:c>
      <x:c r="B24" s="9" t="n">
        <x:v>46282.70421296296</x:v>
      </x:c>
      <x:c r="C24" s="2" t="str">
        <x:v>Нулевой остаток</x:v>
      </x:c>
      <x:c r="D24" s="2" t="str">
        <x:v>FTjYFyQLRX34RmfX1Xxh1VUJe9c2H8WFr7XophMa55g4</x:v>
      </x:c>
      <x:c r="E24" s="10" t="n">
        <x:v>1000</x:v>
      </x:c>
      <x:c r="F24" s="11" t="n">
        <x:v>17795768.847837</x:v>
      </x:c>
      <x:c r="G24" s="11" t="n">
        <x:v>0</x:v>
      </x:c>
      <x:c r="H24" s="12" t="n">
        <x:f>IF(AND(E24&gt;0,F24&gt;0),E24/F24,NA())</x:f>
        <x:v>0.00005619313267948778</x:v>
      </x:c>
      <x:c r="I24" s="13" t="n">
        <x:v>0.012500000002637882</x:v>
      </x:c>
      <x:c r="J24" s="14" t="str">
        <x:f>'Цены'!G168</x:f>
      </x:c>
      <x:c r="K24" s="14" t="str">
        <x:f>'Цены'!G169</x:f>
      </x:c>
      <x:c r="L24" s="14" t="str">
        <x:f>'Цены'!G170</x:f>
      </x:c>
      <x:c r="M24" s="14" t="str">
        <x:f>'Цены'!G171</x:f>
      </x:c>
      <x:c r="N24" s="14" t="str">
        <x:f>'Цены'!G172</x:f>
      </x:c>
      <x:c r="O24" s="14" t="str">
        <x:f>'Цены'!G173</x:f>
      </x:c>
      <x:c r="P24" s="14" t="str">
        <x:f>'Цены'!G174</x:f>
      </x:c>
      <x:c r="Q24" s="14" t="str">
        <x:f>'Цены'!G175</x:f>
      </x:c>
      <x:c r="R24" s="14" t="str">
        <x:f>'Цены'!G176</x:f>
      </x:c>
      <x:c r="S24" s="14" t="str">
        <x:f>'Цены'!G177</x:f>
      </x:c>
      <x:c r="T24" s="2" t="n">
        <x:f>COUNT(J24:S24)</x:f>
        <x:v>0</x:v>
      </x:c>
      <x:c r="U24" s="2" t="str">
        <x:v>Нужен пул после миграции: 8; Ещё рано: 2</x:v>
      </x:c>
      <x:c r="V24" s="2" t="n">
        <x:v>447845513</x:v>
      </x:c>
      <x:c r="W24" s="2" t="n">
        <x:v>144</x:v>
      </x:c>
      <x:c r="X24" s="15" t="n">
        <x:v>0.000978114</x:v>
      </x:c>
      <x:c r="Y24" s="2" t="str">
        <x:v>2tLjZxt5ZQKbSm9jx95LWMLDfQKig4kUqM6QoBVFFQstBhWBXzjKPLJCDZcWTpixGNPqWYRMrqmcF1GPCNiuSyjM</x:v>
      </x:c>
      <x:c r="Z24" s="2" t="str">
        <x:v>https://solscan.io/tx/2tLjZxt5ZQKbSm9jx95LWMLDfQKig4kUqM6QoBVFFQstBhWBXzjKPLJCDZcWTpixGNPqWYRMrqmcF1GPCNiuSyjM</x:v>
      </x:c>
      <x:c r="AA24" s="2" t="str">
        <x:v>Raydium LaunchLab: фактическая комиссия</x:v>
      </x:c>
      <x:c r="AB24" s="2" t="str">
        <x:v>CBiJPxHT3rBo39yzHpaTDZtqUi9YWxiXc4dBGDLsJbAU</x:v>
      </x:c>
    </x:row>
    <x:row r="25" ht="21" customHeight="1">
      <x:c r="A25" s="2" t="n">
        <x:v>18</x:v>
      </x:c>
      <x:c r="B25" s="9" t="n">
        <x:v>46282.70396990741</x:v>
      </x:c>
      <x:c r="C25" s="2" t="str">
        <x:v>Нулевой остаток</x:v>
      </x:c>
      <x:c r="D25" s="2" t="str">
        <x:v>ELazwqKFcnjiZ894i8bkcaV8WKuEoudncvBhsgHEgzmw</x:v>
      </x:c>
      <x:c r="E25" s="10" t="n">
        <x:v>1000</x:v>
      </x:c>
      <x:c r="F25" s="11" t="n">
        <x:v>24615832.933275</x:v>
      </x:c>
      <x:c r="G25" s="11" t="n">
        <x:v>0</x:v>
      </x:c>
      <x:c r="H25" s="12" t="n">
        <x:f>IF(AND(E25&gt;0,F25&gt;0),E25/F25,NA())</x:f>
        <x:v>0.000040624260113832176</x:v>
      </x:c>
      <x:c r="I25" s="13" t="n">
        <x:v>0.012500000000929257</x:v>
      </x:c>
      <x:c r="J25" s="14" t="str">
        <x:f>'Цены'!G178</x:f>
      </x:c>
      <x:c r="K25" s="14" t="str">
        <x:f>'Цены'!G179</x:f>
      </x:c>
      <x:c r="L25" s="14" t="str">
        <x:f>'Цены'!G180</x:f>
      </x:c>
      <x:c r="M25" s="14" t="str">
        <x:f>'Цены'!G181</x:f>
      </x:c>
      <x:c r="N25" s="14" t="str">
        <x:f>'Цены'!G182</x:f>
      </x:c>
      <x:c r="O25" s="14" t="str">
        <x:f>'Цены'!G183</x:f>
      </x:c>
      <x:c r="P25" s="14" t="str">
        <x:f>'Цены'!G184</x:f>
      </x:c>
      <x:c r="Q25" s="14" t="str">
        <x:f>'Цены'!G185</x:f>
      </x:c>
      <x:c r="R25" s="14" t="str">
        <x:f>'Цены'!G186</x:f>
      </x:c>
      <x:c r="S25" s="14" t="str">
        <x:f>'Цены'!G187</x:f>
      </x:c>
      <x:c r="T25" s="2" t="n">
        <x:f>COUNT(J25:S25)</x:f>
        <x:v>0</x:v>
      </x:c>
      <x:c r="U25" s="2" t="str">
        <x:v>RPC: данные не загружены: 8; Ещё рано: 2</x:v>
      </x:c>
      <x:c r="V25" s="2" t="n">
        <x:v>447845444</x:v>
      </x:c>
      <x:c r="W25" s="2" t="n">
        <x:v>998</x:v>
      </x:c>
      <x:c r="X25" s="15" t="n">
        <x:v>0.001335493</x:v>
      </x:c>
      <x:c r="Y25" s="2" t="str">
        <x:v>5VrzD6orY4zLLTsdT9hDKQuFVvVXLcKRPjGFo88U2cDMwDVtSVq7UP9vvSU6oPkBPz9shU9ts44NDAeaTcS72mJR</x:v>
      </x:c>
      <x:c r="Z25" s="2" t="str">
        <x:v>https://solscan.io/tx/5VrzD6orY4zLLTsdT9hDKQuFVvVXLcKRPjGFo88U2cDMwDVtSVq7UP9vvSU6oPkBPz9shU9ts44NDAeaTcS72mJR</x:v>
      </x:c>
      <x:c r="AA25" s="2" t="str">
        <x:v>Raydium LaunchLab: фактическая комиссия</x:v>
      </x:c>
      <x:c r="AB25" s="2" t="str">
        <x:v>6iK6wqfkAUt72xwTT3dRprL9pqGH7Ak3MEdjNPm2nFey</x:v>
      </x:c>
    </x:row>
    <x:row r="26" ht="21" customHeight="1">
      <x:c r="A26" s="2" t="n">
        <x:v>19</x:v>
      </x:c>
      <x:c r="B26" s="9" t="n">
        <x:v>46282.70384259259</x:v>
      </x:c>
      <x:c r="C26" s="2" t="str">
        <x:v>Нулевой остаток</x:v>
      </x:c>
      <x:c r="D26" s="2" t="str">
        <x:v>4rkGWJNSUPBcMicXMRAzohEyeJLFG8gUjwiWaz7Pddr3</x:v>
      </x:c>
      <x:c r="E26" s="10" t="n">
        <x:v>2500</x:v>
      </x:c>
      <x:c r="F26" s="11" t="n">
        <x:v>26198881.98432</x:v>
      </x:c>
      <x:c r="G26" s="11" t="n">
        <x:v>0</x:v>
      </x:c>
      <x:c r="H26" s="12" t="n">
        <x:f>IF(AND(E26&gt;0,F26&gt;0),E26/F26,NA())</x:f>
        <x:v>0.00009542391929152729</x:v>
      </x:c>
      <x:c r="I26" s="13" t="n">
        <x:v>0.0125</x:v>
      </x:c>
      <x:c r="J26" s="14" t="n">
        <x:f>'Цены'!G188</x:f>
        <x:v>0.5578075166782377</x:v>
      </x:c>
      <x:c r="K26" s="14" t="n">
        <x:f>'Цены'!G189</x:f>
        <x:v>0.9930752485882723</x:v>
      </x:c>
      <x:c r="L26" s="14" t="n">
        <x:f>'Цены'!G190</x:f>
        <x:v>1.008414441031726</x:v>
      </x:c>
      <x:c r="M26" s="14" t="n">
        <x:f>'Цены'!G191</x:f>
        <x:v>0.8152028098688711</x:v>
      </x:c>
      <x:c r="N26" s="14" t="n">
        <x:f>'Цены'!G192</x:f>
        <x:v>0.5038944304574162</x:v>
      </x:c>
      <x:c r="O26" s="14" t="n">
        <x:f>'Цены'!G193</x:f>
        <x:v>0.12786811287980226</x:v>
      </x:c>
      <x:c r="P26" s="14" t="str">
        <x:f>'Цены'!G194</x:f>
      </x:c>
      <x:c r="Q26" s="14" t="str">
        <x:f>'Цены'!G195</x:f>
      </x:c>
      <x:c r="R26" s="14" t="str">
        <x:f>'Цены'!G196</x:f>
      </x:c>
      <x:c r="S26" s="14" t="str">
        <x:f>'Цены'!G197</x:f>
      </x:c>
      <x:c r="T26" s="2" t="n">
        <x:f>COUNT(J26:S26)</x:f>
        <x:v>6</x:v>
      </x:c>
      <x:c r="U26" s="2" t="str">
        <x:v>Курс не проверен: 1; RPC: данные не загружены: 1; Ещё рано: 2</x:v>
      </x:c>
      <x:c r="V26" s="2" t="n">
        <x:v>447845407</x:v>
      </x:c>
      <x:c r="W26" s="2" t="n">
        <x:v>68</x:v>
      </x:c>
      <x:c r="X26" s="15" t="n">
        <x:v>0.002699568</x:v>
      </x:c>
      <x:c r="Y26" s="2" t="str">
        <x:v>5WaybDFctdvtUZAuhGgCp83hCvGhMuf76j5cAsnuxYeC5tdusto9tfgj5zYD9X8i6qEgxs6KqnwGAPBW7n4vmXoP</x:v>
      </x:c>
      <x:c r="Z26" s="2" t="str">
        <x:v>https://solscan.io/tx/5WaybDFctdvtUZAuhGgCp83hCvGhMuf76j5cAsnuxYeC5tdusto9tfgj5zYD9X8i6qEgxs6KqnwGAPBW7n4vmXoP</x:v>
      </x:c>
      <x:c r="AA26" s="2" t="str">
        <x:v>Raydium CPMM: конфигурация и событие</x:v>
      </x:c>
      <x:c r="AB26" s="2" t="str">
        <x:v>71JH7ZFZdSkYP9oyXtCnk2U4dGD8S6fg8tGMowsaPWs8</x:v>
      </x:c>
    </x:row>
    <x:row r="27" ht="21" customHeight="1">
      <x:c r="A27" s="2" t="n">
        <x:v>20</x:v>
      </x:c>
      <x:c r="B27" s="9" t="n">
        <x:v>46282.70328703704</x:v>
      </x:c>
      <x:c r="C27" s="2" t="str">
        <x:v>Нулевой остаток</x:v>
      </x:c>
      <x:c r="D27" s="2" t="str">
        <x:v>2pWXsELtCwtcKUyvNC6igngswUSQjVpJdY4hA4cTdjaL</x:v>
      </x:c>
      <x:c r="E27" s="10" t="n">
        <x:v>2000</x:v>
      </x:c>
      <x:c r="F27" s="11" t="n">
        <x:v>15207235.233259</x:v>
      </x:c>
      <x:c r="G27" s="11" t="n">
        <x:v>0</x:v>
      </x:c>
      <x:c r="H27" s="12" t="n">
        <x:f>IF(AND(E27&gt;0,F27&gt;0),E27/F27,NA())</x:f>
        <x:v>0.00013151634530028823</x:v>
      </x:c>
      <x:c r="I27" s="13" t="n">
        <x:v>0.0125</x:v>
      </x:c>
      <x:c r="J27" s="14" t="str">
        <x:f>'Цены'!G198</x:f>
      </x:c>
      <x:c r="K27" s="14" t="str">
        <x:f>'Цены'!G199</x:f>
      </x:c>
      <x:c r="L27" s="14" t="str">
        <x:f>'Цены'!G200</x:f>
      </x:c>
      <x:c r="M27" s="14" t="str">
        <x:f>'Цены'!G201</x:f>
      </x:c>
      <x:c r="N27" s="14" t="str">
        <x:f>'Цены'!G202</x:f>
      </x:c>
      <x:c r="O27" s="14" t="str">
        <x:f>'Цены'!G203</x:f>
      </x:c>
      <x:c r="P27" s="14" t="str">
        <x:f>'Цены'!G204</x:f>
      </x:c>
      <x:c r="Q27" s="14" t="str">
        <x:f>'Цены'!G205</x:f>
      </x:c>
      <x:c r="R27" s="14" t="str">
        <x:f>'Цены'!G206</x:f>
      </x:c>
      <x:c r="S27" s="14" t="str">
        <x:f>'Цены'!G207</x:f>
      </x:c>
      <x:c r="T27" s="2" t="n">
        <x:f>COUNT(J27:S27)</x:f>
        <x:v>0</x:v>
      </x:c>
      <x:c r="U27" s="2" t="str">
        <x:v>RPC: данные не загружены: 8; Ещё рано: 2</x:v>
      </x:c>
      <x:c r="V27" s="2" t="n">
        <x:v>447845260</x:v>
      </x:c>
      <x:c r="W27" s="2" t="n">
        <x:v>571</x:v>
      </x:c>
      <x:c r="X27" s="15" t="n">
        <x:v>0.000096879</x:v>
      </x:c>
      <x:c r="Y27" s="2" t="str">
        <x:v>3gWeuYGR6ck1pbt6p6mWhSeF7obApZGAtfsxyeKuMuPY6RHndmgwqmXMJiaYESbB4VbBqCpLAo5wyAGfQCW6F7df</x:v>
      </x:c>
      <x:c r="Z27" s="2" t="str">
        <x:v>https://solscan.io/tx/3gWeuYGR6ck1pbt6p6mWhSeF7obApZGAtfsxyeKuMuPY6RHndmgwqmXMJiaYESbB4VbBqCpLAo5wyAGfQCW6F7df</x:v>
      </x:c>
      <x:c r="AA27" s="2" t="str">
        <x:v>Raydium CPMM: конфигурация и событие</x:v>
      </x:c>
      <x:c r="AB27" s="2" t="str">
        <x:v>259dyTrR1KgguVwekv71ehmKfSfkC5fDPfBaxMmr3Fsx</x:v>
      </x:c>
    </x:row>
    <x:row r="28" ht="21" customHeight="1">
      <x:c r="A28" s="2" t="n">
        <x:v>21</x:v>
      </x:c>
      <x:c r="B28" s="9" t="n">
        <x:v>46282.70303240741</x:v>
      </x:c>
      <x:c r="C28" s="2" t="str">
        <x:v>Нулевой остаток</x:v>
      </x:c>
      <x:c r="D28" s="2" t="str">
        <x:v>GCjgZ2X4XmSrLX7SVuiAVkA3c1ptXdtWiVQN4u1P9GeR</x:v>
      </x:c>
      <x:c r="E28" s="10" t="n">
        <x:v>1000</x:v>
      </x:c>
      <x:c r="F28" s="11" t="n">
        <x:v>2505450.514906</x:v>
      </x:c>
      <x:c r="G28" s="11" t="n">
        <x:v>0</x:v>
      </x:c>
      <x:c r="H28" s="12" t="n">
        <x:f>IF(AND(E28&gt;0,F28&gt;0),E28/F28,NA())</x:f>
        <x:v>0.0003991298147980058</x:v>
      </x:c>
      <x:c r="I28" s="13" t="n">
        <x:v>0.0125</x:v>
      </x:c>
      <x:c r="J28" s="14" t="str">
        <x:f>'Цены'!G208</x:f>
      </x:c>
      <x:c r="K28" s="14" t="str">
        <x:f>'Цены'!G209</x:f>
      </x:c>
      <x:c r="L28" s="14" t="str">
        <x:f>'Цены'!G210</x:f>
      </x:c>
      <x:c r="M28" s="14" t="str">
        <x:f>'Цены'!G211</x:f>
      </x:c>
      <x:c r="N28" s="14" t="str">
        <x:f>'Цены'!G212</x:f>
      </x:c>
      <x:c r="O28" s="14" t="str">
        <x:f>'Цены'!G213</x:f>
      </x:c>
      <x:c r="P28" s="14" t="str">
        <x:f>'Цены'!G214</x:f>
      </x:c>
      <x:c r="Q28" s="14" t="str">
        <x:f>'Цены'!G215</x:f>
      </x:c>
      <x:c r="R28" s="14" t="str">
        <x:f>'Цены'!G216</x:f>
      </x:c>
      <x:c r="S28" s="14" t="str">
        <x:f>'Цены'!G217</x:f>
      </x:c>
      <x:c r="T28" s="2" t="n">
        <x:f>COUNT(J28:S28)</x:f>
        <x:v>0</x:v>
      </x:c>
      <x:c r="U28" s="2" t="str">
        <x:v>RPC: данные не загружены: 8; Ещё рано: 2</x:v>
      </x:c>
      <x:c r="V28" s="2" t="n">
        <x:v>447845191</x:v>
      </x:c>
      <x:c r="W28" s="2" t="n">
        <x:v>476</x:v>
      </x:c>
      <x:c r="X28" s="15" t="n">
        <x:v>0.000024127</x:v>
      </x:c>
      <x:c r="Y28" s="2" t="str">
        <x:v>2hrnu91GH42UkGyoZqdqh3E6QUq2zQbDkxbGuh22zcg93862cL24cbST4HB15igFNxNtBv3dNrw4SdE4BwNauW1f</x:v>
      </x:c>
      <x:c r="Z28" s="2" t="str">
        <x:v>https://solscan.io/tx/2hrnu91GH42UkGyoZqdqh3E6QUq2zQbDkxbGuh22zcg93862cL24cbST4HB15igFNxNtBv3dNrw4SdE4BwNauW1f</x:v>
      </x:c>
      <x:c r="AA28" s="2" t="str">
        <x:v>Raydium CPMM: конфигурация и событие</x:v>
      </x:c>
      <x:c r="AB28" s="2" t="str">
        <x:v>7HeQ9A8DcT5jBsx1rCeT7VZhLEgNaqKYevnxR5iLdjgR</x:v>
      </x:c>
    </x:row>
    <x:row r="29" ht="21" customHeight="1">
      <x:c r="A29" s="2" t="n">
        <x:v>22</x:v>
      </x:c>
      <x:c r="B29" s="9" t="n">
        <x:v>46282.69263888889</x:v>
      </x:c>
      <x:c r="C29" s="2" t="str">
        <x:v>Докупка</x:v>
      </x:c>
      <x:c r="D29" s="2" t="str">
        <x:v>CFNRDaxFcvRwRSNnA5cHrCCr6AHhk9dNkHWpRUjNupFL</x:v>
      </x:c>
      <x:c r="E29" s="10" t="n">
        <x:v>1500</x:v>
      </x:c>
      <x:c r="F29" s="11" t="n">
        <x:v>223510.215864925</x:v>
      </x:c>
      <x:c r="G29" s="11" t="n">
        <x:v>17538044.843671847</x:v>
      </x:c>
      <x:c r="H29" s="12" t="n">
        <x:f>IF(AND(E29&gt;0,F29&gt;0),E29/F29,NA())</x:f>
        <x:v>0.00671110264108242</x:v>
      </x:c>
      <x:c r="I29" s="13" t="n">
        <x:v>0.010000001739723756</x:v>
      </x:c>
      <x:c r="J29" s="14" t="str">
        <x:f>'Цены'!G218</x:f>
      </x:c>
      <x:c r="K29" s="14" t="str">
        <x:f>'Цены'!G219</x:f>
      </x:c>
      <x:c r="L29" s="14" t="str">
        <x:f>'Цены'!G220</x:f>
      </x:c>
      <x:c r="M29" s="14" t="str">
        <x:f>'Цены'!G221</x:f>
      </x:c>
      <x:c r="N29" s="14" t="str">
        <x:f>'Цены'!G222</x:f>
      </x:c>
      <x:c r="O29" s="14" t="str">
        <x:f>'Цены'!G223</x:f>
      </x:c>
      <x:c r="P29" s="14" t="str">
        <x:f>'Цены'!G224</x:f>
      </x:c>
      <x:c r="Q29" s="14" t="str">
        <x:f>'Цены'!G225</x:f>
      </x:c>
      <x:c r="R29" s="14" t="str">
        <x:f>'Цены'!G226</x:f>
      </x:c>
      <x:c r="S29" s="14" t="str">
        <x:f>'Цены'!G227</x:f>
      </x:c>
      <x:c r="T29" s="2" t="n">
        <x:f>COUNT(J29:S29)</x:f>
        <x:v>0</x:v>
      </x:c>
      <x:c r="U29" s="2" t="str">
        <x:v>RPC: данные не загружены: 8; Ещё рано: 2</x:v>
      </x:c>
      <x:c r="V29" s="2" t="n">
        <x:v>447842370</x:v>
      </x:c>
      <x:c r="W29" s="2" t="n">
        <x:v>1433</x:v>
      </x:c>
      <x:c r="X29" s="15" t="n">
        <x:v>0.002656877</x:v>
      </x:c>
      <x:c r="Y29" s="2" t="str">
        <x:v>2KTG615akGRptvrps9QX2bfztrX9JKmSQgs5pLVKTrE66bRZsh1dh7hUCJMQqtRwrh9zGTG6Y5Mn28yVN4Qy4jRP</x:v>
      </x:c>
      <x:c r="Z29" s="2" t="str">
        <x:v>https://solscan.io/tx/2KTG615akGRptvrps9QX2bfztrX9JKmSQgs5pLVKTrE66bRZsh1dh7hUCJMQqtRwrh9zGTG6Y5Mn28yVN4Qy4jRP</x:v>
      </x:c>
      <x:c r="AA29" s="2" t="str">
        <x:v>Raydium CLMM: фактическая комиссия</x:v>
      </x:c>
      <x:c r="AB29" s="2" t="str">
        <x:v>987VwvJZ5FRjWCY9ZwC2tRUGL8FbMT1aF4pUrT7XjPjD</x:v>
      </x:c>
    </x:row>
    <x:row r="30" ht="21" customHeight="1">
      <x:c r="A30" s="2" t="n">
        <x:v>23</x:v>
      </x:c>
      <x:c r="B30" s="9" t="n">
        <x:v>46282.691516203704</x:v>
      </x:c>
      <x:c r="C30" s="2" t="str">
        <x:v>Нулевой остаток</x:v>
      </x:c>
      <x:c r="D30" s="2" t="str">
        <x:v>7rUNV1HjfCzbtGi3ZbKQ5hYXVjzbAfyCTcgTULQxCwki</x:v>
      </x:c>
      <x:c r="E30" s="10" t="n">
        <x:v>3000</x:v>
      </x:c>
      <x:c r="F30" s="11" t="n">
        <x:v>20586332.371278</x:v>
      </x:c>
      <x:c r="G30" s="11" t="n">
        <x:v>0</x:v>
      </x:c>
      <x:c r="H30" s="12" t="n">
        <x:f>IF(AND(E30&gt;0,F30&gt;0),E30/F30,NA())</x:f>
        <x:v>0.00014572775499270538</x:v>
      </x:c>
      <x:c r="I30" s="13" t="n">
        <x:v>0.05847409369359313</x:v>
      </x:c>
      <x:c r="J30" s="14" t="str">
        <x:f>'Цены'!G228</x:f>
      </x:c>
      <x:c r="K30" s="14" t="str">
        <x:f>'Цены'!G229</x:f>
      </x:c>
      <x:c r="L30" s="14" t="str">
        <x:f>'Цены'!G230</x:f>
      </x:c>
      <x:c r="M30" s="14" t="str">
        <x:f>'Цены'!G231</x:f>
      </x:c>
      <x:c r="N30" s="14" t="str">
        <x:f>'Цены'!G232</x:f>
      </x:c>
      <x:c r="O30" s="14" t="str">
        <x:f>'Цены'!G233</x:f>
      </x:c>
      <x:c r="P30" s="14" t="str">
        <x:f>'Цены'!G234</x:f>
      </x:c>
      <x:c r="Q30" s="14" t="str">
        <x:f>'Цены'!G235</x:f>
      </x:c>
      <x:c r="R30" s="14" t="str">
        <x:f>'Цены'!G236</x:f>
      </x:c>
      <x:c r="S30" s="14" t="str">
        <x:f>'Цены'!G237</x:f>
      </x:c>
      <x:c r="T30" s="2" t="n">
        <x:f>COUNT(J30:S30)</x:f>
        <x:v>0</x:v>
      </x:c>
      <x:c r="U30" s="2" t="str">
        <x:v>RPC: данные не загружены: 8; Ещё рано: 2</x:v>
      </x:c>
      <x:c r="V30" s="2" t="n">
        <x:v>447842065</x:v>
      </x:c>
      <x:c r="W30" s="2" t="n">
        <x:v>611</x:v>
      </x:c>
      <x:c r="X30" s="15" t="n">
        <x:v>0.002744356</x:v>
      </x:c>
      <x:c r="Y30" s="2" t="str">
        <x:v>HKmLbXVMFwkDbi6haKq3wpw6t43dqE6NqGpMYDCi2KjiAAzZpCFe8NWkVJeMkJ3ZXxDdZEZbdFL68voCoftCEGe</x:v>
      </x:c>
      <x:c r="Z30" s="2" t="str">
        <x:v>https://solscan.io/tx/HKmLbXVMFwkDbi6haKq3wpw6t43dqE6NqGpMYDCi2KjiAAzZpCFe8NWkVJeMkJ3ZXxDdZEZbdFL68voCoftCEGe</x:v>
      </x:c>
      <x:c r="AA30" s="2" t="str">
        <x:v>Meteora DLMM: фактическая комиссия</x:v>
      </x:c>
      <x:c r="AB30" s="2" t="str">
        <x:v>6txRgrkNCqc85no4D2AyHnhK4yLqcEZ9WcU4k4xchFNj</x:v>
      </x:c>
    </x:row>
    <x:row r="31" ht="21" customHeight="1">
      <x:c r="A31" s="2" t="n">
        <x:v>24</x:v>
      </x:c>
      <x:c r="B31" s="9" t="n">
        <x:v>46282.67637731481</x:v>
      </x:c>
      <x:c r="C31" s="2" t="str">
        <x:v>Нулевой остаток</x:v>
      </x:c>
      <x:c r="D31" s="2" t="str">
        <x:v>6UymExPNxsyZwWzaPVvgjWy315yjSSupB8CKFbyjUEp3</x:v>
      </x:c>
      <x:c r="E31" s="10" t="n">
        <x:v>2249.732805</x:v>
      </x:c>
      <x:c r="F31" s="11" t="n">
        <x:v>25177211.491463</x:v>
      </x:c>
      <x:c r="G31" s="11" t="n">
        <x:v>0</x:v>
      </x:c>
      <x:c r="H31" s="12" t="n">
        <x:f>IF(AND(E31&gt;0,F31&gt;0),E31/F31,NA())</x:f>
        <x:v>0.00008935591639140941</x:v>
      </x:c>
      <x:c r="I31" s="13" t="n">
        <x:v>0.0125</x:v>
      </x:c>
      <x:c r="J31" s="14" t="n">
        <x:f>'Цены'!G238</x:f>
        <x:v>0.8455428747123248</x:v>
      </x:c>
      <x:c r="K31" s="14" t="n">
        <x:f>'Цены'!G239</x:f>
        <x:v>0.9525126487020943</x:v>
      </x:c>
      <x:c r="L31" s="14" t="n">
        <x:f>'Цены'!G240</x:f>
        <x:v>2.057213887268794</x:v>
      </x:c>
      <x:c r="M31" s="14" t="n">
        <x:f>'Цены'!G241</x:f>
        <x:v>1.640259020819025</x:v>
      </x:c>
      <x:c r="N31" s="14" t="n">
        <x:f>'Цены'!G242</x:f>
        <x:v>0.9179011938429813</x:v>
      </x:c>
      <x:c r="O31" s="14" t="n">
        <x:f>'Цены'!G243</x:f>
        <x:v>1.5096611010144398</x:v>
      </x:c>
      <x:c r="P31" s="14" t="n">
        <x:f>'Цены'!G244</x:f>
        <x:v>0.8742076240806154</x:v>
      </x:c>
      <x:c r="Q31" s="14" t="n">
        <x:f>'Цены'!G245</x:f>
        <x:v>0.2290080731401849</x:v>
      </x:c>
      <x:c r="R31" s="14" t="str">
        <x:f>'Цены'!G246</x:f>
      </x:c>
      <x:c r="S31" s="14" t="str">
        <x:f>'Цены'!G247</x:f>
      </x:c>
      <x:c r="T31" s="2" t="n">
        <x:f>COUNT(J31:S31)</x:f>
        <x:v>8</x:v>
      </x:c>
      <x:c r="U31" s="2" t="str">
        <x:v>Ещё рано: 2</x:v>
      </x:c>
      <x:c r="V31" s="2" t="n">
        <x:v>447837952</x:v>
      </x:c>
      <x:c r="W31" s="2" t="n">
        <x:v>177</x:v>
      </x:c>
      <x:c r="X31" s="15" t="n">
        <x:v>0.000045081</x:v>
      </x:c>
      <x:c r="Y31" s="2" t="str">
        <x:v>4JfcMioEjwsfR8QfAdTPXSt1crn89h8fJb2effrXEB29UhVSz7oT1iefGW3DNmgjoZLvPobDDtHtMk7y4Ge1L2eo</x:v>
      </x:c>
      <x:c r="Z31" s="2" t="str">
        <x:v>https://solscan.io/tx/4JfcMioEjwsfR8QfAdTPXSt1crn89h8fJb2effrXEB29UhVSz7oT1iefGW3DNmgjoZLvPobDDtHtMk7y4Ge1L2eo</x:v>
      </x:c>
      <x:c r="AA31" s="2" t="str">
        <x:v>Raydium CPMM: конфигурация и событие</x:v>
      </x:c>
      <x:c r="AB31" s="2" t="str">
        <x:v>DGUzdrnph6EYUdUDFa3xY5EB8TV2bdh4GMskyrVKG3wo</x:v>
      </x:c>
    </x:row>
    <x:row r="32" ht="21" customHeight="1">
      <x:c r="A32" s="2" t="n">
        <x:v>25</x:v>
      </x:c>
      <x:c r="B32" s="9" t="n">
        <x:v>46282.1075462963</x:v>
      </x:c>
      <x:c r="C32" s="2" t="str">
        <x:v>Докупка</x:v>
      </x:c>
      <x:c r="D32" s="2" t="str">
        <x:v>6GmAFSYs4gk3FDao5FzzySQpPZaWsa4rUJHacpMpUNgx</x:v>
      </x:c>
      <x:c r="E32" s="10" t="n">
        <x:v>559.787642</x:v>
      </x:c>
      <x:c r="F32" s="11" t="n">
        <x:v>2658.224603061</x:v>
      </x:c>
      <x:c r="G32" s="11" t="n">
        <x:v>38754301.637777396</x:v>
      </x:c>
      <x:c r="H32" s="12" t="n">
        <x:f>IF(AND(E32&gt;0,F32&gt;0),E32/F32,NA())</x:f>
        <x:v>0.21058703668433176</x:v>
      </x:c>
      <x:c r="I32" s="13"/>
      <x:c r="J32" s="14" t="str">
        <x:f>'Цены'!G248</x:f>
      </x:c>
      <x:c r="K32" s="14" t="str">
        <x:f>'Цены'!G249</x:f>
      </x:c>
      <x:c r="L32" s="14" t="str">
        <x:f>'Цены'!G250</x:f>
      </x:c>
      <x:c r="M32" s="14" t="str">
        <x:f>'Цены'!G251</x:f>
      </x:c>
      <x:c r="N32" s="14" t="str">
        <x:f>'Цены'!G252</x:f>
      </x:c>
      <x:c r="O32" s="14" t="str">
        <x:f>'Цены'!G253</x:f>
      </x:c>
      <x:c r="P32" s="14" t="str">
        <x:f>'Цены'!G254</x:f>
      </x:c>
      <x:c r="Q32" s="14" t="str">
        <x:f>'Цены'!G255</x:f>
      </x:c>
      <x:c r="R32" s="14" t="str">
        <x:f>'Цены'!G256</x:f>
      </x:c>
      <x:c r="S32" s="14" t="str">
        <x:f>'Цены'!G257</x:f>
      </x:c>
      <x:c r="T32" s="2" t="n">
        <x:f>COUNT(J32:S32)</x:f>
        <x:v>0</x:v>
      </x:c>
      <x:c r="U32" s="2" t="str">
        <x:v>GatorSwap: нет модели цены: 9; Ещё рано: 1</x:v>
      </x:c>
      <x:c r="V32" s="2" t="n">
        <x:v>447682688</x:v>
      </x:c>
      <x:c r="W32" s="2" t="n">
        <x:v>657</x:v>
      </x:c>
      <x:c r="X32" s="15" t="n">
        <x:v>0.000730741</x:v>
      </x:c>
      <x:c r="Y32" s="2" t="str">
        <x:v>2anmTPv8nVbbaKvYbwJ3jwo2SaTUWaK2e3vMVsfEFPGeHG7fBvDKhydMzegn6D3R9LxoL7PMLaQw8dcjyJLWFPHk</x:v>
      </x:c>
      <x:c r="Z32" s="2" t="str">
        <x:v>https://solscan.io/tx/2anmTPv8nVbbaKvYbwJ3jwo2SaTUWaK2e3vMVsfEFPGeHG7fBvDKhydMzegn6D3R9LxoL7PMLaQw8dcjyJLWFPHk</x:v>
      </x:c>
      <x:c r="AA32" s="2" t="str">
        <x:v>GatorSwap: комиссия не определена</x:v>
      </x:c>
      <x:c r="AB32" s="2"/>
    </x:row>
    <x:row r="33" ht="21" customHeight="1">
      <x:c r="A33" s="2" t="n">
        <x:v>26</x:v>
      </x:c>
      <x:c r="B33" s="9" t="n">
        <x:v>46282.10650462963</x:v>
      </x:c>
      <x:c r="C33" s="2" t="str">
        <x:v>Докупка</x:v>
      </x:c>
      <x:c r="D33" s="2" t="str">
        <x:v>6LrDt7nBiHraUuk9PZoUL8Qy9WX6pnSpDz1RkWWRR7hN</x:v>
      </x:c>
      <x:c r="E33" s="10" t="n">
        <x:v>800</x:v>
      </x:c>
      <x:c r="F33" s="11" t="n">
        <x:v>3161619.503214</x:v>
      </x:c>
      <x:c r="G33" s="11" t="n">
        <x:v>26617636.700363</x:v>
      </x:c>
      <x:c r="H33" s="12" t="n">
        <x:f>IF(AND(E33&gt;0,F33&gt;0),E33/F33,NA())</x:f>
        <x:v>0.00025303487633054705</x:v>
      </x:c>
      <x:c r="I33" s="13" t="n">
        <x:v>0.0125</x:v>
      </x:c>
      <x:c r="J33" s="14" t="str">
        <x:f>'Цены'!G258</x:f>
      </x:c>
      <x:c r="K33" s="14" t="str">
        <x:f>'Цены'!G259</x:f>
      </x:c>
      <x:c r="L33" s="14" t="str">
        <x:f>'Цены'!G260</x:f>
      </x:c>
      <x:c r="M33" s="14" t="str">
        <x:f>'Цены'!G261</x:f>
      </x:c>
      <x:c r="N33" s="14" t="str">
        <x:f>'Цены'!G262</x:f>
      </x:c>
      <x:c r="O33" s="14" t="str">
        <x:f>'Цены'!G263</x:f>
      </x:c>
      <x:c r="P33" s="14" t="str">
        <x:f>'Цены'!G264</x:f>
      </x:c>
      <x:c r="Q33" s="14" t="str">
        <x:f>'Цены'!G265</x:f>
      </x:c>
      <x:c r="R33" s="14" t="str">
        <x:f>'Цены'!G266</x:f>
      </x:c>
      <x:c r="S33" s="14" t="str">
        <x:f>'Цены'!G267</x:f>
      </x:c>
      <x:c r="T33" s="2" t="n">
        <x:f>COUNT(J33:S33)</x:f>
        <x:v>0</x:v>
      </x:c>
      <x:c r="U33" s="2" t="str">
        <x:v>RPC: данные не загружены: 9; Ещё рано: 1</x:v>
      </x:c>
      <x:c r="V33" s="2" t="n">
        <x:v>447682413</x:v>
      </x:c>
      <x:c r="W33" s="2" t="n">
        <x:v>138</x:v>
      </x:c>
      <x:c r="X33" s="15" t="n">
        <x:v>0.000028735</x:v>
      </x:c>
      <x:c r="Y33" s="2" t="str">
        <x:v>2dRcndzNQXFDn8ycbr8vvcaHjLqciDFfqjA6MRmp1Y9EeYvHmqdTg5eie7nyqPw4tqvLmiz2aSjejk8Mnm1Wu517</x:v>
      </x:c>
      <x:c r="Z33" s="2" t="str">
        <x:v>https://solscan.io/tx/2dRcndzNQXFDn8ycbr8vvcaHjLqciDFfqjA6MRmp1Y9EeYvHmqdTg5eie7nyqPw4tqvLmiz2aSjejk8Mnm1Wu517</x:v>
      </x:c>
      <x:c r="AA33" s="2" t="str">
        <x:v>Raydium CPMM: конфигурация и событие</x:v>
      </x:c>
      <x:c r="AB33" s="2" t="str">
        <x:v>EqnkEMJN4mBWkjTWF5dqED31ax8SZm51suYHbe8PiWqJ</x:v>
      </x:c>
    </x:row>
    <x:row r="34" ht="21" customHeight="1">
      <x:c r="A34" s="2" t="n">
        <x:v>27</x:v>
      </x:c>
      <x:c r="B34" s="9" t="n">
        <x:v>46282.106203703705</x:v>
      </x:c>
      <x:c r="C34" s="2" t="str">
        <x:v>Нулевой остаток</x:v>
      </x:c>
      <x:c r="D34" s="2" t="str">
        <x:v>6LrDt7nBiHraUuk9PZoUL8Qy9WX6pnSpDz1RkWWRR7hN</x:v>
      </x:c>
      <x:c r="E34" s="10" t="n">
        <x:v>3000</x:v>
      </x:c>
      <x:c r="F34" s="11" t="n">
        <x:v>26617636.700363</x:v>
      </x:c>
      <x:c r="G34" s="11" t="n">
        <x:v>0</x:v>
      </x:c>
      <x:c r="H34" s="12" t="n">
        <x:f>IF(AND(E34&gt;0,F34&gt;0),E34/F34,NA())</x:f>
        <x:v>0.00011270722618131938</x:v>
      </x:c>
      <x:c r="I34" s="13" t="n">
        <x:v>0.0125</x:v>
      </x:c>
      <x:c r="J34" s="14" t="str">
        <x:f>'Цены'!G268</x:f>
      </x:c>
      <x:c r="K34" s="14" t="str">
        <x:f>'Цены'!G269</x:f>
      </x:c>
      <x:c r="L34" s="14" t="str">
        <x:f>'Цены'!G270</x:f>
      </x:c>
      <x:c r="M34" s="14" t="str">
        <x:f>'Цены'!G271</x:f>
      </x:c>
      <x:c r="N34" s="14" t="str">
        <x:f>'Цены'!G272</x:f>
      </x:c>
      <x:c r="O34" s="14" t="str">
        <x:f>'Цены'!G273</x:f>
      </x:c>
      <x:c r="P34" s="14" t="str">
        <x:f>'Цены'!G274</x:f>
      </x:c>
      <x:c r="Q34" s="14" t="str">
        <x:f>'Цены'!G275</x:f>
      </x:c>
      <x:c r="R34" s="14" t="str">
        <x:f>'Цены'!G276</x:f>
      </x:c>
      <x:c r="S34" s="14" t="str">
        <x:f>'Цены'!G277</x:f>
      </x:c>
      <x:c r="T34" s="2" t="n">
        <x:f>COUNT(J34:S34)</x:f>
        <x:v>0</x:v>
      </x:c>
      <x:c r="U34" s="2" t="str">
        <x:v>RPC: данные не загружены: 9; Ещё рано: 1</x:v>
      </x:c>
      <x:c r="V34" s="2" t="n">
        <x:v>447682332</x:v>
      </x:c>
      <x:c r="W34" s="2" t="n">
        <x:v>105</x:v>
      </x:c>
      <x:c r="X34" s="15" t="n">
        <x:v>0.00097792</x:v>
      </x:c>
      <x:c r="Y34" s="2" t="str">
        <x:v>2HbuUkqvfVvswTYckU6HyMi1cGvyjkEjwQkUzmpXvZFT2rpJY49zpihd3rkH7hQX4cYW1vShWkRRF89GqyZRYJL5</x:v>
      </x:c>
      <x:c r="Z34" s="2" t="str">
        <x:v>https://solscan.io/tx/2HbuUkqvfVvswTYckU6HyMi1cGvyjkEjwQkUzmpXvZFT2rpJY49zpihd3rkH7hQX4cYW1vShWkRRF89GqyZRYJL5</x:v>
      </x:c>
      <x:c r="AA34" s="2" t="str">
        <x:v>Raydium CPMM: конфигурация и событие</x:v>
      </x:c>
      <x:c r="AB34" s="2" t="str">
        <x:v>EqnkEMJN4mBWkjTWF5dqED31ax8SZm51suYHbe8PiWqJ</x:v>
      </x:c>
    </x:row>
    <x:row r="35" ht="21" customHeight="1">
      <x:c r="A35" s="2" t="n">
        <x:v>28</x:v>
      </x:c>
      <x:c r="B35" s="9" t="n">
        <x:v>46282.05960648148</x:v>
      </x:c>
      <x:c r="C35" s="2" t="str">
        <x:v>Докупка</x:v>
      </x:c>
      <x:c r="D35" s="2" t="str">
        <x:v>6GmAFSYs4gk3FDao5FzzySQpPZaWsa4rUJHacpMpUNgx</x:v>
      </x:c>
      <x:c r="E35" s="10" t="n">
        <x:v>820.640267</x:v>
      </x:c>
      <x:c r="F35" s="11" t="n">
        <x:v>3822.394520395</x:v>
      </x:c>
      <x:c r="G35" s="11" t="n">
        <x:v>38747041.73380998</x:v>
      </x:c>
      <x:c r="H35" s="12" t="n">
        <x:f>IF(AND(E35&gt;0,F35&gt;0),E35/F35,NA())</x:f>
        <x:v>0.21469271751551075</x:v>
      </x:c>
      <x:c r="I35" s="13" t="n">
        <x:v>0.0015287874495808795</x:v>
      </x:c>
      <x:c r="J35" s="14" t="str">
        <x:f>'Цены'!G278</x:f>
      </x:c>
      <x:c r="K35" s="14" t="str">
        <x:f>'Цены'!G279</x:f>
      </x:c>
      <x:c r="L35" s="14" t="str">
        <x:f>'Цены'!G280</x:f>
      </x:c>
      <x:c r="M35" s="14" t="str">
        <x:f>'Цены'!G281</x:f>
      </x:c>
      <x:c r="N35" s="14" t="str">
        <x:f>'Цены'!G282</x:f>
      </x:c>
      <x:c r="O35" s="14" t="str">
        <x:f>'Цены'!G283</x:f>
      </x:c>
      <x:c r="P35" s="14" t="str">
        <x:f>'Цены'!G284</x:f>
      </x:c>
      <x:c r="Q35" s="14" t="str">
        <x:f>'Цены'!G285</x:f>
      </x:c>
      <x:c r="R35" s="14" t="str">
        <x:f>'Цены'!G286</x:f>
      </x:c>
      <x:c r="S35" s="14" t="str">
        <x:f>'Цены'!G287</x:f>
      </x:c>
      <x:c r="T35" s="2" t="n">
        <x:f>COUNT(J35:S35)</x:f>
        <x:v>0</x:v>
      </x:c>
      <x:c r="U35" s="2" t="str">
        <x:v>RPC: данные не загружены: 9; Ещё рано: 1</x:v>
      </x:c>
      <x:c r="V35" s="2" t="n">
        <x:v>447669621</x:v>
      </x:c>
      <x:c r="W35" s="2" t="n">
        <x:v>362</x:v>
      </x:c>
      <x:c r="X35" s="15" t="n">
        <x:v>0.001258728</x:v>
      </x:c>
      <x:c r="Y35" s="2" t="str">
        <x:v>212sMSzJfKqVbHoCQ9knKyPVbW8eeNS2vTUi5VMdQEFNs5fDdCRo59huHdzzN3oHnCUnyn5joGJzvPDt5mxwUEQD</x:v>
      </x:c>
      <x:c r="Z35" s="2" t="str">
        <x:v>https://solscan.io/tx/212sMSzJfKqVbHoCQ9knKyPVbW8eeNS2vTUi5VMdQEFNs5fDdCRo59huHdzzN3oHnCUnyn5joGJzvPDt5mxwUEQD</x:v>
      </x:c>
      <x:c r="AA35" s="2" t="str">
        <x:v>Meteora DLMM: фактическая комиссия</x:v>
      </x:c>
      <x:c r="AB35" s="2" t="str">
        <x:v>36SpkkrsnyUgjPC24KU993r8T3whkJaPgoEeAmbBj9uB</x:v>
      </x:c>
    </x:row>
    <x:row r="36" ht="21" customHeight="1">
      <x:c r="A36" s="2" t="n">
        <x:v>29</x:v>
      </x:c>
      <x:c r="B36" s="9" t="n">
        <x:v>46282.05905092593</x:v>
      </x:c>
      <x:c r="C36" s="2" t="str">
        <x:v>Нулевой остаток</x:v>
      </x:c>
      <x:c r="D36" s="2" t="str">
        <x:v>CEWhD4ze2GqmgBxmt1iHSQ4883Yi9w8fc3ATM92SmxG4</x:v>
      </x:c>
      <x:c r="E36" s="10" t="n">
        <x:v>1200</x:v>
      </x:c>
      <x:c r="F36" s="11" t="n">
        <x:v>16176119.919358717</x:v>
      </x:c>
      <x:c r="G36" s="11" t="n">
        <x:v>0</x:v>
      </x:c>
      <x:c r="H36" s="12" t="n">
        <x:f>IF(AND(E36&gt;0,F36&gt;0),E36/F36,NA())</x:f>
        <x:v>0.00007418342630879635</x:v>
      </x:c>
      <x:c r="I36" s="13" t="n">
        <x:v>0.04</x:v>
      </x:c>
      <x:c r="J36" s="14" t="str">
        <x:f>'Цены'!G288</x:f>
      </x:c>
      <x:c r="K36" s="14" t="str">
        <x:f>'Цены'!G289</x:f>
      </x:c>
      <x:c r="L36" s="14" t="str">
        <x:f>'Цены'!G290</x:f>
      </x:c>
      <x:c r="M36" s="14" t="str">
        <x:f>'Цены'!G291</x:f>
      </x:c>
      <x:c r="N36" s="14" t="str">
        <x:f>'Цены'!G292</x:f>
      </x:c>
      <x:c r="O36" s="14" t="str">
        <x:f>'Цены'!G293</x:f>
      </x:c>
      <x:c r="P36" s="14" t="str">
        <x:f>'Цены'!G294</x:f>
      </x:c>
      <x:c r="Q36" s="14" t="str">
        <x:f>'Цены'!G295</x:f>
      </x:c>
      <x:c r="R36" s="14" t="str">
        <x:f>'Цены'!G296</x:f>
      </x:c>
      <x:c r="S36" s="14" t="str">
        <x:f>'Цены'!G297</x:f>
      </x:c>
      <x:c r="T36" s="2" t="n">
        <x:f>COUNT(J36:S36)</x:f>
        <x:v>0</x:v>
      </x:c>
      <x:c r="U36" s="2" t="str">
        <x:v>RPC: данные не загружены: 9; Ещё рано: 1</x:v>
      </x:c>
      <x:c r="V36" s="2" t="n">
        <x:v>447669472</x:v>
      </x:c>
      <x:c r="W36" s="2" t="n">
        <x:v>759</x:v>
      </x:c>
      <x:c r="X36" s="15" t="n">
        <x:v>0.001313916</x:v>
      </x:c>
      <x:c r="Y36" s="2" t="str">
        <x:v>2vF5jifs7HpmnpaUs5ZVCtm6SnBpaJAtyHw9uLp9ioZpNz3RvMcmqfnrPdFP3sfL9qLfAuB7n2kzaopFqdPaMSet</x:v>
      </x:c>
      <x:c r="Z36" s="2" t="str">
        <x:v>https://solscan.io/tx/2vF5jifs7HpmnpaUs5ZVCtm6SnBpaJAtyHw9uLp9ioZpNz3RvMcmqfnrPdFP3sfL9qLfAuB7n2kzaopFqdPaMSet</x:v>
      </x:c>
      <x:c r="AA36" s="2" t="str">
        <x:v>Raydium CLMM: конфигурация подтверждена</x:v>
      </x:c>
      <x:c r="AB36" s="2" t="str">
        <x:v>CMgRAGHVA4sgvPwrYTz1ovpBxTTAxVRVgfytgw8onQXW</x:v>
      </x:c>
    </x:row>
    <x:row r="37" ht="21" customHeight="1">
      <x:c r="A37" s="2" t="n">
        <x:v>30</x:v>
      </x:c>
      <x:c r="B37" s="9" t="n">
        <x:v>46282.05739583333</x:v>
      </x:c>
      <x:c r="C37" s="2" t="str">
        <x:v>Нулевой остаток</x:v>
      </x:c>
      <x:c r="D37" s="2" t="str">
        <x:v>DtUntDyWcRpzTVt8JiW8fXvUt3WDGGw6kdiD7fjNMFzJ</x:v>
      </x:c>
      <x:c r="E37" s="10" t="n">
        <x:v>1000</x:v>
      </x:c>
      <x:c r="F37" s="11" t="n">
        <x:v>11647978.89316</x:v>
      </x:c>
      <x:c r="G37" s="11" t="n">
        <x:v>0</x:v>
      </x:c>
      <x:c r="H37" s="12" t="n">
        <x:f>IF(AND(E37&gt;0,F37&gt;0),E37/F37,NA())</x:f>
        <x:v>0.00008585180392001107</x:v>
      </x:c>
      <x:c r="I37" s="13" t="n">
        <x:v>0.0125</x:v>
      </x:c>
      <x:c r="J37" s="14" t="str">
        <x:f>'Цены'!G298</x:f>
      </x:c>
      <x:c r="K37" s="14" t="str">
        <x:f>'Цены'!G299</x:f>
      </x:c>
      <x:c r="L37" s="14" t="str">
        <x:f>'Цены'!G300</x:f>
      </x:c>
      <x:c r="M37" s="14" t="str">
        <x:f>'Цены'!G301</x:f>
      </x:c>
      <x:c r="N37" s="14" t="str">
        <x:f>'Цены'!G302</x:f>
      </x:c>
      <x:c r="O37" s="14" t="str">
        <x:f>'Цены'!G303</x:f>
      </x:c>
      <x:c r="P37" s="14" t="str">
        <x:f>'Цены'!G304</x:f>
      </x:c>
      <x:c r="Q37" s="14" t="str">
        <x:f>'Цены'!G305</x:f>
      </x:c>
      <x:c r="R37" s="14" t="str">
        <x:f>'Цены'!G306</x:f>
      </x:c>
      <x:c r="S37" s="14" t="str">
        <x:f>'Цены'!G307</x:f>
      </x:c>
      <x:c r="T37" s="2" t="n">
        <x:f>COUNT(J37:S37)</x:f>
        <x:v>0</x:v>
      </x:c>
      <x:c r="U37" s="2" t="str">
        <x:v>RPC: данные не загружены: 9; Ещё рано: 1</x:v>
      </x:c>
      <x:c r="V37" s="2" t="n">
        <x:v>447669020</x:v>
      </x:c>
      <x:c r="W37" s="2" t="n">
        <x:v>907</x:v>
      </x:c>
      <x:c r="X37" s="15" t="n">
        <x:v>0.000057416</x:v>
      </x:c>
      <x:c r="Y37" s="2" t="str">
        <x:v>s23mozQmGQB6tvAkQahhEWTPzxRjjNQFiovSp5Qa7ezs5U2aSgNPS7MZ4ewpzRsQDqF5DNGio3NFZ9nxg8f5qWV</x:v>
      </x:c>
      <x:c r="Z37" s="2" t="str">
        <x:v>https://solscan.io/tx/s23mozQmGQB6tvAkQahhEWTPzxRjjNQFiovSp5Qa7ezs5U2aSgNPS7MZ4ewpzRsQDqF5DNGio3NFZ9nxg8f5qWV</x:v>
      </x:c>
      <x:c r="AA37" s="2" t="str">
        <x:v>Raydium CPMM: конфигурация и событие</x:v>
      </x:c>
      <x:c r="AB37" s="2" t="str">
        <x:v>GwedtHBE39pYx7Cj9a1JC6pFg7dbbfXvHa4eMJJ3mTjz</x:v>
      </x:c>
    </x:row>
    <x:row r="38" ht="21" customHeight="1">
      <x:c r="A38" s="2" t="n">
        <x:v>31</x:v>
      </x:c>
      <x:c r="B38" s="9" t="n">
        <x:v>46282.044583333336</x:v>
      </x:c>
      <x:c r="C38" s="2" t="str">
        <x:v>Нулевой остаток</x:v>
      </x:c>
      <x:c r="D38" s="2" t="str">
        <x:v>F8ZreugBAokXk8wU5FUe2EbLhCHxDKMTx82pfZryHStT</x:v>
      </x:c>
      <x:c r="E38" s="10" t="n">
        <x:v>9664.563447</x:v>
      </x:c>
      <x:c r="F38" s="11" t="n">
        <x:v>21321567.587471</x:v>
      </x:c>
      <x:c r="G38" s="11" t="n">
        <x:v>0</x:v>
      </x:c>
      <x:c r="H38" s="12" t="n">
        <x:f>IF(AND(E38&gt;0,F38&gt;0),E38/F38,NA())</x:f>
        <x:v>0.0004532764022791223</x:v>
      </x:c>
      <x:c r="I38" s="13" t="n">
        <x:v>0.0125</x:v>
      </x:c>
      <x:c r="J38" s="14" t="str">
        <x:f>'Цены'!G308</x:f>
      </x:c>
      <x:c r="K38" s="14" t="str">
        <x:f>'Цены'!G309</x:f>
      </x:c>
      <x:c r="L38" s="14" t="str">
        <x:f>'Цены'!G310</x:f>
      </x:c>
      <x:c r="M38" s="14" t="str">
        <x:f>'Цены'!G311</x:f>
      </x:c>
      <x:c r="N38" s="14" t="str">
        <x:f>'Цены'!G312</x:f>
      </x:c>
      <x:c r="O38" s="14" t="str">
        <x:f>'Цены'!G313</x:f>
      </x:c>
      <x:c r="P38" s="14" t="str">
        <x:f>'Цены'!G314</x:f>
      </x:c>
      <x:c r="Q38" s="14" t="str">
        <x:f>'Цены'!G315</x:f>
      </x:c>
      <x:c r="R38" s="14" t="str">
        <x:f>'Цены'!G316</x:f>
      </x:c>
      <x:c r="S38" s="14" t="str">
        <x:f>'Цены'!G317</x:f>
      </x:c>
      <x:c r="T38" s="2" t="n">
        <x:f>COUNT(J38:S38)</x:f>
        <x:v>0</x:v>
      </x:c>
      <x:c r="U38" s="2" t="str">
        <x:v>RPC: данные не загружены: 9; Ещё рано: 1</x:v>
      </x:c>
      <x:c r="V38" s="2" t="n">
        <x:v>447665524</x:v>
      </x:c>
      <x:c r="W38" s="2" t="n">
        <x:v>617</x:v>
      </x:c>
      <x:c r="X38" s="15" t="n">
        <x:v>0.00016967</x:v>
      </x:c>
      <x:c r="Y38" s="2" t="str">
        <x:v>645BBDd3o6oo595fGaReFNzcodjAu6Bg4b1BhvJcX3qATEV2ouvsmvr5RXUpAqTSTpoWkWHfC1RZtxM2b9h9GY97</x:v>
      </x:c>
      <x:c r="Z38" s="2" t="str">
        <x:v>https://solscan.io/tx/645BBDd3o6oo595fGaReFNzcodjAu6Bg4b1BhvJcX3qATEV2ouvsmvr5RXUpAqTSTpoWkWHfC1RZtxM2b9h9GY97</x:v>
      </x:c>
      <x:c r="AA38" s="2" t="str">
        <x:v>Raydium CPMM: конфигурация и событие</x:v>
      </x:c>
      <x:c r="AB38" s="2" t="str">
        <x:v>3omYN1QDue8eJuRdX91xeNY5ACmLTB1pR7z6joTiPbD8</x:v>
      </x:c>
    </x:row>
    <x:row r="39" ht="21" customHeight="1">
      <x:c r="A39" s="2" t="n">
        <x:v>32</x:v>
      </x:c>
      <x:c r="B39" s="9" t="n">
        <x:v>46282.002905092595</x:v>
      </x:c>
      <x:c r="C39" s="2" t="str">
        <x:v>Докупка</x:v>
      </x:c>
      <x:c r="D39" s="2" t="str">
        <x:v>6GmAFSYs4gk3FDao5FzzySQpPZaWsa4rUJHacpMpUNgx</x:v>
      </x:c>
      <x:c r="E39" s="10" t="n">
        <x:v>955.545156</x:v>
      </x:c>
      <x:c r="F39" s="11" t="n">
        <x:v>4615.448136769</x:v>
      </x:c>
      <x:c r="G39" s="11" t="n">
        <x:v>38742346.173769824</x:v>
      </x:c>
      <x:c r="H39" s="12" t="n">
        <x:f>IF(AND(E39&gt;0,F39&gt;0),E39/F39,NA())</x:f>
        <x:v>0.20703193442639792</x:v>
      </x:c>
      <x:c r="I39" s="13"/>
      <x:c r="J39" s="14" t="str">
        <x:f>'Цены'!G318</x:f>
      </x:c>
      <x:c r="K39" s="14" t="str">
        <x:f>'Цены'!G319</x:f>
      </x:c>
      <x:c r="L39" s="14" t="str">
        <x:f>'Цены'!G320</x:f>
      </x:c>
      <x:c r="M39" s="14" t="str">
        <x:f>'Цены'!G321</x:f>
      </x:c>
      <x:c r="N39" s="14" t="str">
        <x:f>'Цены'!G322</x:f>
      </x:c>
      <x:c r="O39" s="14" t="str">
        <x:f>'Цены'!G323</x:f>
      </x:c>
      <x:c r="P39" s="14" t="str">
        <x:f>'Цены'!G324</x:f>
      </x:c>
      <x:c r="Q39" s="14" t="str">
        <x:f>'Цены'!G325</x:f>
      </x:c>
      <x:c r="R39" s="14" t="str">
        <x:f>'Цены'!G326</x:f>
      </x:c>
      <x:c r="S39" s="14" t="str">
        <x:f>'Цены'!G327</x:f>
      </x:c>
      <x:c r="T39" s="2" t="n">
        <x:f>COUNT(J39:S39)</x:f>
        <x:v>0</x:v>
      </x:c>
      <x:c r="U39" s="2" t="str">
        <x:v>GatorSwap: нет модели цены: 9; Ещё рано: 1</x:v>
      </x:c>
      <x:c r="V39" s="2" t="n">
        <x:v>447654184</x:v>
      </x:c>
      <x:c r="W39" s="2" t="n">
        <x:v>489</x:v>
      </x:c>
      <x:c r="X39" s="15" t="n">
        <x:v>0.000802462</x:v>
      </x:c>
      <x:c r="Y39" s="2" t="str">
        <x:v>JPT8TczDVL1Xkj9Tdf6BnQXK6pdVmvi25UsLvfR3Fsh5zBxJi3G6MyJrJaTPYjBjp1szezrz8axxkH9jXyvNyh8</x:v>
      </x:c>
      <x:c r="Z39" s="2" t="str">
        <x:v>https://solscan.io/tx/JPT8TczDVL1Xkj9Tdf6BnQXK6pdVmvi25UsLvfR3Fsh5zBxJi3G6MyJrJaTPYjBjp1szezrz8axxkH9jXyvNyh8</x:v>
      </x:c>
      <x:c r="AA39" s="2" t="str">
        <x:v>GatorSwap: комиссия не определена</x:v>
      </x:c>
      <x:c r="AB39" s="2"/>
    </x:row>
    <x:row r="40" ht="21" customHeight="1">
      <x:c r="A40" s="2" t="n">
        <x:v>33</x:v>
      </x:c>
      <x:c r="B40" s="9" t="n">
        <x:v>46281.98280092593</x:v>
      </x:c>
      <x:c r="C40" s="2" t="str">
        <x:v>Докупка</x:v>
      </x:c>
      <x:c r="D40" s="2" t="str">
        <x:v>6GmAFSYs4gk3FDao5FzzySQpPZaWsa4rUJHacpMpUNgx</x:v>
      </x:c>
      <x:c r="E40" s="10" t="n">
        <x:v>2000</x:v>
      </x:c>
      <x:c r="F40" s="11" t="n">
        <x:v>9941.215036134</x:v>
      </x:c>
      <x:c r="G40" s="11" t="n">
        <x:v>38732322.77848114</x:v>
      </x:c>
      <x:c r="H40" s="12" t="n">
        <x:f>IF(AND(E40&gt;0,F40&gt;0),E40/F40,NA())</x:f>
        <x:v>0.20118265148982958</x:v>
      </x:c>
      <x:c r="I40" s="13" t="n">
        <x:v>0.010000004176595148</x:v>
      </x:c>
      <x:c r="J40" s="14" t="str">
        <x:f>'Цены'!G328</x:f>
      </x:c>
      <x:c r="K40" s="14" t="str">
        <x:f>'Цены'!G329</x:f>
      </x:c>
      <x:c r="L40" s="14" t="str">
        <x:f>'Цены'!G330</x:f>
      </x:c>
      <x:c r="M40" s="14" t="str">
        <x:f>'Цены'!G331</x:f>
      </x:c>
      <x:c r="N40" s="14" t="str">
        <x:f>'Цены'!G332</x:f>
      </x:c>
      <x:c r="O40" s="14" t="str">
        <x:f>'Цены'!G333</x:f>
      </x:c>
      <x:c r="P40" s="14" t="str">
        <x:f>'Цены'!G334</x:f>
      </x:c>
      <x:c r="Q40" s="14" t="str">
        <x:f>'Цены'!G335</x:f>
      </x:c>
      <x:c r="R40" s="14" t="str">
        <x:f>'Цены'!G336</x:f>
      </x:c>
      <x:c r="S40" s="14" t="str">
        <x:f>'Цены'!G337</x:f>
      </x:c>
      <x:c r="T40" s="2" t="n">
        <x:f>COUNT(J40:S40)</x:f>
        <x:v>0</x:v>
      </x:c>
      <x:c r="U40" s="2" t="str">
        <x:v>RPC: данные не загружены: 9; Ещё рано: 1</x:v>
      </x:c>
      <x:c r="V40" s="2" t="n">
        <x:v>447648712</x:v>
      </x:c>
      <x:c r="W40" s="2" t="n">
        <x:v>886</x:v>
      </x:c>
      <x:c r="X40" s="15" t="n">
        <x:v>0.000105796</x:v>
      </x:c>
      <x:c r="Y40" s="2" t="str">
        <x:v>2EaYNEDfAAM7Nj6Xp4rfsL5EQbNWepDGU4ywbrwAKRPQvK1Q1ZvvryNxsBeFxsMM88cM3ExTZFeuqWEbnuWN1YMp</x:v>
      </x:c>
      <x:c r="Z40" s="2" t="str">
        <x:v>https://solscan.io/tx/2EaYNEDfAAM7Nj6Xp4rfsL5EQbNWepDGU4ywbrwAKRPQvK1Q1ZvvryNxsBeFxsMM88cM3ExTZFeuqWEbnuWN1YMp</x:v>
      </x:c>
      <x:c r="AA40" s="2" t="str">
        <x:v>Raydium CLMM: фактическая комиссия</x:v>
      </x:c>
      <x:c r="AB40" s="2" t="str">
        <x:v>7a8xxAJBELDo6P9dikSYctdw6ce8F4mWr3ahcAD8Ao49</x:v>
      </x:c>
    </x:row>
    <x:row r="41" ht="21" customHeight="1">
      <x:c r="A41" s="2" t="n">
        <x:v>34</x:v>
      </x:c>
      <x:c r="B41" s="9" t="n">
        <x:v>46281.969201388885</x:v>
      </x:c>
      <x:c r="C41" s="2" t="str">
        <x:v>Докупка</x:v>
      </x:c>
      <x:c r="D41" s="2" t="str">
        <x:v>72yxYmhLgDGwdyi2b9GjDynBB6VuG3kDxNKqDbzXh5bi</x:v>
      </x:c>
      <x:c r="E41" s="10" t="n">
        <x:v>3500</x:v>
      </x:c>
      <x:c r="F41" s="11" t="n">
        <x:v>20292968.325334</x:v>
      </x:c>
      <x:c r="G41" s="11" t="n">
        <x:v>57578.068091</x:v>
      </x:c>
      <x:c r="H41" s="12" t="n">
        <x:f>IF(AND(E41&gt;0,F41&gt;0),E41/F41,NA())</x:f>
        <x:v>0.00017247353585185245</x:v>
      </x:c>
      <x:c r="I41" s="13" t="n">
        <x:v>0.0125</x:v>
      </x:c>
      <x:c r="J41" s="14" t="n">
        <x:f>'Цены'!G338</x:f>
        <x:v>0.9084919575277592</x:v>
      </x:c>
      <x:c r="K41" s="14" t="n">
        <x:f>'Цены'!G339</x:f>
        <x:v>1.0926972035793256</x:v>
      </x:c>
      <x:c r="L41" s="14" t="n">
        <x:f>'Цены'!G340</x:f>
        <x:v>1.2558967456318695</x:v>
      </x:c>
      <x:c r="M41" s="14" t="n">
        <x:f>'Цены'!G341</x:f>
        <x:v>0.9258845697186631</x:v>
      </x:c>
      <x:c r="N41" s="14" t="n">
        <x:f>'Цены'!G342</x:f>
        <x:v>0.5088897147521496</x:v>
      </x:c>
      <x:c r="O41" s="14" t="n">
        <x:f>'Цены'!G343</x:f>
        <x:v>0.8124562608169119</x:v>
      </x:c>
      <x:c r="P41" s="14" t="n">
        <x:f>'Цены'!G344</x:f>
        <x:v>0.7344553757906638</x:v>
      </x:c>
      <x:c r="Q41" s="14" t="n">
        <x:f>'Цены'!G345</x:f>
        <x:v>0.7105320465358433</x:v>
      </x:c>
      <x:c r="R41" s="14" t="n">
        <x:f>'Цены'!G346</x:f>
        <x:v>0.7221498734517551</x:v>
      </x:c>
      <x:c r="S41" s="14" t="str">
        <x:f>'Цены'!G347</x:f>
      </x:c>
      <x:c r="T41" s="2" t="n">
        <x:f>COUNT(J41:S41)</x:f>
        <x:v>9</x:v>
      </x:c>
      <x:c r="U41" s="2" t="str">
        <x:v>Ещё рано: 1</x:v>
      </x:c>
      <x:c r="V41" s="2" t="n">
        <x:v>447644977</x:v>
      </x:c>
      <x:c r="W41" s="2" t="n">
        <x:v>708</x:v>
      </x:c>
      <x:c r="X41" s="15" t="n">
        <x:v>0.000179295</x:v>
      </x:c>
      <x:c r="Y41" s="2" t="str">
        <x:v>2NkPm8GfVw2FYBHrbLbhUrwJGmGECYh4t89oMdCnEsnAXGK8qu4BoTfpNVKEHZLWgBfGYCpZ2oUCBFLW35m8XCNS</x:v>
      </x:c>
      <x:c r="Z41" s="2" t="str">
        <x:v>https://solscan.io/tx/2NkPm8GfVw2FYBHrbLbhUrwJGmGECYh4t89oMdCnEsnAXGK8qu4BoTfpNVKEHZLWgBfGYCpZ2oUCBFLW35m8XCNS</x:v>
      </x:c>
      <x:c r="AA41" s="2" t="str">
        <x:v>Raydium CPMM: конфигурация и событие</x:v>
      </x:c>
      <x:c r="AB41" s="2" t="str">
        <x:v>LeZ2DH1y7bqzAghYbXqKB6fNxoBKqPSPihv3EmkLBRv</x:v>
      </x:c>
    </x:row>
    <x:row r="42" ht="21" customHeight="1">
      <x:c r="A42" s="2" t="n">
        <x:v>35</x:v>
      </x:c>
      <x:c r="B42" s="9" t="n">
        <x:v>46281.966886574075</x:v>
      </x:c>
      <x:c r="C42" s="2" t="str">
        <x:v>Докупка</x:v>
      </x:c>
      <x:c r="D42" s="2" t="str">
        <x:v>7MCgYMzq3fov6oERdtTMAYbN2U9LZrrSYS1MBhjixZFr</x:v>
      </x:c>
      <x:c r="E42" s="10" t="n">
        <x:v>2000</x:v>
      </x:c>
      <x:c r="F42" s="11" t="n">
        <x:v>3744179.923819</x:v>
      </x:c>
      <x:c r="G42" s="11" t="n">
        <x:v>86312.069434</x:v>
      </x:c>
      <x:c r="H42" s="12" t="n">
        <x:f>IF(AND(E42&gt;0,F42&gt;0),E42/F42,NA())</x:f>
        <x:v>0.0005341623641740042</x:v>
      </x:c>
      <x:c r="I42" s="13" t="n">
        <x:v>0.0125</x:v>
      </x:c>
      <x:c r="J42" s="14" t="str">
        <x:f>'Цены'!G348</x:f>
      </x:c>
      <x:c r="K42" s="14" t="str">
        <x:f>'Цены'!G349</x:f>
      </x:c>
      <x:c r="L42" s="14" t="str">
        <x:f>'Цены'!G350</x:f>
      </x:c>
      <x:c r="M42" s="14" t="str">
        <x:f>'Цены'!G351</x:f>
      </x:c>
      <x:c r="N42" s="14" t="str">
        <x:f>'Цены'!G352</x:f>
      </x:c>
      <x:c r="O42" s="14" t="str">
        <x:f>'Цены'!G353</x:f>
      </x:c>
      <x:c r="P42" s="14" t="str">
        <x:f>'Цены'!G354</x:f>
      </x:c>
      <x:c r="Q42" s="14" t="str">
        <x:f>'Цены'!G355</x:f>
      </x:c>
      <x:c r="R42" s="14" t="str">
        <x:f>'Цены'!G356</x:f>
      </x:c>
      <x:c r="S42" s="14" t="str">
        <x:f>'Цены'!G357</x:f>
      </x:c>
      <x:c r="T42" s="2" t="n">
        <x:f>COUNT(J42:S42)</x:f>
        <x:v>0</x:v>
      </x:c>
      <x:c r="U42" s="2" t="str">
        <x:v>RPC: данные не загружены: 9; Ещё рано: 1</x:v>
      </x:c>
      <x:c r="V42" s="2" t="n">
        <x:v>447644347</x:v>
      </x:c>
      <x:c r="W42" s="2" t="n">
        <x:v>1029</x:v>
      </x:c>
      <x:c r="X42" s="15" t="n">
        <x:v>0.000050383</x:v>
      </x:c>
      <x:c r="Y42" s="2" t="str">
        <x:v>3eBAqqcrwjScgXWZ7ktHh1ABE3MPnvF8eQJB5D3Dzh1yAmWwkymmWUq3iJoLWErmEeJY3z2fmijPALwmZoqjGqSg</x:v>
      </x:c>
      <x:c r="Z42" s="2" t="str">
        <x:v>https://solscan.io/tx/3eBAqqcrwjScgXWZ7ktHh1ABE3MPnvF8eQJB5D3Dzh1yAmWwkymmWUq3iJoLWErmEeJY3z2fmijPALwmZoqjGqSg</x:v>
      </x:c>
      <x:c r="AA42" s="2" t="str">
        <x:v>Raydium CPMM: конфигурация и событие</x:v>
      </x:c>
      <x:c r="AB42" s="2" t="str">
        <x:v>ByKfqBGyHQj1hmEUouXfueLJEU1SHdJz3uMtd1yXGunS</x:v>
      </x:c>
    </x:row>
    <x:row r="43" ht="21" customHeight="1">
      <x:c r="A43" s="2" t="n">
        <x:v>36</x:v>
      </x:c>
      <x:c r="B43" s="9" t="n">
        <x:v>46281.96560185185</x:v>
      </x:c>
      <x:c r="C43" s="2" t="str">
        <x:v>Нулевой остаток</x:v>
      </x:c>
      <x:c r="D43" s="2" t="str">
        <x:v>7Q5vqMfVjx8kkWE19zfbG7M9NuoWUAKeWXMFXVqenwbQ</x:v>
      </x:c>
      <x:c r="E43" s="10" t="n">
        <x:v>2000</x:v>
      </x:c>
      <x:c r="F43" s="11" t="n">
        <x:v>16350499.711189</x:v>
      </x:c>
      <x:c r="G43" s="11" t="n">
        <x:v>0</x:v>
      </x:c>
      <x:c r="H43" s="12" t="n">
        <x:f>IF(AND(E43&gt;0,F43&gt;0),E43/F43,NA())</x:f>
        <x:v>0.00012232042049646695</x:v>
      </x:c>
      <x:c r="I43" s="13" t="n">
        <x:v>0.0125</x:v>
      </x:c>
      <x:c r="J43" s="14" t="str">
        <x:f>'Цены'!G358</x:f>
      </x:c>
      <x:c r="K43" s="14" t="str">
        <x:f>'Цены'!G359</x:f>
      </x:c>
      <x:c r="L43" s="14" t="str">
        <x:f>'Цены'!G360</x:f>
      </x:c>
      <x:c r="M43" s="14" t="str">
        <x:f>'Цены'!G361</x:f>
      </x:c>
      <x:c r="N43" s="14" t="str">
        <x:f>'Цены'!G362</x:f>
      </x:c>
      <x:c r="O43" s="14" t="str">
        <x:f>'Цены'!G363</x:f>
      </x:c>
      <x:c r="P43" s="14" t="str">
        <x:f>'Цены'!G364</x:f>
      </x:c>
      <x:c r="Q43" s="14" t="str">
        <x:f>'Цены'!G365</x:f>
      </x:c>
      <x:c r="R43" s="14" t="str">
        <x:f>'Цены'!G366</x:f>
      </x:c>
      <x:c r="S43" s="14" t="str">
        <x:f>'Цены'!G367</x:f>
      </x:c>
      <x:c r="T43" s="2" t="n">
        <x:f>COUNT(J43:S43)</x:f>
        <x:v>0</x:v>
      </x:c>
      <x:c r="U43" s="2" t="str">
        <x:v>RPC: данные не загружены: 9; Ещё рано: 1</x:v>
      </x:c>
      <x:c r="V43" s="2" t="n">
        <x:v>447644001</x:v>
      </x:c>
      <x:c r="W43" s="2" t="n">
        <x:v>349</x:v>
      </x:c>
      <x:c r="X43" s="15" t="n">
        <x:v>0.002652309</x:v>
      </x:c>
      <x:c r="Y43" s="2" t="str">
        <x:v>64RR43RRSzPXLQmPbjMNP9h8HhXkeEcPRvV5SYy9VxMUacpDzbeFzi83tYi1MS7iQURHSB7F54QPjaxJWn7MPcT7</x:v>
      </x:c>
      <x:c r="Z43" s="2" t="str">
        <x:v>https://solscan.io/tx/64RR43RRSzPXLQmPbjMNP9h8HhXkeEcPRvV5SYy9VxMUacpDzbeFzi83tYi1MS7iQURHSB7F54QPjaxJWn7MPcT7</x:v>
      </x:c>
      <x:c r="AA43" s="2" t="str">
        <x:v>Raydium CPMM: конфигурация и событие</x:v>
      </x:c>
      <x:c r="AB43" s="2" t="str">
        <x:v>2m1i2pSJ9uddDJvpESMWRFy9ckNVZ41HhWjLweFp2dqo</x:v>
      </x:c>
    </x:row>
    <x:row r="44" ht="21" customHeight="1">
      <x:c r="A44" s="2" t="n">
        <x:v>37</x:v>
      </x:c>
      <x:c r="B44" s="9" t="n">
        <x:v>46281.965208333335</x:v>
      </x:c>
      <x:c r="C44" s="2" t="str">
        <x:v>Нулевой остаток</x:v>
      </x:c>
      <x:c r="D44" s="2" t="str">
        <x:v>8JVtwRnDiDmjV2pSRTmqzPtXZyNdgUkpijrufgYJRARA</x:v>
      </x:c>
      <x:c r="E44" s="10" t="n">
        <x:v>1000</x:v>
      </x:c>
      <x:c r="F44" s="11" t="n">
        <x:v>30713657.37814596</x:v>
      </x:c>
      <x:c r="G44" s="11" t="n">
        <x:v>0</x:v>
      </x:c>
      <x:c r="H44" s="12" t="n">
        <x:f>IF(AND(E44&gt;0,F44&gt;0),E44/F44,NA())</x:f>
        <x:v>0.00003255880560520746</x:v>
      </x:c>
      <x:c r="I44" s="13" t="n">
        <x:v>0.010000000033131649</x:v>
      </x:c>
      <x:c r="J44" s="14" t="str">
        <x:f>'Цены'!G368</x:f>
      </x:c>
      <x:c r="K44" s="14" t="str">
        <x:f>'Цены'!G369</x:f>
      </x:c>
      <x:c r="L44" s="14" t="str">
        <x:f>'Цены'!G370</x:f>
      </x:c>
      <x:c r="M44" s="14" t="str">
        <x:f>'Цены'!G371</x:f>
      </x:c>
      <x:c r="N44" s="14" t="str">
        <x:f>'Цены'!G372</x:f>
      </x:c>
      <x:c r="O44" s="14" t="str">
        <x:f>'Цены'!G373</x:f>
      </x:c>
      <x:c r="P44" s="14" t="str">
        <x:f>'Цены'!G374</x:f>
      </x:c>
      <x:c r="Q44" s="14" t="str">
        <x:f>'Цены'!G375</x:f>
      </x:c>
      <x:c r="R44" s="14" t="str">
        <x:f>'Цены'!G376</x:f>
      </x:c>
      <x:c r="S44" s="14" t="str">
        <x:f>'Цены'!G377</x:f>
      </x:c>
      <x:c r="T44" s="2" t="n">
        <x:f>COUNT(J44:S44)</x:f>
        <x:v>0</x:v>
      </x:c>
      <x:c r="U44" s="2" t="str">
        <x:v>RPC: данные не загружены: 9; Ещё рано: 1</x:v>
      </x:c>
      <x:c r="V44" s="2" t="n">
        <x:v>447643891</x:v>
      </x:c>
      <x:c r="W44" s="2" t="n">
        <x:v>72</x:v>
      </x:c>
      <x:c r="X44" s="15" t="n">
        <x:v>0.000892515</x:v>
      </x:c>
      <x:c r="Y44" s="2" t="str">
        <x:v>5YnjbbAc9d4it12dBcM7MhXyWf7qyYsMVLcekEFpxhSw2WRjitLq5fgHpQEqj2apV2mJtucfMGYwLJUx6Uq3MaSz</x:v>
      </x:c>
      <x:c r="Z44" s="2" t="str">
        <x:v>https://solscan.io/tx/5YnjbbAc9d4it12dBcM7MhXyWf7qyYsMVLcekEFpxhSw2WRjitLq5fgHpQEqj2apV2mJtucfMGYwLJUx6Uq3MaSz</x:v>
      </x:c>
      <x:c r="AA44" s="2" t="str">
        <x:v>Raydium CLMM: фактическая комиссия</x:v>
      </x:c>
      <x:c r="AB44" s="2" t="str">
        <x:v>DXDvMEc5XjyNwDh883Fxw8S3WHfVPHfySHc8BLACyoNx</x:v>
      </x:c>
    </x:row>
    <x:row r="45" ht="21" customHeight="1">
      <x:c r="A45" s="2" t="n">
        <x:v>38</x:v>
      </x:c>
      <x:c r="B45" s="9" t="n">
        <x:v>46281.965</x:v>
      </x:c>
      <x:c r="C45" s="2" t="str">
        <x:v>Нулевой остаток</x:v>
      </x:c>
      <x:c r="D45" s="2" t="str">
        <x:v>8g8TYcAcR6mEtvZ7X1TcMNPGtcdhDR3az5FqJpwBfcui</x:v>
      </x:c>
      <x:c r="E45" s="10" t="n">
        <x:v>1500</x:v>
      </x:c>
      <x:c r="F45" s="11" t="n">
        <x:v>37611781.57089792</x:v>
      </x:c>
      <x:c r="G45" s="11" t="n">
        <x:v>0</x:v>
      </x:c>
      <x:c r="H45" s="12" t="n">
        <x:f>IF(AND(E45&gt;0,F45&gt;0),E45/F45,NA())</x:f>
        <x:v>0.00003988112068481817</x:v>
      </x:c>
      <x:c r="I45" s="13" t="n">
        <x:v>0.010000000527552427</x:v>
      </x:c>
      <x:c r="J45" s="14" t="str">
        <x:f>'Цены'!G378</x:f>
      </x:c>
      <x:c r="K45" s="14" t="str">
        <x:f>'Цены'!G379</x:f>
      </x:c>
      <x:c r="L45" s="14" t="str">
        <x:f>'Цены'!G380</x:f>
      </x:c>
      <x:c r="M45" s="14" t="str">
        <x:f>'Цены'!G381</x:f>
      </x:c>
      <x:c r="N45" s="14" t="str">
        <x:f>'Цены'!G382</x:f>
      </x:c>
      <x:c r="O45" s="14" t="str">
        <x:f>'Цены'!G383</x:f>
      </x:c>
      <x:c r="P45" s="14" t="str">
        <x:f>'Цены'!G384</x:f>
      </x:c>
      <x:c r="Q45" s="14" t="str">
        <x:f>'Цены'!G385</x:f>
      </x:c>
      <x:c r="R45" s="14" t="str">
        <x:f>'Цены'!G386</x:f>
      </x:c>
      <x:c r="S45" s="14" t="str">
        <x:f>'Цены'!G387</x:f>
      </x:c>
      <x:c r="T45" s="2" t="n">
        <x:f>COUNT(J45:S45)</x:f>
        <x:v>0</x:v>
      </x:c>
      <x:c r="U45" s="2" t="str">
        <x:v>RPC: данные не загружены: 9; Ещё рано: 1</x:v>
      </x:c>
      <x:c r="V45" s="2" t="n">
        <x:v>447643840</x:v>
      </x:c>
      <x:c r="W45" s="2" t="n">
        <x:v>1049</x:v>
      </x:c>
      <x:c r="X45" s="15" t="n">
        <x:v>0.00096937</x:v>
      </x:c>
      <x:c r="Y45" s="2" t="str">
        <x:v>2c7gu5qx1WXcccZumRtNTxeLgCVa7Hoa2o7x5gDWw9b4srYfzJib4HAvdkcAGz97b3KuUFargqSHMRtYXfhZCPWk</x:v>
      </x:c>
      <x:c r="Z45" s="2" t="str">
        <x:v>https://solscan.io/tx/2c7gu5qx1WXcccZumRtNTxeLgCVa7Hoa2o7x5gDWw9b4srYfzJib4HAvdkcAGz97b3KuUFargqSHMRtYXfhZCPWk</x:v>
      </x:c>
      <x:c r="AA45" s="2" t="str">
        <x:v>Raydium CLMM: фактическая комиссия</x:v>
      </x:c>
      <x:c r="AB45" s="2" t="str">
        <x:v>6U9HA9jU4wrus9zJB9guMWrVrvNwjGuBmq5ey2fajWRw</x:v>
      </x:c>
    </x:row>
    <x:row r="46" ht="21" customHeight="1">
      <x:c r="A46" s="2" t="n">
        <x:v>39</x:v>
      </x:c>
      <x:c r="B46" s="9" t="n">
        <x:v>46281.963530092595</x:v>
      </x:c>
      <x:c r="C46" s="2" t="str">
        <x:v>Докупка</x:v>
      </x:c>
      <x:c r="D46" s="2" t="str">
        <x:v>3bHzNdUb9Ko2EZyYvg2okPHQt1tJP8CFLZfkKrvBNtAc</x:v>
      </x:c>
      <x:c r="E46" s="10" t="n">
        <x:v>1066.127564</x:v>
      </x:c>
      <x:c r="F46" s="11" t="n">
        <x:v>1221623.236107</x:v>
      </x:c>
      <x:c r="G46" s="11" t="n">
        <x:v>21039137.076035</x:v>
      </x:c>
      <x:c r="H46" s="12" t="n">
        <x:f>IF(AND(E46&gt;0,F46&gt;0),E46/F46,NA())</x:f>
        <x:v>0.0008727138879557295</x:v>
      </x:c>
      <x:c r="I46" s="13" t="n">
        <x:v>0.0125</x:v>
      </x:c>
      <x:c r="J46" s="14" t="str">
        <x:f>'Цены'!G388</x:f>
      </x:c>
      <x:c r="K46" s="14" t="str">
        <x:f>'Цены'!G389</x:f>
      </x:c>
      <x:c r="L46" s="14" t="str">
        <x:f>'Цены'!G390</x:f>
      </x:c>
      <x:c r="M46" s="14" t="str">
        <x:f>'Цены'!G391</x:f>
      </x:c>
      <x:c r="N46" s="14" t="str">
        <x:f>'Цены'!G392</x:f>
      </x:c>
      <x:c r="O46" s="14" t="str">
        <x:f>'Цены'!G393</x:f>
      </x:c>
      <x:c r="P46" s="14" t="str">
        <x:f>'Цены'!G394</x:f>
      </x:c>
      <x:c r="Q46" s="14" t="str">
        <x:f>'Цены'!G395</x:f>
      </x:c>
      <x:c r="R46" s="14" t="str">
        <x:f>'Цены'!G396</x:f>
      </x:c>
      <x:c r="S46" s="14" t="str">
        <x:f>'Цены'!G397</x:f>
      </x:c>
      <x:c r="T46" s="2" t="n">
        <x:f>COUNT(J46:S46)</x:f>
        <x:v>0</x:v>
      </x:c>
      <x:c r="U46" s="2" t="str">
        <x:v>RPC: данные не загружены: 9; Ещё рано: 1</x:v>
      </x:c>
      <x:c r="V46" s="2" t="n">
        <x:v>447643440</x:v>
      </x:c>
      <x:c r="W46" s="2" t="n">
        <x:v>346</x:v>
      </x:c>
      <x:c r="X46" s="15" t="n">
        <x:v>0.000032462</x:v>
      </x:c>
      <x:c r="Y46" s="2" t="str">
        <x:v>3JRoJm6EnJfbCqLpa4vherkd4KB2wzUeWLSEPTxKNvv3i3NkCcmxfhm9hPv5Seo5Vi7mRq6sLgMPU6Rej4FsTB9W</x:v>
      </x:c>
      <x:c r="Z46" s="2" t="str">
        <x:v>https://solscan.io/tx/3JRoJm6EnJfbCqLpa4vherkd4KB2wzUeWLSEPTxKNvv3i3NkCcmxfhm9hPv5Seo5Vi7mRq6sLgMPU6Rej4FsTB9W</x:v>
      </x:c>
      <x:c r="AA46" s="2" t="str">
        <x:v>Raydium CPMM: конфигурация и событие</x:v>
      </x:c>
      <x:c r="AB46" s="2" t="str">
        <x:v>GdmoTDXi4NgHQFUeR2v6BDuCKQQbtCWiVt6vTHzohq2W</x:v>
      </x:c>
    </x:row>
    <x:row r="47" ht="21" customHeight="1">
      <x:c r="A47" s="2" t="n">
        <x:v>40</x:v>
      </x:c>
      <x:c r="B47" s="9" t="n">
        <x:v>46281.96140046296</x:v>
      </x:c>
      <x:c r="C47" s="2" t="str">
        <x:v>Докупка</x:v>
      </x:c>
      <x:c r="D47" s="2" t="str">
        <x:v>3uEVodfTeqLsBssjQ5VPEwwdsTwWCJGCd3FVyx7RUNVB</x:v>
      </x:c>
      <x:c r="E47" s="10" t="n">
        <x:v>1874.908776</x:v>
      </x:c>
      <x:c r="F47" s="11" t="n">
        <x:v>7296675.427494</x:v>
      </x:c>
      <x:c r="G47" s="11" t="n">
        <x:v>32004642.262228</x:v>
      </x:c>
      <x:c r="H47" s="12" t="n">
        <x:f>IF(AND(E47&gt;0,F47&gt;0),E47/F47,NA())</x:f>
        <x:v>0.0002569538407773095</x:v>
      </x:c>
      <x:c r="I47" s="13" t="n">
        <x:v>0.0125</x:v>
      </x:c>
      <x:c r="J47" s="14" t="str">
        <x:f>'Цены'!G398</x:f>
      </x:c>
      <x:c r="K47" s="14" t="str">
        <x:f>'Цены'!G399</x:f>
      </x:c>
      <x:c r="L47" s="14" t="str">
        <x:f>'Цены'!G400</x:f>
      </x:c>
      <x:c r="M47" s="14" t="str">
        <x:f>'Цены'!G401</x:f>
      </x:c>
      <x:c r="N47" s="14" t="str">
        <x:f>'Цены'!G402</x:f>
      </x:c>
      <x:c r="O47" s="14" t="str">
        <x:f>'Цены'!G403</x:f>
      </x:c>
      <x:c r="P47" s="14" t="str">
        <x:f>'Цены'!G404</x:f>
      </x:c>
      <x:c r="Q47" s="14" t="str">
        <x:f>'Цены'!G405</x:f>
      </x:c>
      <x:c r="R47" s="14" t="str">
        <x:f>'Цены'!G406</x:f>
      </x:c>
      <x:c r="S47" s="14" t="str">
        <x:f>'Цены'!G407</x:f>
      </x:c>
      <x:c r="T47" s="2" t="n">
        <x:f>COUNT(J47:S47)</x:f>
        <x:v>0</x:v>
      </x:c>
      <x:c r="U47" s="2" t="str">
        <x:v>RPC: данные не загружены: 9; Ещё рано: 1</x:v>
      </x:c>
      <x:c r="V47" s="2" t="n">
        <x:v>447642858</x:v>
      </x:c>
      <x:c r="W47" s="2" t="n">
        <x:v>142</x:v>
      </x:c>
      <x:c r="X47" s="15" t="n">
        <x:v>0.000027474</x:v>
      </x:c>
      <x:c r="Y47" s="2" t="str">
        <x:v>3W4YGooJiweQYnBa44ncSeDftHxsXJtzbXGYh4cmFYmNNpFdhQXWPkGW24MoFaxJpQKjcAW1GmsiXVpyT5ZgrXfS</x:v>
      </x:c>
      <x:c r="Z47" s="2" t="str">
        <x:v>https://solscan.io/tx/3W4YGooJiweQYnBa44ncSeDftHxsXJtzbXGYh4cmFYmNNpFdhQXWPkGW24MoFaxJpQKjcAW1GmsiXVpyT5ZgrXfS</x:v>
      </x:c>
      <x:c r="AA47" s="2" t="str">
        <x:v>Raydium CPMM: конфигурация и событие</x:v>
      </x:c>
      <x:c r="AB47" s="2" t="str">
        <x:v>5NVx3SjDrTHaGD3XPFWTtkLFvmVBwW8nFv3Ut1cHBqpo</x:v>
      </x:c>
    </x:row>
    <x:row r="48" ht="21" customHeight="1">
      <x:c r="A48" s="2" t="n">
        <x:v>41</x:v>
      </x:c>
      <x:c r="B48" s="9" t="n">
        <x:v>46281.96063657408</x:v>
      </x:c>
      <x:c r="C48" s="2" t="str">
        <x:v>Докупка</x:v>
      </x:c>
      <x:c r="D48" s="2" t="str">
        <x:v>6GmAFSYs4gk3FDao5FzzySQpPZaWsa4rUJHacpMpUNgx</x:v>
      </x:c>
      <x:c r="E48" s="10" t="n">
        <x:v>2500</x:v>
      </x:c>
      <x:c r="F48" s="11" t="n">
        <x:v>12719.636127761</x:v>
      </x:c>
      <x:c r="G48" s="11" t="n">
        <x:v>38719186.31751129</x:v>
      </x:c>
      <x:c r="H48" s="12" t="n">
        <x:f>IF(AND(E48&gt;0,F48&gt;0),E48/F48,NA())</x:f>
        <x:v>0.1965465029729642</x:v>
      </x:c>
      <x:c r="I48" s="13" t="n">
        <x:v>0.001520442028919736</x:v>
      </x:c>
      <x:c r="J48" s="14" t="str">
        <x:f>'Цены'!G408</x:f>
      </x:c>
      <x:c r="K48" s="14" t="str">
        <x:f>'Цены'!G409</x:f>
      </x:c>
      <x:c r="L48" s="14" t="str">
        <x:f>'Цены'!G410</x:f>
      </x:c>
      <x:c r="M48" s="14" t="str">
        <x:f>'Цены'!G411</x:f>
      </x:c>
      <x:c r="N48" s="14" t="str">
        <x:f>'Цены'!G412</x:f>
      </x:c>
      <x:c r="O48" s="14" t="str">
        <x:f>'Цены'!G413</x:f>
      </x:c>
      <x:c r="P48" s="14" t="str">
        <x:f>'Цены'!G414</x:f>
      </x:c>
      <x:c r="Q48" s="14" t="str">
        <x:f>'Цены'!G415</x:f>
      </x:c>
      <x:c r="R48" s="14" t="str">
        <x:f>'Цены'!G416</x:f>
      </x:c>
      <x:c r="S48" s="14" t="str">
        <x:f>'Цены'!G417</x:f>
      </x:c>
      <x:c r="T48" s="2" t="n">
        <x:f>COUNT(J48:S48)</x:f>
        <x:v>0</x:v>
      </x:c>
      <x:c r="U48" s="2" t="str">
        <x:v>RPC: данные не загружены: 9; Ещё рано: 1</x:v>
      </x:c>
      <x:c r="V48" s="2" t="n">
        <x:v>447642652</x:v>
      </x:c>
      <x:c r="W48" s="2" t="n">
        <x:v>1125</x:v>
      </x:c>
      <x:c r="X48" s="15" t="n">
        <x:v>0.002027176</x:v>
      </x:c>
      <x:c r="Y48" s="2" t="str">
        <x:v>3vRiFX2FoWpHMasEVVrUgcK5iX4XQv9iuK1i7Tm1rnNmAa5arv8ZNKWHEUizumhPrjvMPEKAQYedsJFx33N9nMgt</x:v>
      </x:c>
      <x:c r="Z48" s="2" t="str">
        <x:v>https://solscan.io/tx/3vRiFX2FoWpHMasEVVrUgcK5iX4XQv9iuK1i7Tm1rnNmAa5arv8ZNKWHEUizumhPrjvMPEKAQYedsJFx33N9nMgt</x:v>
      </x:c>
      <x:c r="AA48" s="2" t="str">
        <x:v>Meteora DLMM: фактическая комиссия</x:v>
      </x:c>
      <x:c r="AB48" s="2" t="str">
        <x:v>36SpkkrsnyUgjPC24KU993r8T3whkJaPgoEeAmbBj9uB</x:v>
      </x:c>
    </x:row>
    <x:row r="49" ht="21" customHeight="1">
      <x:c r="A49" s="2" t="n">
        <x:v>42</x:v>
      </x:c>
      <x:c r="B49" s="9" t="n">
        <x:v>46281.95914351852</x:v>
      </x:c>
      <x:c r="C49" s="2" t="str">
        <x:v>Нулевой остаток</x:v>
      </x:c>
      <x:c r="D49" s="2" t="str">
        <x:v>F8Sc8HoZvJcMrTY6vBsetTqGPv6XQmM2XgVAZo1sSTNK</x:v>
      </x:c>
      <x:c r="E49" s="10" t="n">
        <x:v>4820.732616</x:v>
      </x:c>
      <x:c r="F49" s="11" t="n">
        <x:v>17464137.895665</x:v>
      </x:c>
      <x:c r="G49" s="11" t="n">
        <x:v>0</x:v>
      </x:c>
      <x:c r="H49" s="12" t="n">
        <x:f>IF(AND(E49&gt;0,F49&gt;0),E49/F49,NA())</x:f>
        <x:v>0.00027603610580723923</x:v>
      </x:c>
      <x:c r="I49" s="13" t="n">
        <x:v>0.0125</x:v>
      </x:c>
      <x:c r="J49" s="14" t="str">
        <x:f>'Цены'!G418</x:f>
      </x:c>
      <x:c r="K49" s="14" t="str">
        <x:f>'Цены'!G419</x:f>
      </x:c>
      <x:c r="L49" s="14" t="str">
        <x:f>'Цены'!G420</x:f>
      </x:c>
      <x:c r="M49" s="14" t="str">
        <x:f>'Цены'!G421</x:f>
      </x:c>
      <x:c r="N49" s="14" t="str">
        <x:f>'Цены'!G422</x:f>
      </x:c>
      <x:c r="O49" s="14" t="str">
        <x:f>'Цены'!G423</x:f>
      </x:c>
      <x:c r="P49" s="14" t="str">
        <x:f>'Цены'!G424</x:f>
      </x:c>
      <x:c r="Q49" s="14" t="str">
        <x:f>'Цены'!G425</x:f>
      </x:c>
      <x:c r="R49" s="14" t="str">
        <x:f>'Цены'!G426</x:f>
      </x:c>
      <x:c r="S49" s="14" t="str">
        <x:f>'Цены'!G427</x:f>
      </x:c>
      <x:c r="T49" s="2" t="n">
        <x:f>COUNT(J49:S49)</x:f>
        <x:v>0</x:v>
      </x:c>
      <x:c r="U49" s="2" t="str">
        <x:v>RPC: данные не загружены: 9; Ещё рано: 1</x:v>
      </x:c>
      <x:c r="V49" s="2" t="n">
        <x:v>447642241</x:v>
      </x:c>
      <x:c r="W49" s="2" t="n">
        <x:v>794</x:v>
      </x:c>
      <x:c r="X49" s="15" t="n">
        <x:v>0.000013656</x:v>
      </x:c>
      <x:c r="Y49" s="2" t="str">
        <x:v>4vDJHzjiv5d4f5LbSvxoX3ZedCtvWfv3AacsisdZn9cjHyGRyQXCkhkKvUSXjK3KdRZiX73wtw7nXV7X3Y2zHyMq</x:v>
      </x:c>
      <x:c r="Z49" s="2" t="str">
        <x:v>https://solscan.io/tx/4vDJHzjiv5d4f5LbSvxoX3ZedCtvWfv3AacsisdZn9cjHyGRyQXCkhkKvUSXjK3KdRZiX73wtw7nXV7X3Y2zHyMq</x:v>
      </x:c>
      <x:c r="AA49" s="2" t="str">
        <x:v>Raydium CPMM: конфигурация и событие</x:v>
      </x:c>
      <x:c r="AB49" s="2" t="str">
        <x:v>BnkYfw796XXq9UQ9kMYoX9iqSgXnjw7sFCsCVWVDiCUa</x:v>
      </x:c>
    </x:row>
    <x:row r="50" ht="21" customHeight="1">
      <x:c r="A50" s="2" t="n">
        <x:v>43</x:v>
      </x:c>
      <x:c r="B50" s="9" t="n">
        <x:v>46281.74564814815</x:v>
      </x:c>
      <x:c r="C50" s="2" t="str">
        <x:v>Докупка</x:v>
      </x:c>
      <x:c r="D50" s="2" t="str">
        <x:v>8RNUw4N655VSrZKuhGdywhbSMDTrheguFPfxbpE2NZHQ</x:v>
      </x:c>
      <x:c r="E50" s="10" t="n">
        <x:v>507.371167</x:v>
      </x:c>
      <x:c r="F50" s="11" t="n">
        <x:v>48492.026213864</x:v>
      </x:c>
      <x:c r="G50" s="11" t="n">
        <x:v>50820770.88817585</x:v>
      </x:c>
      <x:c r="H50" s="12" t="n">
        <x:f>IF(AND(E50&gt;0,F50&gt;0),E50/F50,NA())</x:f>
        <x:v>0.01046298137269713</x:v>
      </x:c>
      <x:c r="I50" s="13" t="n">
        <x:v>0.010000000081183024</x:v>
      </x:c>
      <x:c r="J50" s="14" t="str">
        <x:f>'Цены'!G428</x:f>
      </x:c>
      <x:c r="K50" s="14" t="str">
        <x:f>'Цены'!G429</x:f>
      </x:c>
      <x:c r="L50" s="14" t="str">
        <x:f>'Цены'!G430</x:f>
      </x:c>
      <x:c r="M50" s="14" t="str">
        <x:f>'Цены'!G431</x:f>
      </x:c>
      <x:c r="N50" s="14" t="str">
        <x:f>'Цены'!G432</x:f>
      </x:c>
      <x:c r="O50" s="14" t="str">
        <x:f>'Цены'!G433</x:f>
      </x:c>
      <x:c r="P50" s="14" t="str">
        <x:f>'Цены'!G434</x:f>
      </x:c>
      <x:c r="Q50" s="14" t="str">
        <x:f>'Цены'!G435</x:f>
      </x:c>
      <x:c r="R50" s="14" t="str">
        <x:f>'Цены'!G436</x:f>
      </x:c>
      <x:c r="S50" s="14" t="str">
        <x:f>'Цены'!G437</x:f>
      </x:c>
      <x:c r="T50" s="2" t="n">
        <x:f>COUNT(J50:S50)</x:f>
        <x:v>0</x:v>
      </x:c>
      <x:c r="U50" s="2" t="str">
        <x:v>RPC: данные не загружены: 10</x:v>
      </x:c>
      <x:c r="V50" s="2" t="n">
        <x:v>447584250</x:v>
      </x:c>
      <x:c r="W50" s="2" t="n">
        <x:v>1354</x:v>
      </x:c>
      <x:c r="X50" s="15" t="n">
        <x:v>0.000049727</x:v>
      </x:c>
      <x:c r="Y50" s="2" t="str">
        <x:v>XMNDBRsDKyCdr369unARyYf82toqqzTv853R2KeV6BN8ieJFxmdocFBsoty7mAt7zqvMq2o3QwMzJ3YLJZThHUC</x:v>
      </x:c>
      <x:c r="Z50" s="2" t="str">
        <x:v>https://solscan.io/tx/XMNDBRsDKyCdr369unARyYf82toqqzTv853R2KeV6BN8ieJFxmdocFBsoty7mAt7zqvMq2o3QwMzJ3YLJZThHUC</x:v>
      </x:c>
      <x:c r="AA50" s="2" t="str">
        <x:v>Raydium CLMM: фактическая комиссия</x:v>
      </x:c>
      <x:c r="AB50" s="2" t="str">
        <x:v>Ad7pbBvVRNofo96WR6eHwmU2o4naZ6Lao1J98hW8a1TQ</x:v>
      </x:c>
    </x:row>
    <x:row r="51" ht="21" customHeight="1">
      <x:c r="A51" s="2" t="n">
        <x:v>44</x:v>
      </x:c>
      <x:c r="B51" s="9" t="n">
        <x:v>46281.745</x:v>
      </x:c>
      <x:c r="C51" s="2" t="str">
        <x:v>Докупка</x:v>
      </x:c>
      <x:c r="D51" s="2" t="str">
        <x:v>8RNUw4N655VSrZKuhGdywhbSMDTrheguFPfxbpE2NZHQ</x:v>
      </x:c>
      <x:c r="E51" s="10" t="n">
        <x:v>531.126164</x:v>
      </x:c>
      <x:c r="F51" s="11" t="n">
        <x:v>51024.706849983</x:v>
      </x:c>
      <x:c r="G51" s="11" t="n">
        <x:v>50769746.181325875</x:v>
      </x:c>
      <x:c r="H51" s="12" t="n">
        <x:f>IF(AND(E51&gt;0,F51&gt;0),E51/F51,NA())</x:f>
        <x:v>0.01040919579531454</x:v>
      </x:c>
      <x:c r="I51" s="13" t="n">
        <x:v>0.01000000004868201</x:v>
      </x:c>
      <x:c r="J51" s="14" t="str">
        <x:f>'Цены'!G438</x:f>
      </x:c>
      <x:c r="K51" s="14" t="str">
        <x:f>'Цены'!G439</x:f>
      </x:c>
      <x:c r="L51" s="14" t="str">
        <x:f>'Цены'!G440</x:f>
      </x:c>
      <x:c r="M51" s="14" t="str">
        <x:f>'Цены'!G441</x:f>
      </x:c>
      <x:c r="N51" s="14" t="str">
        <x:f>'Цены'!G442</x:f>
      </x:c>
      <x:c r="O51" s="14" t="str">
        <x:f>'Цены'!G443</x:f>
      </x:c>
      <x:c r="P51" s="14" t="str">
        <x:f>'Цены'!G444</x:f>
      </x:c>
      <x:c r="Q51" s="14" t="str">
        <x:f>'Цены'!G445</x:f>
      </x:c>
      <x:c r="R51" s="14" t="str">
        <x:f>'Цены'!G446</x:f>
      </x:c>
      <x:c r="S51" s="14" t="str">
        <x:f>'Цены'!G447</x:f>
      </x:c>
      <x:c r="T51" s="2" t="n">
        <x:f>COUNT(J51:S51)</x:f>
        <x:v>0</x:v>
      </x:c>
      <x:c r="U51" s="2" t="str">
        <x:v>RPC: данные не загружены: 10</x:v>
      </x:c>
      <x:c r="V51" s="2" t="n">
        <x:v>447584072</x:v>
      </x:c>
      <x:c r="W51" s="2" t="n">
        <x:v>827</x:v>
      </x:c>
      <x:c r="X51" s="15" t="n">
        <x:v>0.00002254</x:v>
      </x:c>
      <x:c r="Y51" s="2" t="str">
        <x:v>5N5KK2JyjzBAynicZefpDUXwgFe3puwP93Ztvp28cjThcQcAHoXLVZZ78aurxMeGtJA3W1eLCLaho4kfPgHSduSX</x:v>
      </x:c>
      <x:c r="Z51" s="2" t="str">
        <x:v>https://solscan.io/tx/5N5KK2JyjzBAynicZefpDUXwgFe3puwP93Ztvp28cjThcQcAHoXLVZZ78aurxMeGtJA3W1eLCLaho4kfPgHSduSX</x:v>
      </x:c>
      <x:c r="AA51" s="2" t="str">
        <x:v>Raydium CLMM: фактическая комиссия</x:v>
      </x:c>
      <x:c r="AB51" s="2" t="str">
        <x:v>Ad7pbBvVRNofo96WR6eHwmU2o4naZ6Lao1J98hW8a1TQ</x:v>
      </x:c>
    </x:row>
    <x:row r="52" ht="21" customHeight="1">
      <x:c r="A52" s="2" t="n">
        <x:v>45</x:v>
      </x:c>
      <x:c r="B52" s="9" t="n">
        <x:v>46281.74469907407</x:v>
      </x:c>
      <x:c r="C52" s="2" t="str">
        <x:v>Докупка</x:v>
      </x:c>
      <x:c r="D52" s="2" t="str">
        <x:v>6GmAFSYs4gk3FDao5FzzySQpPZaWsa4rUJHacpMpUNgx</x:v>
      </x:c>
      <x:c r="E52" s="10" t="n">
        <x:v>2500</x:v>
      </x:c>
      <x:c r="F52" s="11" t="n">
        <x:v>15966.220019068</x:v>
      </x:c>
      <x:c r="G52" s="11" t="n">
        <x:v>38700814.76778796</x:v>
      </x:c>
      <x:c r="H52" s="12" t="n">
        <x:f>IF(AND(E52&gt;0,F52&gt;0),E52/F52,NA())</x:f>
        <x:v>0.1565805805641111</x:v>
      </x:c>
      <x:c r="I52" s="13" t="n">
        <x:v>0.002527252805380285</x:v>
      </x:c>
      <x:c r="J52" s="14" t="str">
        <x:f>'Цены'!G448</x:f>
      </x:c>
      <x:c r="K52" s="14" t="str">
        <x:f>'Цены'!G449</x:f>
      </x:c>
      <x:c r="L52" s="14" t="str">
        <x:f>'Цены'!G450</x:f>
      </x:c>
      <x:c r="M52" s="14" t="str">
        <x:f>'Цены'!G451</x:f>
      </x:c>
      <x:c r="N52" s="14" t="str">
        <x:f>'Цены'!G452</x:f>
      </x:c>
      <x:c r="O52" s="14" t="str">
        <x:f>'Цены'!G453</x:f>
      </x:c>
      <x:c r="P52" s="14" t="str">
        <x:f>'Цены'!G454</x:f>
      </x:c>
      <x:c r="Q52" s="14" t="str">
        <x:f>'Цены'!G455</x:f>
      </x:c>
      <x:c r="R52" s="14" t="str">
        <x:f>'Цены'!G456</x:f>
      </x:c>
      <x:c r="S52" s="14" t="n">
        <x:f>'Цены'!G457</x:f>
        <x:v>0.4184491358719018</x:v>
      </x:c>
      <x:c r="T52" s="2" t="n">
        <x:f>COUNT(J52:S52)</x:f>
        <x:v>1</x:v>
      </x:c>
      <x:c r="U52" s="2" t="str">
        <x:v>RPC: данные не загружены: 9</x:v>
      </x:c>
      <x:c r="V52" s="2" t="n">
        <x:v>447583991</x:v>
      </x:c>
      <x:c r="W52" s="2" t="n">
        <x:v>510</x:v>
      </x:c>
      <x:c r="X52" s="15" t="n">
        <x:v>0.00007786</x:v>
      </x:c>
      <x:c r="Y52" s="2" t="str">
        <x:v>58HZo1gmDPxDnShA1N4WM7864Li6UQEpnGiyfC3htML53q53poU1qhBrnmQ1Tox33iBh6Un1AoHzaN1cLXhZc3i4</x:v>
      </x:c>
      <x:c r="Z52" s="2" t="str">
        <x:v>https://solscan.io/tx/58HZo1gmDPxDnShA1N4WM7864Li6UQEpnGiyfC3htML53q53poU1qhBrnmQ1Tox33iBh6Un1AoHzaN1cLXhZc3i4</x:v>
      </x:c>
      <x:c r="AA52" s="2" t="str">
        <x:v>Raydium CLMM: фактическая комиссия</x:v>
      </x:c>
      <x:c r="AB52" s="2" t="str">
        <x:v>G4G5SzkbLFMhoSgHiQNeyJFt75sSDsL1rD8LVyT5xZbU</x:v>
      </x:c>
    </x:row>
    <x:row r="53" ht="21" customHeight="1">
      <x:c r="A53" s="2" t="n">
        <x:v>46</x:v>
      </x:c>
      <x:c r="B53" s="9" t="n">
        <x:v>46281.74251157408</x:v>
      </x:c>
      <x:c r="C53" s="2" t="str">
        <x:v>Докупка</x:v>
      </x:c>
      <x:c r="D53" s="2" t="str">
        <x:v>6GmAFSYs4gk3FDao5FzzySQpPZaWsa4rUJHacpMpUNgx</x:v>
      </x:c>
      <x:c r="E53" s="10" t="n">
        <x:v>2500</x:v>
      </x:c>
      <x:c r="F53" s="11" t="n">
        <x:v>15810.717186897</x:v>
      </x:c>
      <x:c r="G53" s="11" t="n">
        <x:v>38685004.050601065</x:v>
      </x:c>
      <x:c r="H53" s="12" t="n">
        <x:f>IF(AND(E53&gt;0,F53&gt;0),E53/F53,NA())</x:f>
        <x:v>0.15812059443273416</x:v>
      </x:c>
      <x:c r="I53" s="13" t="n">
        <x:v>0.0020001251006166614</x:v>
      </x:c>
      <x:c r="J53" s="14" t="str">
        <x:f>'Цены'!G458</x:f>
      </x:c>
      <x:c r="K53" s="14" t="str">
        <x:f>'Цены'!G459</x:f>
      </x:c>
      <x:c r="L53" s="14" t="str">
        <x:f>'Цены'!G460</x:f>
      </x:c>
      <x:c r="M53" s="14" t="str">
        <x:f>'Цены'!G461</x:f>
      </x:c>
      <x:c r="N53" s="14" t="str">
        <x:f>'Цены'!G462</x:f>
      </x:c>
      <x:c r="O53" s="14" t="str">
        <x:f>'Цены'!G463</x:f>
      </x:c>
      <x:c r="P53" s="14" t="str">
        <x:f>'Цены'!G464</x:f>
      </x:c>
      <x:c r="Q53" s="14" t="str">
        <x:f>'Цены'!G465</x:f>
      </x:c>
      <x:c r="R53" s="14" t="str">
        <x:f>'Цены'!G466</x:f>
      </x:c>
      <x:c r="S53" s="14" t="str">
        <x:f>'Цены'!G467</x:f>
      </x:c>
      <x:c r="T53" s="2" t="n">
        <x:f>COUNT(J53:S53)</x:f>
        <x:v>0</x:v>
      </x:c>
      <x:c r="U53" s="2" t="str">
        <x:v>RPC: данные не загружены: 10</x:v>
      </x:c>
      <x:c r="V53" s="2" t="n">
        <x:v>447583397</x:v>
      </x:c>
      <x:c r="W53" s="2" t="n">
        <x:v>150</x:v>
      </x:c>
      <x:c r="X53" s="15" t="n">
        <x:v>0.002748313</x:v>
      </x:c>
      <x:c r="Y53" s="2" t="str">
        <x:v>wrxMLQ9hrgGf5qm3gXCUknQnJJPjMVQ1RMgsDEFfBqcyodXAN2dKFhrzYQLfsu6rFEn6dxNgn5VwkQWfDdnD5Uj</x:v>
      </x:c>
      <x:c r="Z53" s="2" t="str">
        <x:v>https://solscan.io/tx/wrxMLQ9hrgGf5qm3gXCUknQnJJPjMVQ1RMgsDEFfBqcyodXAN2dKFhrzYQLfsu6rFEn6dxNgn5VwkQWfDdnD5Uj</x:v>
      </x:c>
      <x:c r="AA53" s="2" t="str">
        <x:v>Meteora DLMM: фактическая комиссия</x:v>
      </x:c>
      <x:c r="AB53" s="2" t="str">
        <x:v>zxTpi4BtaWX3mgdAPoezkMD1hxx8CdeCfrqXMWvSCLX</x:v>
      </x:c>
    </x:row>
    <x:row r="54" ht="21" customHeight="1">
      <x:c r="A54" s="2" t="n">
        <x:v>47</x:v>
      </x:c>
      <x:c r="B54" s="9" t="n">
        <x:v>46281.736666666664</x:v>
      </x:c>
      <x:c r="C54" s="2" t="str">
        <x:v>Докупка</x:v>
      </x:c>
      <x:c r="D54" s="2" t="str">
        <x:v>6GmAFSYs4gk3FDao5FzzySQpPZaWsa4rUJHacpMpUNgx</x:v>
      </x:c>
      <x:c r="E54" s="10" t="n">
        <x:v>2000</x:v>
      </x:c>
      <x:c r="F54" s="11" t="n">
        <x:v>12603.689489562</x:v>
      </x:c>
      <x:c r="G54" s="11" t="n">
        <x:v>38670304.76466458</x:v>
      </x:c>
      <x:c r="H54" s="12" t="n">
        <x:f>IF(AND(E54&gt;0,F54&gt;0),E54/F54,NA())</x:f>
        <x:v>0.15868369350548825</x:v>
      </x:c>
      <x:c r="I54" s="13" t="n">
        <x:v>0.0025</x:v>
      </x:c>
      <x:c r="J54" s="14" t="str">
        <x:f>'Цены'!G468</x:f>
      </x:c>
      <x:c r="K54" s="14" t="str">
        <x:f>'Цены'!G469</x:f>
      </x:c>
      <x:c r="L54" s="14" t="str">
        <x:f>'Цены'!G470</x:f>
      </x:c>
      <x:c r="M54" s="14" t="str">
        <x:f>'Цены'!G471</x:f>
      </x:c>
      <x:c r="N54" s="14" t="str">
        <x:f>'Цены'!G472</x:f>
      </x:c>
      <x:c r="O54" s="14" t="str">
        <x:f>'Цены'!G473</x:f>
      </x:c>
      <x:c r="P54" s="14" t="str">
        <x:f>'Цены'!G474</x:f>
      </x:c>
      <x:c r="Q54" s="14" t="str">
        <x:f>'Цены'!G475</x:f>
      </x:c>
      <x:c r="R54" s="14" t="str">
        <x:f>'Цены'!G476</x:f>
      </x:c>
      <x:c r="S54" s="14" t="str">
        <x:f>'Цены'!G477</x:f>
      </x:c>
      <x:c r="T54" s="2" t="n">
        <x:f>COUNT(J54:S54)</x:f>
        <x:v>0</x:v>
      </x:c>
      <x:c r="U54" s="2" t="str">
        <x:v>RPC: данные не загружены: 10</x:v>
      </x:c>
      <x:c r="V54" s="2" t="n">
        <x:v>447581815</x:v>
      </x:c>
      <x:c r="W54" s="2" t="n">
        <x:v>53</x:v>
      </x:c>
      <x:c r="X54" s="15" t="n">
        <x:v>0.001773529</x:v>
      </x:c>
      <x:c r="Y54" s="2" t="str">
        <x:v>4ynTkBbdGgpyo2TKnZDK7WAE6nGKAyxMwqqJL3CdfH7XkwEztTgR8tdNZDkQcW2HE8rXT7Ac1RfQFdwGtfydcL8L</x:v>
      </x:c>
      <x:c r="Z54" s="2" t="str">
        <x:v>https://solscan.io/tx/4ynTkBbdGgpyo2TKnZDK7WAE6nGKAyxMwqqJL3CdfH7XkwEztTgR8tdNZDkQcW2HE8rXT7Ac1RfQFdwGtfydcL8L</x:v>
      </x:c>
      <x:c r="AA54" s="2" t="str">
        <x:v>Raydium CLMM: фактическая комиссия</x:v>
      </x:c>
      <x:c r="AB54" s="2" t="str">
        <x:v>EgB1PqsGFbj3u7jGfwwx5V9CVoc4BGjyfgnag7BJcQjB</x:v>
      </x:c>
    </x:row>
    <x:row r="55" ht="21" customHeight="1">
      <x:c r="A55" s="2" t="n">
        <x:v>48</x:v>
      </x:c>
      <x:c r="B55" s="9" t="n">
        <x:v>46281.73216435185</x:v>
      </x:c>
      <x:c r="C55" s="2" t="str">
        <x:v>Докупка</x:v>
      </x:c>
      <x:c r="D55" s="2" t="str">
        <x:v>6GmAFSYs4gk3FDao5FzzySQpPZaWsa4rUJHacpMpUNgx</x:v>
      </x:c>
      <x:c r="E55" s="10" t="n">
        <x:v>2000</x:v>
      </x:c>
      <x:c r="F55" s="11" t="n">
        <x:v>12551.386169379</x:v>
      </x:c>
      <x:c r="G55" s="11" t="n">
        <x:v>38657753.3784952</x:v>
      </x:c>
      <x:c r="H55" s="12" t="n">
        <x:f>IF(AND(E55&gt;0,F55&gt;0),E55/F55,NA())</x:f>
        <x:v>0.15934494987328982</x:v>
      </x:c>
      <x:c r="I55" s="13" t="n">
        <x:v>0.002000001060814554</x:v>
      </x:c>
      <x:c r="J55" s="14" t="str">
        <x:f>'Цены'!G478</x:f>
      </x:c>
      <x:c r="K55" s="14" t="str">
        <x:f>'Цены'!G479</x:f>
      </x:c>
      <x:c r="L55" s="14" t="str">
        <x:f>'Цены'!G480</x:f>
      </x:c>
      <x:c r="M55" s="14" t="str">
        <x:f>'Цены'!G481</x:f>
      </x:c>
      <x:c r="N55" s="14" t="str">
        <x:f>'Цены'!G482</x:f>
      </x:c>
      <x:c r="O55" s="14" t="str">
        <x:f>'Цены'!G483</x:f>
      </x:c>
      <x:c r="P55" s="14" t="str">
        <x:f>'Цены'!G484</x:f>
      </x:c>
      <x:c r="Q55" s="14" t="str">
        <x:f>'Цены'!G485</x:f>
      </x:c>
      <x:c r="R55" s="14" t="str">
        <x:f>'Цены'!G486</x:f>
      </x:c>
      <x:c r="S55" s="14" t="str">
        <x:f>'Цены'!G487</x:f>
      </x:c>
      <x:c r="T55" s="2" t="n">
        <x:f>COUNT(J55:S55)</x:f>
        <x:v>0</x:v>
      </x:c>
      <x:c r="U55" s="2" t="str">
        <x:v>RPC: данные не загружены: 10</x:v>
      </x:c>
      <x:c r="V55" s="2" t="n">
        <x:v>447580599</x:v>
      </x:c>
      <x:c r="W55" s="2" t="n">
        <x:v>347</x:v>
      </x:c>
      <x:c r="X55" s="15" t="n">
        <x:v>0.000037461</x:v>
      </x:c>
      <x:c r="Y55" s="2" t="str">
        <x:v>5udne4tBvYRWNqL1w1E6x96RavSxezMn5H8JeY9RdwnmAm82jTpgqF6e3RKqaCHhNTfDnXJKVabFTaifgJg7zjpL</x:v>
      </x:c>
      <x:c r="Z55" s="2" t="str">
        <x:v>https://solscan.io/tx/5udne4tBvYRWNqL1w1E6x96RavSxezMn5H8JeY9RdwnmAm82jTpgqF6e3RKqaCHhNTfDnXJKVabFTaifgJg7zjpL</x:v>
      </x:c>
      <x:c r="AA55" s="2" t="str">
        <x:v>Meteora DLMM: фактическая комиссия</x:v>
      </x:c>
      <x:c r="AB55" s="2" t="str">
        <x:v>zxTpi4BtaWX3mgdAPoezkMD1hxx8CdeCfrqXMWvSCLX</x:v>
      </x:c>
    </x:row>
    <x:row r="56" ht="21" customHeight="1">
      <x:c r="A56" s="2" t="n">
        <x:v>49</x:v>
      </x:c>
      <x:c r="B56" s="9" t="n">
        <x:v>46281.69037037037</x:v>
      </x:c>
      <x:c r="C56" s="2" t="str">
        <x:v>Докупка</x:v>
      </x:c>
      <x:c r="D56" s="2" t="str">
        <x:v>6GmAFSYs4gk3FDao5FzzySQpPZaWsa4rUJHacpMpUNgx</x:v>
      </x:c>
      <x:c r="E56" s="10" t="n">
        <x:v>2000</x:v>
      </x:c>
      <x:c r="F56" s="11" t="n">
        <x:v>11927.248496853</x:v>
      </x:c>
      <x:c r="G56" s="11" t="n">
        <x:v>38646225.21064222</x:v>
      </x:c>
      <x:c r="H56" s="12" t="n">
        <x:f>IF(AND(E56&gt;0,F56&gt;0),E56/F56,NA())</x:f>
        <x:v>0.16768326748014842</x:v>
      </x:c>
      <x:c r="I56" s="13" t="n">
        <x:v>0.0020000030580384007</x:v>
      </x:c>
      <x:c r="J56" s="14" t="str">
        <x:f>'Цены'!G488</x:f>
      </x:c>
      <x:c r="K56" s="14" t="str">
        <x:f>'Цены'!G489</x:f>
      </x:c>
      <x:c r="L56" s="14" t="str">
        <x:f>'Цены'!G490</x:f>
      </x:c>
      <x:c r="M56" s="14" t="str">
        <x:f>'Цены'!G491</x:f>
      </x:c>
      <x:c r="N56" s="14" t="str">
        <x:f>'Цены'!G492</x:f>
      </x:c>
      <x:c r="O56" s="14" t="str">
        <x:f>'Цены'!G493</x:f>
      </x:c>
      <x:c r="P56" s="14" t="str">
        <x:f>'Цены'!G494</x:f>
      </x:c>
      <x:c r="Q56" s="14" t="str">
        <x:f>'Цены'!G495</x:f>
      </x:c>
      <x:c r="R56" s="14" t="str">
        <x:f>'Цены'!G496</x:f>
      </x:c>
      <x:c r="S56" s="14" t="str">
        <x:f>'Цены'!G497</x:f>
      </x:c>
      <x:c r="T56" s="2" t="n">
        <x:f>COUNT(J56:S56)</x:f>
        <x:v>0</x:v>
      </x:c>
      <x:c r="U56" s="2" t="str">
        <x:v>RPC: данные не загружены: 10</x:v>
      </x:c>
      <x:c r="V56" s="2" t="n">
        <x:v>447569195</x:v>
      </x:c>
      <x:c r="W56" s="2" t="n">
        <x:v>615</x:v>
      </x:c>
      <x:c r="X56" s="15" t="n">
        <x:v>0.001628746</x:v>
      </x:c>
      <x:c r="Y56" s="2" t="str">
        <x:v>5eeCcLz92Xaia3ancsXXaRRStmacKho4cJzPri7nNkqWETkRQVmNvW2ZF186JCBHirSraADTCiixV4UXr63zYZ64</x:v>
      </x:c>
      <x:c r="Z56" s="2" t="str">
        <x:v>https://solscan.io/tx/5eeCcLz92Xaia3ancsXXaRRStmacKho4cJzPri7nNkqWETkRQVmNvW2ZF186JCBHirSraADTCiixV4UXr63zYZ64</x:v>
      </x:c>
      <x:c r="AA56" s="2" t="str">
        <x:v>Meteora DLMM: фактическая комиссия</x:v>
      </x:c>
      <x:c r="AB56" s="2" t="str">
        <x:v>zxTpi4BtaWX3mgdAPoezkMD1hxx8CdeCfrqXMWvSCLX</x:v>
      </x:c>
    </x:row>
    <x:row r="57" ht="21" customHeight="1">
      <x:c r="A57" s="2" t="n">
        <x:v>50</x:v>
      </x:c>
      <x:c r="B57" s="9" t="n">
        <x:v>46281.69008101852</x:v>
      </x:c>
      <x:c r="C57" s="2" t="str">
        <x:v>Докупка</x:v>
      </x:c>
      <x:c r="D57" s="2" t="str">
        <x:v>CFNRDaxFcvRwRSNnA5cHrCCr6AHhk9dNkHWpRUjNupFL</x:v>
      </x:c>
      <x:c r="E57" s="10" t="n">
        <x:v>882.270323</x:v>
      </x:c>
      <x:c r="F57" s="11" t="n">
        <x:v>222933.706995586</x:v>
      </x:c>
      <x:c r="G57" s="11" t="n">
        <x:v>17051173.999577176</x:v>
      </x:c>
      <x:c r="H57" s="12" t="n">
        <x:f>IF(AND(E57&gt;0,F57&gt;0),E57/F57,NA())</x:f>
        <x:v>0.003957545652876389</x:v>
      </x:c>
      <x:c r="I57" s="13" t="n">
        <x:v>0.010000001371117615</x:v>
      </x:c>
      <x:c r="J57" s="14" t="str">
        <x:f>'Цены'!G498</x:f>
      </x:c>
      <x:c r="K57" s="14" t="str">
        <x:f>'Цены'!G499</x:f>
      </x:c>
      <x:c r="L57" s="14" t="str">
        <x:f>'Цены'!G500</x:f>
      </x:c>
      <x:c r="M57" s="14" t="str">
        <x:f>'Цены'!G501</x:f>
      </x:c>
      <x:c r="N57" s="14" t="str">
        <x:f>'Цены'!G502</x:f>
      </x:c>
      <x:c r="O57" s="14" t="str">
        <x:f>'Цены'!G503</x:f>
      </x:c>
      <x:c r="P57" s="14" t="str">
        <x:f>'Цены'!G504</x:f>
      </x:c>
      <x:c r="Q57" s="14" t="str">
        <x:f>'Цены'!G505</x:f>
      </x:c>
      <x:c r="R57" s="14" t="str">
        <x:f>'Цены'!G506</x:f>
      </x:c>
      <x:c r="S57" s="14" t="str">
        <x:f>'Цены'!G507</x:f>
      </x:c>
      <x:c r="T57" s="2" t="n">
        <x:f>COUNT(J57:S57)</x:f>
        <x:v>0</x:v>
      </x:c>
      <x:c r="U57" s="2" t="str">
        <x:v>RPC: данные не загружены: 10</x:v>
      </x:c>
      <x:c r="V57" s="2" t="n">
        <x:v>447569121</x:v>
      </x:c>
      <x:c r="W57" s="2" t="n">
        <x:v>842</x:v>
      </x:c>
      <x:c r="X57" s="15" t="n">
        <x:v>0.000016968</x:v>
      </x:c>
      <x:c r="Y57" s="2" t="str">
        <x:v>RiWqCptjPMtX6uvSr5SXxifVTMWbfivW3JJxPUCm5o6dhyjAKp4XhUEeXJ2dupyZY3DzKs8nRahEFhjVuMsRuL6</x:v>
      </x:c>
      <x:c r="Z57" s="2" t="str">
        <x:v>https://solscan.io/tx/RiWqCptjPMtX6uvSr5SXxifVTMWbfivW3JJxPUCm5o6dhyjAKp4XhUEeXJ2dupyZY3DzKs8nRahEFhjVuMsRuL6</x:v>
      </x:c>
      <x:c r="AA57" s="2" t="str">
        <x:v>Raydium CLMM: фактическая комиссия</x:v>
      </x:c>
      <x:c r="AB57" s="2" t="str">
        <x:v>987VwvJZ5FRjWCY9ZwC2tRUGL8FbMT1aF4pUrT7XjPjD</x:v>
      </x:c>
    </x:row>
    <x:row r="58" ht="21" customHeight="1">
      <x:c r="A58" s="2" t="n">
        <x:v>51</x:v>
      </x:c>
      <x:c r="B58" s="9" t="n">
        <x:v>46281.68931712963</x:v>
      </x:c>
      <x:c r="C58" s="2" t="str">
        <x:v>Докупка</x:v>
      </x:c>
      <x:c r="D58" s="2" t="str">
        <x:v>HTmQz7My6MehV7bjhJ6jde8nDND1yvsz68d24LP7YgUQ</x:v>
      </x:c>
      <x:c r="E58" s="10" t="n">
        <x:v>1000</x:v>
      </x:c>
      <x:c r="F58" s="11" t="n">
        <x:v>271582.585568</x:v>
      </x:c>
      <x:c r="G58" s="11" t="n">
        <x:v>14707309.323906</x:v>
      </x:c>
      <x:c r="H58" s="12" t="n">
        <x:f>IF(AND(E58&gt;0,F58&gt;0),E58/F58,NA())</x:f>
        <x:v>0.0036821212152044107</x:v>
      </x:c>
      <x:c r="I58" s="13" t="n">
        <x:v>0.0125</x:v>
      </x:c>
      <x:c r="J58" s="14" t="str">
        <x:f>'Цены'!G508</x:f>
      </x:c>
      <x:c r="K58" s="14" t="str">
        <x:f>'Цены'!G509</x:f>
      </x:c>
      <x:c r="L58" s="14" t="str">
        <x:f>'Цены'!G510</x:f>
      </x:c>
      <x:c r="M58" s="14" t="str">
        <x:f>'Цены'!G511</x:f>
      </x:c>
      <x:c r="N58" s="14" t="str">
        <x:f>'Цены'!G512</x:f>
      </x:c>
      <x:c r="O58" s="14" t="str">
        <x:f>'Цены'!G513</x:f>
      </x:c>
      <x:c r="P58" s="14" t="str">
        <x:f>'Цены'!G514</x:f>
      </x:c>
      <x:c r="Q58" s="14" t="str">
        <x:f>'Цены'!G515</x:f>
      </x:c>
      <x:c r="R58" s="14" t="str">
        <x:f>'Цены'!G516</x:f>
      </x:c>
      <x:c r="S58" s="14" t="str">
        <x:f>'Цены'!G517</x:f>
      </x:c>
      <x:c r="T58" s="2" t="n">
        <x:f>COUNT(J58:S58)</x:f>
        <x:v>0</x:v>
      </x:c>
      <x:c r="U58" s="2" t="str">
        <x:v>RPC: данные не загружены: 10</x:v>
      </x:c>
      <x:c r="V58" s="2" t="n">
        <x:v>447568917</x:v>
      </x:c>
      <x:c r="W58" s="2" t="n">
        <x:v>696</x:v>
      </x:c>
      <x:c r="X58" s="15" t="n">
        <x:v>0.000036521</x:v>
      </x:c>
      <x:c r="Y58" s="2" t="str">
        <x:v>r4nbGEjQCzdYpR8BMan2EoiEa1xVDMyYzQa74bLfCDrjTmLASrPD4WME6SDuuAnguR9mDrVAbvh49x8VMzGLitp</x:v>
      </x:c>
      <x:c r="Z58" s="2" t="str">
        <x:v>https://solscan.io/tx/r4nbGEjQCzdYpR8BMan2EoiEa1xVDMyYzQa74bLfCDrjTmLASrPD4WME6SDuuAnguR9mDrVAbvh49x8VMzGLitp</x:v>
      </x:c>
      <x:c r="AA58" s="2" t="str">
        <x:v>Raydium CPMM: конфигурация и событие</x:v>
      </x:c>
      <x:c r="AB58" s="2" t="str">
        <x:v>6fNtUWWpf9VckoZXce7pFUyxA9wPRVPpe83txqdYFiCn</x:v>
      </x:c>
    </x:row>
    <x:row r="59" ht="21" customHeight="1">
      <x:c r="A59" s="2" t="n">
        <x:v>52</x:v>
      </x:c>
      <x:c r="B59" s="9" t="n">
        <x:v>46281.68916666666</x:v>
      </x:c>
      <x:c r="C59" s="2" t="str">
        <x:v>Докупка</x:v>
      </x:c>
      <x:c r="D59" s="2" t="str">
        <x:v>6GmAFSYs4gk3FDao5FzzySQpPZaWsa4rUJHacpMpUNgx</x:v>
      </x:c>
      <x:c r="E59" s="10" t="n">
        <x:v>2000</x:v>
      </x:c>
      <x:c r="F59" s="11" t="n">
        <x:v>11938.291385059</x:v>
      </x:c>
      <x:c r="G59" s="11" t="n">
        <x:v>38634286.919257164</x:v>
      </x:c>
      <x:c r="H59" s="12" t="n">
        <x:f>IF(AND(E59&gt;0,F59&gt;0),E59/F59,NA())</x:f>
        <x:v>0.1675281608977176</x:v>
      </x:c>
      <x:c r="I59" s="13" t="n">
        <x:v>0.0022426870394708534</x:v>
      </x:c>
      <x:c r="J59" s="14" t="str">
        <x:f>'Цены'!G518</x:f>
      </x:c>
      <x:c r="K59" s="14" t="str">
        <x:f>'Цены'!G519</x:f>
      </x:c>
      <x:c r="L59" s="14" t="str">
        <x:f>'Цены'!G520</x:f>
      </x:c>
      <x:c r="M59" s="14" t="str">
        <x:f>'Цены'!G521</x:f>
      </x:c>
      <x:c r="N59" s="14" t="str">
        <x:f>'Цены'!G522</x:f>
      </x:c>
      <x:c r="O59" s="14" t="str">
        <x:f>'Цены'!G523</x:f>
      </x:c>
      <x:c r="P59" s="14" t="str">
        <x:f>'Цены'!G524</x:f>
      </x:c>
      <x:c r="Q59" s="14" t="str">
        <x:f>'Цены'!G525</x:f>
      </x:c>
      <x:c r="R59" s="14" t="str">
        <x:f>'Цены'!G526</x:f>
      </x:c>
      <x:c r="S59" s="14" t="str">
        <x:f>'Цены'!G527</x:f>
      </x:c>
      <x:c r="T59" s="2" t="n">
        <x:f>COUNT(J59:S59)</x:f>
        <x:v>0</x:v>
      </x:c>
      <x:c r="U59" s="2" t="str">
        <x:v>RPC: данные не загружены: 10</x:v>
      </x:c>
      <x:c r="V59" s="2" t="n">
        <x:v>447568874</x:v>
      </x:c>
      <x:c r="W59" s="2" t="n">
        <x:v>971</x:v>
      </x:c>
      <x:c r="X59" s="15" t="n">
        <x:v>0.000031963</x:v>
      </x:c>
      <x:c r="Y59" s="2" t="str">
        <x:v>5oZQ1r77yNALzZnZG4bskEGrwid2UHd7kUnLag9mTFLTZQAvXf1wfvD8vycPoTzCdPBRWjxr5V4NQ1rrVaT8Ajfj</x:v>
      </x:c>
      <x:c r="Z59" s="2" t="str">
        <x:v>https://solscan.io/tx/5oZQ1r77yNALzZnZG4bskEGrwid2UHd7kUnLag9mTFLTZQAvXf1wfvD8vycPoTzCdPBRWjxr5V4NQ1rrVaT8Ajfj</x:v>
      </x:c>
      <x:c r="AA59" s="2" t="str">
        <x:v>Meteora DLMM: фактическая комиссия</x:v>
      </x:c>
      <x:c r="AB59" s="2" t="str">
        <x:v>zxTpi4BtaWX3mgdAPoezkMD1hxx8CdeCfrqXMWvSCLX</x:v>
      </x:c>
    </x:row>
    <x:row r="60" ht="21" customHeight="1">
      <x:c r="A60" s="2" t="n">
        <x:v>53</x:v>
      </x:c>
      <x:c r="B60" s="9" t="n">
        <x:v>46281.6862962963</x:v>
      </x:c>
      <x:c r="C60" s="2" t="str">
        <x:v>Докупка</x:v>
      </x:c>
      <x:c r="D60" s="2" t="str">
        <x:v>6GmAFSYs4gk3FDao5FzzySQpPZaWsa4rUJHacpMpUNgx</x:v>
      </x:c>
      <x:c r="E60" s="10" t="n">
        <x:v>2000</x:v>
      </x:c>
      <x:c r="F60" s="11" t="n">
        <x:v>11887.384216525</x:v>
      </x:c>
      <x:c r="G60" s="11" t="n">
        <x:v>38622399.53504064</x:v>
      </x:c>
      <x:c r="H60" s="12" t="n">
        <x:f>IF(AND(E60&gt;0,F60&gt;0),E60/F60,NA())</x:f>
        <x:v>0.16824559243401432</x:v>
      </x:c>
      <x:c r="I60" s="13" t="n">
        <x:v>0.0020000010142485723</x:v>
      </x:c>
      <x:c r="J60" s="14" t="str">
        <x:f>'Цены'!G528</x:f>
      </x:c>
      <x:c r="K60" s="14" t="str">
        <x:f>'Цены'!G529</x:f>
      </x:c>
      <x:c r="L60" s="14" t="str">
        <x:f>'Цены'!G530</x:f>
      </x:c>
      <x:c r="M60" s="14" t="str">
        <x:f>'Цены'!G531</x:f>
      </x:c>
      <x:c r="N60" s="14" t="str">
        <x:f>'Цены'!G532</x:f>
      </x:c>
      <x:c r="O60" s="14" t="str">
        <x:f>'Цены'!G533</x:f>
      </x:c>
      <x:c r="P60" s="14" t="str">
        <x:f>'Цены'!G534</x:f>
      </x:c>
      <x:c r="Q60" s="14" t="str">
        <x:f>'Цены'!G535</x:f>
      </x:c>
      <x:c r="R60" s="14" t="str">
        <x:f>'Цены'!G536</x:f>
      </x:c>
      <x:c r="S60" s="14" t="str">
        <x:f>'Цены'!G537</x:f>
      </x:c>
      <x:c r="T60" s="2" t="n">
        <x:f>COUNT(J60:S60)</x:f>
        <x:v>0</x:v>
      </x:c>
      <x:c r="U60" s="2" t="str">
        <x:v>RPC: данные не загружены: 10</x:v>
      </x:c>
      <x:c r="V60" s="2" t="n">
        <x:v>447568100</x:v>
      </x:c>
      <x:c r="W60" s="2" t="n">
        <x:v>1180</x:v>
      </x:c>
      <x:c r="X60" s="15" t="n">
        <x:v>0.000033993</x:v>
      </x:c>
      <x:c r="Y60" s="2" t="str">
        <x:v>2bQc1dPTqiuEeUi2PfG1HpcHhQCDZJBNcotXxrbdjMHQeU2oaYx8etiqHjhLuE5Y47hn8hxZSgvLXjkWNdHoQnpJ</x:v>
      </x:c>
      <x:c r="Z60" s="2" t="str">
        <x:v>https://solscan.io/tx/2bQc1dPTqiuEeUi2PfG1HpcHhQCDZJBNcotXxrbdjMHQeU2oaYx8etiqHjhLuE5Y47hn8hxZSgvLXjkWNdHoQnpJ</x:v>
      </x:c>
      <x:c r="AA60" s="2" t="str">
        <x:v>Meteora DLMM: фактическая комиссия</x:v>
      </x:c>
      <x:c r="AB60" s="2" t="str">
        <x:v>zxTpi4BtaWX3mgdAPoezkMD1hxx8CdeCfrqXMWvSCLX</x:v>
      </x:c>
    </x:row>
    <x:row r="61" ht="21" customHeight="1">
      <x:c r="A61" s="2" t="n">
        <x:v>54</x:v>
      </x:c>
      <x:c r="B61" s="9" t="n">
        <x:v>46281.686111111114</x:v>
      </x:c>
      <x:c r="C61" s="2" t="str">
        <x:v>Докупка</x:v>
      </x:c>
      <x:c r="D61" s="2" t="str">
        <x:v>HTmQz7My6MehV7bjhJ6jde8nDND1yvsz68d24LP7YgUQ</x:v>
      </x:c>
      <x:c r="E61" s="10" t="n">
        <x:v>1000</x:v>
      </x:c>
      <x:c r="F61" s="11" t="n">
        <x:v>299300.375955</x:v>
      </x:c>
      <x:c r="G61" s="11" t="n">
        <x:v>14408008.947951</x:v>
      </x:c>
      <x:c r="H61" s="12" t="n">
        <x:f>IF(AND(E61&gt;0,F61&gt;0),E61/F61,NA())</x:f>
        <x:v>0.003341125104869065</x:v>
      </x:c>
      <x:c r="I61" s="13" t="n">
        <x:v>0.0125</x:v>
      </x:c>
      <x:c r="J61" s="14" t="str">
        <x:f>'Цены'!G538</x:f>
      </x:c>
      <x:c r="K61" s="14" t="str">
        <x:f>'Цены'!G539</x:f>
      </x:c>
      <x:c r="L61" s="14" t="str">
        <x:f>'Цены'!G540</x:f>
      </x:c>
      <x:c r="M61" s="14" t="str">
        <x:f>'Цены'!G541</x:f>
      </x:c>
      <x:c r="N61" s="14" t="str">
        <x:f>'Цены'!G542</x:f>
      </x:c>
      <x:c r="O61" s="14" t="str">
        <x:f>'Цены'!G543</x:f>
      </x:c>
      <x:c r="P61" s="14" t="str">
        <x:f>'Цены'!G544</x:f>
      </x:c>
      <x:c r="Q61" s="14" t="str">
        <x:f>'Цены'!G545</x:f>
      </x:c>
      <x:c r="R61" s="14" t="str">
        <x:f>'Цены'!G546</x:f>
      </x:c>
      <x:c r="S61" s="14" t="str">
        <x:f>'Цены'!G547</x:f>
      </x:c>
      <x:c r="T61" s="2" t="n">
        <x:f>COUNT(J61:S61)</x:f>
        <x:v>0</x:v>
      </x:c>
      <x:c r="U61" s="2" t="str">
        <x:v>RPC: данные не загружены: 10</x:v>
      </x:c>
      <x:c r="V61" s="2" t="n">
        <x:v>447568053</x:v>
      </x:c>
      <x:c r="W61" s="2" t="n">
        <x:v>381</x:v>
      </x:c>
      <x:c r="X61" s="15" t="n">
        <x:v>0.000738256</x:v>
      </x:c>
      <x:c r="Y61" s="2" t="str">
        <x:v>4AaJAFzQUQTU5AZnSof1TuBeop1eWCwXAXGG5Xnbij2GPHVGTyapRMhpTNCiP7KzpzwqUBiB37cLhCfTyqvXcHwG</x:v>
      </x:c>
      <x:c r="Z61" s="2" t="str">
        <x:v>https://solscan.io/tx/4AaJAFzQUQTU5AZnSof1TuBeop1eWCwXAXGG5Xnbij2GPHVGTyapRMhpTNCiP7KzpzwqUBiB37cLhCfTyqvXcHwG</x:v>
      </x:c>
      <x:c r="AA61" s="2" t="str">
        <x:v>Raydium CPMM: конфигурация и событие</x:v>
      </x:c>
      <x:c r="AB61" s="2" t="str">
        <x:v>6fNtUWWpf9VckoZXce7pFUyxA9wPRVPpe83txqdYFiCn</x:v>
      </x:c>
    </x:row>
    <x:row r="62" ht="21" customHeight="1">
      <x:c r="A62" s="2" t="n">
        <x:v>55</x:v>
      </x:c>
      <x:c r="B62" s="9" t="n">
        <x:v>46281.68601851852</x:v>
      </x:c>
      <x:c r="C62" s="2" t="str">
        <x:v>Докупка</x:v>
      </x:c>
      <x:c r="D62" s="2" t="str">
        <x:v>8RNUw4N655VSrZKuhGdywhbSMDTrheguFPfxbpE2NZHQ</x:v>
      </x:c>
      <x:c r="E62" s="10" t="n">
        <x:v>2000</x:v>
      </x:c>
      <x:c r="F62" s="11" t="n">
        <x:v>216118.858718742</x:v>
      </x:c>
      <x:c r="G62" s="11" t="n">
        <x:v>50496707.55853704</x:v>
      </x:c>
      <x:c r="H62" s="12" t="n">
        <x:f>IF(AND(E62&gt;0,F62&gt;0),E62/F62,NA())</x:f>
        <x:v>0.009254166951727283</x:v>
      </x:c>
      <x:c r="I62" s="13" t="n">
        <x:v>0.010000000078473221</x:v>
      </x:c>
      <x:c r="J62" s="14" t="str">
        <x:f>'Цены'!G548</x:f>
      </x:c>
      <x:c r="K62" s="14" t="str">
        <x:f>'Цены'!G549</x:f>
      </x:c>
      <x:c r="L62" s="14" t="str">
        <x:f>'Цены'!G550</x:f>
      </x:c>
      <x:c r="M62" s="14" t="str">
        <x:f>'Цены'!G551</x:f>
      </x:c>
      <x:c r="N62" s="14" t="str">
        <x:f>'Цены'!G552</x:f>
      </x:c>
      <x:c r="O62" s="14" t="str">
        <x:f>'Цены'!G553</x:f>
      </x:c>
      <x:c r="P62" s="14" t="str">
        <x:f>'Цены'!G554</x:f>
      </x:c>
      <x:c r="Q62" s="14" t="str">
        <x:f>'Цены'!G555</x:f>
      </x:c>
      <x:c r="R62" s="14" t="str">
        <x:f>'Цены'!G556</x:f>
      </x:c>
      <x:c r="S62" s="14" t="str">
        <x:f>'Цены'!G557</x:f>
      </x:c>
      <x:c r="T62" s="2" t="n">
        <x:f>COUNT(J62:S62)</x:f>
        <x:v>0</x:v>
      </x:c>
      <x:c r="U62" s="2" t="str">
        <x:v>RPC: данные не загружены: 10</x:v>
      </x:c>
      <x:c r="V62" s="2" t="n">
        <x:v>447568024</x:v>
      </x:c>
      <x:c r="W62" s="2" t="n">
        <x:v>1169</x:v>
      </x:c>
      <x:c r="X62" s="15" t="n">
        <x:v>0.000019031</x:v>
      </x:c>
      <x:c r="Y62" s="2" t="str">
        <x:v>5TuMNeTsSLtNwXVD6XvoMx8xnJFUXdZCP3J2C1PTvX4zasnwm85SbAqkiDZGywjiGPiPsM7xBDPTdcRGQ1HoJTBS</x:v>
      </x:c>
      <x:c r="Z62" s="2" t="str">
        <x:v>https://solscan.io/tx/5TuMNeTsSLtNwXVD6XvoMx8xnJFUXdZCP3J2C1PTvX4zasnwm85SbAqkiDZGywjiGPiPsM7xBDPTdcRGQ1HoJTBS</x:v>
      </x:c>
      <x:c r="AA62" s="2" t="str">
        <x:v>Raydium CLMM: фактическая комиссия</x:v>
      </x:c>
      <x:c r="AB62" s="2" t="str">
        <x:v>Ad7pbBvVRNofo96WR6eHwmU2o4naZ6Lao1J98hW8a1TQ</x:v>
      </x:c>
    </x:row>
    <x:row r="63" ht="21" customHeight="1">
      <x:c r="A63" s="2" t="n">
        <x:v>56</x:v>
      </x:c>
      <x:c r="B63" s="9" t="n">
        <x:v>46281.68423611111</x:v>
      </x:c>
      <x:c r="C63" s="2" t="str">
        <x:v>Докупка</x:v>
      </x:c>
      <x:c r="D63" s="2" t="str">
        <x:v>6GmAFSYs4gk3FDao5FzzySQpPZaWsa4rUJHacpMpUNgx</x:v>
      </x:c>
      <x:c r="E63" s="10" t="n">
        <x:v>2500</x:v>
      </x:c>
      <x:c r="F63" s="11" t="n">
        <x:v>14791.044303794</x:v>
      </x:c>
      <x:c r="G63" s="11" t="n">
        <x:v>38607608.49073684</x:v>
      </x:c>
      <x:c r="H63" s="12" t="n">
        <x:f>IF(AND(E63&gt;0,F63&gt;0),E63/F63,NA())</x:f>
        <x:v>0.16902119611383581</x:v>
      </x:c>
      <x:c r="I63" s="13" t="n">
        <x:v>0.0020000000477827765</x:v>
      </x:c>
      <x:c r="J63" s="14" t="str">
        <x:f>'Цены'!G558</x:f>
      </x:c>
      <x:c r="K63" s="14" t="str">
        <x:f>'Цены'!G559</x:f>
      </x:c>
      <x:c r="L63" s="14" t="str">
        <x:f>'Цены'!G560</x:f>
      </x:c>
      <x:c r="M63" s="14" t="str">
        <x:f>'Цены'!G561</x:f>
      </x:c>
      <x:c r="N63" s="14" t="str">
        <x:f>'Цены'!G562</x:f>
      </x:c>
      <x:c r="O63" s="14" t="str">
        <x:f>'Цены'!G563</x:f>
      </x:c>
      <x:c r="P63" s="14" t="str">
        <x:f>'Цены'!G564</x:f>
      </x:c>
      <x:c r="Q63" s="14" t="str">
        <x:f>'Цены'!G565</x:f>
      </x:c>
      <x:c r="R63" s="14" t="str">
        <x:f>'Цены'!G566</x:f>
      </x:c>
      <x:c r="S63" s="14" t="str">
        <x:f>'Цены'!G567</x:f>
      </x:c>
      <x:c r="T63" s="2" t="n">
        <x:f>COUNT(J63:S63)</x:f>
        <x:v>0</x:v>
      </x:c>
      <x:c r="U63" s="2" t="str">
        <x:v>RPC: данные не загружены: 10</x:v>
      </x:c>
      <x:c r="V63" s="2" t="n">
        <x:v>447567541</x:v>
      </x:c>
      <x:c r="W63" s="2" t="n">
        <x:v>369</x:v>
      </x:c>
      <x:c r="X63" s="15" t="n">
        <x:v>0.001392274</x:v>
      </x:c>
      <x:c r="Y63" s="2" t="str">
        <x:v>3pukf1odZ9NZNDAcmoux1TwhLrJMB22t1Jwj4uWWwqp5UXave5V8qqPXkpA7xrFGViEGYMbiG2KxDWBXMuZifzGY</x:v>
      </x:c>
      <x:c r="Z63" s="2" t="str">
        <x:v>https://solscan.io/tx/3pukf1odZ9NZNDAcmoux1TwhLrJMB22t1Jwj4uWWwqp5UXave5V8qqPXkpA7xrFGViEGYMbiG2KxDWBXMuZifzGY</x:v>
      </x:c>
      <x:c r="AA63" s="2" t="str">
        <x:v>Meteora DLMM: фактическая комиссия</x:v>
      </x:c>
      <x:c r="AB63" s="2" t="str">
        <x:v>zxTpi4BtaWX3mgdAPoezkMD1hxx8CdeCfrqXMWvSCLX</x:v>
      </x:c>
    </x:row>
    <x:row r="64" ht="21" customHeight="1">
      <x:c r="A64" s="2" t="n">
        <x:v>57</x:v>
      </x:c>
      <x:c r="B64" s="9" t="n">
        <x:v>46281.67886574074</x:v>
      </x:c>
      <x:c r="C64" s="2" t="str">
        <x:v>Докупка</x:v>
      </x:c>
      <x:c r="D64" s="2" t="str">
        <x:v>6GmAFSYs4gk3FDao5FzzySQpPZaWsa4rUJHacpMpUNgx</x:v>
      </x:c>
      <x:c r="E64" s="10" t="n">
        <x:v>2500</x:v>
      </x:c>
      <x:c r="F64" s="11" t="n">
        <x:v>14791.92062239</x:v>
      </x:c>
      <x:c r="G64" s="11" t="n">
        <x:v>38592816.57011445</x:v>
      </x:c>
      <x:c r="H64" s="12" t="n">
        <x:f>IF(AND(E64&gt;0,F64&gt;0),E64/F64,NA())</x:f>
        <x:v>0.16901118278148677</x:v>
      </x:c>
      <x:c r="I64" s="13" t="n">
        <x:v>0.0020000000689539463</x:v>
      </x:c>
      <x:c r="J64" s="14" t="str">
        <x:f>'Цены'!G568</x:f>
      </x:c>
      <x:c r="K64" s="14" t="str">
        <x:f>'Цены'!G569</x:f>
      </x:c>
      <x:c r="L64" s="14" t="str">
        <x:f>'Цены'!G570</x:f>
      </x:c>
      <x:c r="M64" s="14" t="str">
        <x:f>'Цены'!G571</x:f>
      </x:c>
      <x:c r="N64" s="14" t="str">
        <x:f>'Цены'!G572</x:f>
      </x:c>
      <x:c r="O64" s="14" t="str">
        <x:f>'Цены'!G573</x:f>
      </x:c>
      <x:c r="P64" s="14" t="str">
        <x:f>'Цены'!G574</x:f>
      </x:c>
      <x:c r="Q64" s="14" t="str">
        <x:f>'Цены'!G575</x:f>
      </x:c>
      <x:c r="R64" s="14" t="str">
        <x:f>'Цены'!G576</x:f>
      </x:c>
      <x:c r="S64" s="14" t="str">
        <x:f>'Цены'!G577</x:f>
      </x:c>
      <x:c r="T64" s="2" t="n">
        <x:f>COUNT(J64:S64)</x:f>
        <x:v>0</x:v>
      </x:c>
      <x:c r="U64" s="2" t="str">
        <x:v>RPC: данные не загружены: 10</x:v>
      </x:c>
      <x:c r="V64" s="2" t="n">
        <x:v>447566075</x:v>
      </x:c>
      <x:c r="W64" s="2" t="n">
        <x:v>448</x:v>
      </x:c>
      <x:c r="X64" s="15" t="n">
        <x:v>0.000041372</x:v>
      </x:c>
      <x:c r="Y64" s="2" t="str">
        <x:v>2MqCpbv1Po23KbkQLKaZ7YrxF5LoGZ2he4APsnBcvrb12coHN7VKxpU2scAKzgeYhDBsUfZvsNoHDQG8fX2XPWGa</x:v>
      </x:c>
      <x:c r="Z64" s="2" t="str">
        <x:v>https://solscan.io/tx/2MqCpbv1Po23KbkQLKaZ7YrxF5LoGZ2he4APsnBcvrb12coHN7VKxpU2scAKzgeYhDBsUfZvsNoHDQG8fX2XPWGa</x:v>
      </x:c>
      <x:c r="AA64" s="2" t="str">
        <x:v>Meteora DLMM: фактическая комиссия</x:v>
      </x:c>
      <x:c r="AB64" s="2" t="str">
        <x:v>zxTpi4BtaWX3mgdAPoezkMD1hxx8CdeCfrqXMWvSCLX</x:v>
      </x:c>
    </x:row>
    <x:row r="65" ht="21" customHeight="1">
      <x:c r="A65" s="2" t="n">
        <x:v>58</x:v>
      </x:c>
      <x:c r="B65" s="9" t="n">
        <x:v>46281.677199074074</x:v>
      </x:c>
      <x:c r="C65" s="2" t="str">
        <x:v>Докупка</x:v>
      </x:c>
      <x:c r="D65" s="2" t="str">
        <x:v>6GmAFSYs4gk3FDao5FzzySQpPZaWsa4rUJHacpMpUNgx</x:v>
      </x:c>
      <x:c r="E65" s="10" t="n">
        <x:v>2500</x:v>
      </x:c>
      <x:c r="F65" s="11" t="n">
        <x:v>14790.586728897</x:v>
      </x:c>
      <x:c r="G65" s="11" t="n">
        <x:v>38578025.983385555</x:v>
      </x:c>
      <x:c r="H65" s="12" t="n">
        <x:f>IF(AND(E65&gt;0,F65&gt;0),E65/F65,NA())</x:f>
        <x:v>0.1690264251056142</x:v>
      </x:c>
      <x:c r="I65" s="13" t="n">
        <x:v>0.002000000071137226</x:v>
      </x:c>
      <x:c r="J65" s="14" t="str">
        <x:f>'Цены'!G578</x:f>
      </x:c>
      <x:c r="K65" s="14" t="str">
        <x:f>'Цены'!G579</x:f>
      </x:c>
      <x:c r="L65" s="14" t="str">
        <x:f>'Цены'!G580</x:f>
      </x:c>
      <x:c r="M65" s="14" t="str">
        <x:f>'Цены'!G581</x:f>
      </x:c>
      <x:c r="N65" s="14" t="str">
        <x:f>'Цены'!G582</x:f>
      </x:c>
      <x:c r="O65" s="14" t="str">
        <x:f>'Цены'!G583</x:f>
      </x:c>
      <x:c r="P65" s="14" t="str">
        <x:f>'Цены'!G584</x:f>
      </x:c>
      <x:c r="Q65" s="14" t="str">
        <x:f>'Цены'!G585</x:f>
      </x:c>
      <x:c r="R65" s="14" t="str">
        <x:f>'Цены'!G586</x:f>
      </x:c>
      <x:c r="S65" s="14" t="str">
        <x:f>'Цены'!G587</x:f>
      </x:c>
      <x:c r="T65" s="2" t="n">
        <x:f>COUNT(J65:S65)</x:f>
        <x:v>0</x:v>
      </x:c>
      <x:c r="U65" s="2" t="str">
        <x:v>RPC: данные не загружены: 10</x:v>
      </x:c>
      <x:c r="V65" s="2" t="n">
        <x:v>447565619</x:v>
      </x:c>
      <x:c r="W65" s="2" t="n">
        <x:v>649</x:v>
      </x:c>
      <x:c r="X65" s="15" t="n">
        <x:v>0.000040519</x:v>
      </x:c>
      <x:c r="Y65" s="2" t="str">
        <x:v>behiSQ1jsTKxTh5LfeRhpYZyfssyJW41FZuRqvbmw1uNe4Ge5tdDahLxohrKUVwShczK9wMA8aPifuYiMJJRyrQ</x:v>
      </x:c>
      <x:c r="Z65" s="2" t="str">
        <x:v>https://solscan.io/tx/behiSQ1jsTKxTh5LfeRhpYZyfssyJW41FZuRqvbmw1uNe4Ge5tdDahLxohrKUVwShczK9wMA8aPifuYiMJJRyrQ</x:v>
      </x:c>
      <x:c r="AA65" s="2" t="str">
        <x:v>Meteora DLMM: фактическая комиссия</x:v>
      </x:c>
      <x:c r="AB65" s="2" t="str">
        <x:v>zxTpi4BtaWX3mgdAPoezkMD1hxx8CdeCfrqXMWvSCLX</x:v>
      </x:c>
    </x:row>
    <x:row r="66" ht="21" customHeight="1">
      <x:c r="A66" s="2" t="n">
        <x:v>59</x:v>
      </x:c>
      <x:c r="B66" s="9" t="n">
        <x:v>46281.675833333335</x:v>
      </x:c>
      <x:c r="C66" s="2" t="str">
        <x:v>Докупка</x:v>
      </x:c>
      <x:c r="D66" s="2" t="str">
        <x:v>6GmAFSYs4gk3FDao5FzzySQpPZaWsa4rUJHacpMpUNgx</x:v>
      </x:c>
      <x:c r="E66" s="10" t="n">
        <x:v>2000</x:v>
      </x:c>
      <x:c r="F66" s="11" t="n">
        <x:v>11829.107254763</x:v>
      </x:c>
      <x:c r="G66" s="11" t="n">
        <x:v>38566196.87613079</x:v>
      </x:c>
      <x:c r="H66" s="12" t="n">
        <x:f>IF(AND(E66&gt;0,F66&gt;0),E66/F66,NA())</x:f>
        <x:v>0.1690744666462212</x:v>
      </x:c>
      <x:c r="I66" s="13" t="n">
        <x:v>0.0015582516332546007</x:v>
      </x:c>
      <x:c r="J66" s="14" t="str">
        <x:f>'Цены'!G588</x:f>
      </x:c>
      <x:c r="K66" s="14" t="str">
        <x:f>'Цены'!G589</x:f>
      </x:c>
      <x:c r="L66" s="14" t="str">
        <x:f>'Цены'!G590</x:f>
      </x:c>
      <x:c r="M66" s="14" t="str">
        <x:f>'Цены'!G591</x:f>
      </x:c>
      <x:c r="N66" s="14" t="str">
        <x:f>'Цены'!G592</x:f>
      </x:c>
      <x:c r="O66" s="14" t="str">
        <x:f>'Цены'!G593</x:f>
      </x:c>
      <x:c r="P66" s="14" t="str">
        <x:f>'Цены'!G594</x:f>
      </x:c>
      <x:c r="Q66" s="14" t="str">
        <x:f>'Цены'!G595</x:f>
      </x:c>
      <x:c r="R66" s="14" t="str">
        <x:f>'Цены'!G596</x:f>
      </x:c>
      <x:c r="S66" s="14" t="str">
        <x:f>'Цены'!G597</x:f>
      </x:c>
      <x:c r="T66" s="2" t="n">
        <x:f>COUNT(J66:S66)</x:f>
        <x:v>0</x:v>
      </x:c>
      <x:c r="U66" s="2" t="str">
        <x:v>RPC: данные не загружены: 10</x:v>
      </x:c>
      <x:c r="V66" s="2" t="n">
        <x:v>447565244</x:v>
      </x:c>
      <x:c r="W66" s="2" t="n">
        <x:v>1151</x:v>
      </x:c>
      <x:c r="X66" s="15" t="n">
        <x:v>0.002259059</x:v>
      </x:c>
      <x:c r="Y66" s="2" t="str">
        <x:v>4scPbdYnquDZ3HFNLgFEk4uW8fmknzmkvwJ55zYK6SRZbPAbajjs6pSPSrf4WAg489ozxjLfnbqpkLnxs5PhSzNW</x:v>
      </x:c>
      <x:c r="Z66" s="2" t="str">
        <x:v>https://solscan.io/tx/4scPbdYnquDZ3HFNLgFEk4uW8fmknzmkvwJ55zYK6SRZbPAbajjs6pSPSrf4WAg489ozxjLfnbqpkLnxs5PhSzNW</x:v>
      </x:c>
      <x:c r="AA66" s="2" t="str">
        <x:v>Meteora DLMM: фактическая комиссия</x:v>
      </x:c>
      <x:c r="AB66" s="2" t="str">
        <x:v>36SpkkrsnyUgjPC24KU993r8T3whkJaPgoEeAmbBj9uB</x:v>
      </x:c>
    </x:row>
    <x:row r="67" ht="21" customHeight="1">
      <x:c r="A67" s="2" t="n">
        <x:v>60</x:v>
      </x:c>
      <x:c r="B67" s="9" t="n">
        <x:v>46281.671956018516</x:v>
      </x:c>
      <x:c r="C67" s="2" t="str">
        <x:v>Докупка</x:v>
      </x:c>
      <x:c r="D67" s="2" t="str">
        <x:v>6GmAFSYs4gk3FDao5FzzySQpPZaWsa4rUJHacpMpUNgx</x:v>
      </x:c>
      <x:c r="E67" s="10" t="n">
        <x:v>613.520916</x:v>
      </x:c>
      <x:c r="F67" s="11" t="n">
        <x:v>3621.325503717</x:v>
      </x:c>
      <x:c r="G67" s="11" t="n">
        <x:v>38562555.518204</x:v>
      </x:c>
      <x:c r="H67" s="12" t="n">
        <x:f>IF(AND(E67&gt;0,F67&gt;0),E67/F67,NA())</x:f>
        <x:v>0.16941888139308936</x:v>
      </x:c>
      <x:c r="I67" s="13" t="n">
        <x:v>0.0015024627542692107</x:v>
      </x:c>
      <x:c r="J67" s="14" t="str">
        <x:f>'Цены'!G598</x:f>
      </x:c>
      <x:c r="K67" s="14" t="str">
        <x:f>'Цены'!G599</x:f>
      </x:c>
      <x:c r="L67" s="14" t="str">
        <x:f>'Цены'!G600</x:f>
      </x:c>
      <x:c r="M67" s="14" t="str">
        <x:f>'Цены'!G601</x:f>
      </x:c>
      <x:c r="N67" s="14" t="str">
        <x:f>'Цены'!G602</x:f>
      </x:c>
      <x:c r="O67" s="14" t="str">
        <x:f>'Цены'!G603</x:f>
      </x:c>
      <x:c r="P67" s="14" t="str">
        <x:f>'Цены'!G604</x:f>
      </x:c>
      <x:c r="Q67" s="14" t="str">
        <x:f>'Цены'!G605</x:f>
      </x:c>
      <x:c r="R67" s="14" t="str">
        <x:f>'Цены'!G606</x:f>
      </x:c>
      <x:c r="S67" s="14" t="str">
        <x:f>'Цены'!G607</x:f>
      </x:c>
      <x:c r="T67" s="2" t="n">
        <x:f>COUNT(J67:S67)</x:f>
        <x:v>0</x:v>
      </x:c>
      <x:c r="U67" s="2" t="str">
        <x:v>RPC: данные не загружены: 10</x:v>
      </x:c>
      <x:c r="V67" s="2" t="n">
        <x:v>447564178</x:v>
      </x:c>
      <x:c r="W67" s="2" t="n">
        <x:v>1115</x:v>
      </x:c>
      <x:c r="X67" s="15" t="n">
        <x:v>0.00084167</x:v>
      </x:c>
      <x:c r="Y67" s="2" t="str">
        <x:v>5Bgu3XQzSTqbT4fFzuR9jgSTsAgx2LXTPwS1V1MFMB1pumsZSs3M6GZ24TfL9d5xDKwUd2JYuRPa3JhEsLnZN5QT</x:v>
      </x:c>
      <x:c r="Z67" s="2" t="str">
        <x:v>https://solscan.io/tx/5Bgu3XQzSTqbT4fFzuR9jgSTsAgx2LXTPwS1V1MFMB1pumsZSs3M6GZ24TfL9d5xDKwUd2JYuRPa3JhEsLnZN5QT</x:v>
      </x:c>
      <x:c r="AA67" s="2" t="str">
        <x:v>Meteora DLMM: фактическая комиссия</x:v>
      </x:c>
      <x:c r="AB67" s="2" t="str">
        <x:v>36SpkkrsnyUgjPC24KU993r8T3whkJaPgoEeAmbBj9uB</x:v>
      </x:c>
    </x:row>
    <x:row r="68" ht="21" customHeight="1">
      <x:c r="A68" s="2" t="n">
        <x:v>61</x:v>
      </x:c>
      <x:c r="B68" s="9" t="n">
        <x:v>46281.65515046296</x:v>
      </x:c>
      <x:c r="C68" s="2" t="str">
        <x:v>Нулевой остаток</x:v>
      </x:c>
      <x:c r="D68" s="2" t="str">
        <x:v>C5nG72gUFJz6wewcgTPjcBmpSq4BwFLHy5j8heo9d7rZ</x:v>
      </x:c>
      <x:c r="E68" s="10" t="n">
        <x:v>3500</x:v>
      </x:c>
      <x:c r="F68" s="11" t="n">
        <x:v>28119068.722369507</x:v>
      </x:c>
      <x:c r="G68" s="11" t="n">
        <x:v>0</x:v>
      </x:c>
      <x:c r="H68" s="12" t="n">
        <x:f>IF(AND(E68&gt;0,F68&gt;0),E68/F68,NA())</x:f>
        <x:v>0.00012447069405309473</x:v>
      </x:c>
      <x:c r="I68" s="13" t="n">
        <x:v>0.04</x:v>
      </x:c>
      <x:c r="J68" s="14" t="str">
        <x:f>'Цены'!G608</x:f>
      </x:c>
      <x:c r="K68" s="14" t="str">
        <x:f>'Цены'!G609</x:f>
      </x:c>
      <x:c r="L68" s="14" t="str">
        <x:f>'Цены'!G610</x:f>
      </x:c>
      <x:c r="M68" s="14" t="str">
        <x:f>'Цены'!G611</x:f>
      </x:c>
      <x:c r="N68" s="14" t="str">
        <x:f>'Цены'!G612</x:f>
      </x:c>
      <x:c r="O68" s="14" t="str">
        <x:f>'Цены'!G613</x:f>
      </x:c>
      <x:c r="P68" s="14" t="str">
        <x:f>'Цены'!G614</x:f>
      </x:c>
      <x:c r="Q68" s="14" t="str">
        <x:f>'Цены'!G615</x:f>
      </x:c>
      <x:c r="R68" s="14" t="str">
        <x:f>'Цены'!G616</x:f>
      </x:c>
      <x:c r="S68" s="14" t="str">
        <x:f>'Цены'!G617</x:f>
      </x:c>
      <x:c r="T68" s="2" t="n">
        <x:f>COUNT(J68:S68)</x:f>
        <x:v>0</x:v>
      </x:c>
      <x:c r="U68" s="2" t="str">
        <x:v>RPC: данные не загружены: 10</x:v>
      </x:c>
      <x:c r="V68" s="2" t="n">
        <x:v>447559602</x:v>
      </x:c>
      <x:c r="W68" s="2" t="n">
        <x:v>1177</x:v>
      </x:c>
      <x:c r="X68" s="15" t="n">
        <x:v>0.001919113</x:v>
      </x:c>
      <x:c r="Y68" s="2" t="str">
        <x:v>4igVKnxJruDTaCz46AAYAGWYMpDPduJxHWtzNT4NCxK7GJrMoEfyvFHeSq8pvz4rZBAd2MMXnK3A8ZpCMkSZbMRN</x:v>
      </x:c>
      <x:c r="Z68" s="2" t="str">
        <x:v>https://solscan.io/tx/4igVKnxJruDTaCz46AAYAGWYMpDPduJxHWtzNT4NCxK7GJrMoEfyvFHeSq8pvz4rZBAd2MMXnK3A8ZpCMkSZbMRN</x:v>
      </x:c>
      <x:c r="AA68" s="2" t="str">
        <x:v>Raydium CLMM: конфигурация подтверждена</x:v>
      </x:c>
      <x:c r="AB68" s="2" t="str">
        <x:v>CJQVxjQRM1pcy7Gptbs1PcY3wTGGxvJ1q52RVzSvX7Dp</x:v>
      </x:c>
    </x:row>
    <x:row r="69" ht="21" customHeight="1">
      <x:c r="A69" s="2" t="n">
        <x:v>62</x:v>
      </x:c>
      <x:c r="B69" s="9" t="n">
        <x:v>46281.65157407407</x:v>
      </x:c>
      <x:c r="C69" s="2" t="str">
        <x:v>Докупка</x:v>
      </x:c>
      <x:c r="D69" s="2" t="str">
        <x:v>6GmAFSYs4gk3FDao5FzzySQpPZaWsa4rUJHacpMpUNgx</x:v>
      </x:c>
      <x:c r="E69" s="10" t="n">
        <x:v>4000</x:v>
      </x:c>
      <x:c r="F69" s="11" t="n">
        <x:v>24041.228153227</x:v>
      </x:c>
      <x:c r="G69" s="11" t="n">
        <x:v>38536392.88262727</x:v>
      </x:c>
      <x:c r="H69" s="12" t="n">
        <x:f>IF(AND(E69&gt;0,F69&gt;0),E69/F69,NA())</x:f>
        <x:v>0.1663808510324831</x:v>
      </x:c>
      <x:c r="I69" s="13" t="n">
        <x:v>0.0020744551148575625</x:v>
      </x:c>
      <x:c r="J69" s="14" t="str">
        <x:f>'Цены'!G618</x:f>
      </x:c>
      <x:c r="K69" s="14" t="str">
        <x:f>'Цены'!G619</x:f>
      </x:c>
      <x:c r="L69" s="14" t="str">
        <x:f>'Цены'!G620</x:f>
      </x:c>
      <x:c r="M69" s="14" t="str">
        <x:f>'Цены'!G621</x:f>
      </x:c>
      <x:c r="N69" s="14" t="str">
        <x:f>'Цены'!G622</x:f>
      </x:c>
      <x:c r="O69" s="14" t="str">
        <x:f>'Цены'!G623</x:f>
      </x:c>
      <x:c r="P69" s="14" t="str">
        <x:f>'Цены'!G624</x:f>
      </x:c>
      <x:c r="Q69" s="14" t="str">
        <x:f>'Цены'!G625</x:f>
      </x:c>
      <x:c r="R69" s="14" t="str">
        <x:f>'Цены'!G626</x:f>
      </x:c>
      <x:c r="S69" s="14" t="str">
        <x:f>'Цены'!G627</x:f>
      </x:c>
      <x:c r="T69" s="2" t="n">
        <x:f>COUNT(J69:S69)</x:f>
        <x:v>0</x:v>
      </x:c>
      <x:c r="U69" s="2" t="str">
        <x:v>RPC: данные не загружены: 10</x:v>
      </x:c>
      <x:c r="V69" s="2" t="n">
        <x:v>447558622</x:v>
      </x:c>
      <x:c r="W69" s="2" t="n">
        <x:v>302</x:v>
      </x:c>
      <x:c r="X69" s="15" t="n">
        <x:v>0.001955881</x:v>
      </x:c>
      <x:c r="Y69" s="2" t="str">
        <x:v>T6fmijbmTXQxuNMWokuCPwJLCuE2CbAM1cRnSYgLDQpEEEUt6TFgcDpCHZqUEmsxKbwBNmVjmA3SYjN5QPyc1od</x:v>
      </x:c>
      <x:c r="Z69" s="2" t="str">
        <x:v>https://solscan.io/tx/T6fmijbmTXQxuNMWokuCPwJLCuE2CbAM1cRnSYgLDQpEEEUt6TFgcDpCHZqUEmsxKbwBNmVjmA3SYjN5QPyc1od</x:v>
      </x:c>
      <x:c r="AA69" s="2" t="str">
        <x:v>Meteora DLMM: фактическая комиссия</x:v>
      </x:c>
      <x:c r="AB69" s="2" t="str">
        <x:v>zxTpi4BtaWX3mgdAPoezkMD1hxx8CdeCfrqXMWvSCLX</x:v>
      </x:c>
    </x:row>
    <x:row r="70" ht="21" customHeight="1">
      <x:c r="A70" s="2" t="n">
        <x:v>63</x:v>
      </x:c>
      <x:c r="B70" s="9" t="n">
        <x:v>46281.650509259256</x:v>
      </x:c>
      <x:c r="C70" s="2" t="str">
        <x:v>Докупка</x:v>
      </x:c>
      <x:c r="D70" s="2" t="str">
        <x:v>FbYYdLRX2sL5xzLGjdhfaWNhtpxqXBSoqvUY8o8W8eNF</x:v>
      </x:c>
      <x:c r="E70" s="10" t="n">
        <x:v>589.347299</x:v>
      </x:c>
      <x:c r="F70" s="11" t="n">
        <x:v>1306178.515742</x:v>
      </x:c>
      <x:c r="G70" s="11" t="n">
        <x:v>43325614.939822</x:v>
      </x:c>
      <x:c r="H70" s="12" t="n">
        <x:f>IF(AND(E70&gt;0,F70&gt;0),E70/F70,NA())</x:f>
        <x:v>0.0004511996575485012</x:v>
      </x:c>
      <x:c r="I70" s="13" t="n">
        <x:v>0.0125</x:v>
      </x:c>
      <x:c r="J70" s="14" t="str">
        <x:f>'Цены'!G628</x:f>
      </x:c>
      <x:c r="K70" s="14" t="str">
        <x:f>'Цены'!G629</x:f>
      </x:c>
      <x:c r="L70" s="14" t="str">
        <x:f>'Цены'!G630</x:f>
      </x:c>
      <x:c r="M70" s="14" t="str">
        <x:f>'Цены'!G631</x:f>
      </x:c>
      <x:c r="N70" s="14" t="str">
        <x:f>'Цены'!G632</x:f>
      </x:c>
      <x:c r="O70" s="14" t="str">
        <x:f>'Цены'!G633</x:f>
      </x:c>
      <x:c r="P70" s="14" t="str">
        <x:f>'Цены'!G634</x:f>
      </x:c>
      <x:c r="Q70" s="14" t="str">
        <x:f>'Цены'!G635</x:f>
      </x:c>
      <x:c r="R70" s="14" t="str">
        <x:f>'Цены'!G636</x:f>
      </x:c>
      <x:c r="S70" s="14" t="str">
        <x:f>'Цены'!G637</x:f>
      </x:c>
      <x:c r="T70" s="2" t="n">
        <x:f>COUNT(J70:S70)</x:f>
        <x:v>0</x:v>
      </x:c>
      <x:c r="U70" s="2" t="str">
        <x:v>RPC: данные не загружены: 10</x:v>
      </x:c>
      <x:c r="V70" s="2" t="n">
        <x:v>447558331</x:v>
      </x:c>
      <x:c r="W70" s="2" t="n">
        <x:v>984</x:v>
      </x:c>
      <x:c r="X70" s="15" t="n">
        <x:v>0.000681774</x:v>
      </x:c>
      <x:c r="Y70" s="2" t="str">
        <x:v>5LfWTgAMtjK4ec2BeFv4gdGigEGV26o6whEHptKvLFhTVZfC5jiC9y5Nvb3xwawYQL3zwB56cNuiAN7fn8pQyTob</x:v>
      </x:c>
      <x:c r="Z70" s="2" t="str">
        <x:v>https://solscan.io/tx/5LfWTgAMtjK4ec2BeFv4gdGigEGV26o6whEHptKvLFhTVZfC5jiC9y5Nvb3xwawYQL3zwB56cNuiAN7fn8pQyTob</x:v>
      </x:c>
      <x:c r="AA70" s="2" t="str">
        <x:v>Raydium CPMM: конфигурация и событие</x:v>
      </x:c>
      <x:c r="AB70" s="2" t="str">
        <x:v>6xRJbNNwpZxQ7kSgufpiJbKFvR2j3pGbRcHkKjnWphAC</x:v>
      </x:c>
    </x:row>
    <x:row r="71" ht="21" customHeight="1">
      <x:c r="A71" s="2" t="n">
        <x:v>64</x:v>
      </x:c>
      <x:c r="B71" s="9" t="n">
        <x:v>46281.65032407407</x:v>
      </x:c>
      <x:c r="C71" s="2" t="str">
        <x:v>Докупка</x:v>
      </x:c>
      <x:c r="D71" s="2" t="str">
        <x:v>8RVBk8vxLiUHueLUW1f4izFVqN3nWippLhkohKg6EGkS</x:v>
      </x:c>
      <x:c r="E71" s="10" t="n">
        <x:v>2000</x:v>
      </x:c>
      <x:c r="F71" s="11" t="n">
        <x:v>167085.620028</x:v>
      </x:c>
      <x:c r="G71" s="11" t="n">
        <x:v>885090.348466</x:v>
      </x:c>
      <x:c r="H71" s="12" t="n">
        <x:f>IF(AND(E71&gt;0,F71&gt;0),E71/F71,NA())</x:f>
        <x:v>0.011969910993326909</x:v>
      </x:c>
      <x:c r="I71" s="13" t="n">
        <x:v>0.0125</x:v>
      </x:c>
      <x:c r="J71" s="14" t="str">
        <x:f>'Цены'!G638</x:f>
      </x:c>
      <x:c r="K71" s="14" t="str">
        <x:f>'Цены'!G639</x:f>
      </x:c>
      <x:c r="L71" s="14" t="str">
        <x:f>'Цены'!G640</x:f>
      </x:c>
      <x:c r="M71" s="14" t="str">
        <x:f>'Цены'!G641</x:f>
      </x:c>
      <x:c r="N71" s="14" t="str">
        <x:f>'Цены'!G642</x:f>
      </x:c>
      <x:c r="O71" s="14" t="str">
        <x:f>'Цены'!G643</x:f>
      </x:c>
      <x:c r="P71" s="14" t="str">
        <x:f>'Цены'!G644</x:f>
      </x:c>
      <x:c r="Q71" s="14" t="str">
        <x:f>'Цены'!G645</x:f>
      </x:c>
      <x:c r="R71" s="14" t="str">
        <x:f>'Цены'!G646</x:f>
      </x:c>
      <x:c r="S71" s="14" t="str">
        <x:f>'Цены'!G647</x:f>
      </x:c>
      <x:c r="T71" s="2" t="n">
        <x:f>COUNT(J71:S71)</x:f>
        <x:v>0</x:v>
      </x:c>
      <x:c r="U71" s="2" t="str">
        <x:v>RPC: данные не загружены: 10</x:v>
      </x:c>
      <x:c r="V71" s="2" t="n">
        <x:v>447558282</x:v>
      </x:c>
      <x:c r="W71" s="2" t="n">
        <x:v>1144</x:v>
      </x:c>
      <x:c r="X71" s="15" t="n">
        <x:v>0.000024872</x:v>
      </x:c>
      <x:c r="Y71" s="2" t="str">
        <x:v>2JAJSTj7stNpixj5D4aSXuLXeLMDauHoLm4hVuEtjNmTHTvsCDRN5RigS4XPfYygMyGYhPXRRjKLq2w1Af97CuRs</x:v>
      </x:c>
      <x:c r="Z71" s="2" t="str">
        <x:v>https://solscan.io/tx/2JAJSTj7stNpixj5D4aSXuLXeLMDauHoLm4hVuEtjNmTHTvsCDRN5RigS4XPfYygMyGYhPXRRjKLq2w1Af97CuRs</x:v>
      </x:c>
      <x:c r="AA71" s="2" t="str">
        <x:v>Raydium CPMM: конфигурация и событие</x:v>
      </x:c>
      <x:c r="AB71" s="2" t="str">
        <x:v>BUVzsLLLG7GWoyJVoU31pXiBveazA6GXTavZ9VD3CwS9</x:v>
      </x:c>
    </x:row>
    <x:row r="72" ht="21" customHeight="1">
      <x:c r="A72" s="2" t="n">
        <x:v>65</x:v>
      </x:c>
      <x:c r="B72" s="9" t="n">
        <x:v>46281.6459375</x:v>
      </x:c>
      <x:c r="C72" s="2" t="str">
        <x:v>Докупка</x:v>
      </x:c>
      <x:c r="D72" s="2" t="str">
        <x:v>6GmAFSYs4gk3FDao5FzzySQpPZaWsa4rUJHacpMpUNgx</x:v>
      </x:c>
      <x:c r="E72" s="10" t="n">
        <x:v>2000</x:v>
      </x:c>
      <x:c r="F72" s="11" t="n">
        <x:v>11892.831661848</x:v>
      </x:c>
      <x:c r="G72" s="11" t="n">
        <x:v>38521609.950642854</x:v>
      </x:c>
      <x:c r="H72" s="12" t="n">
        <x:f>IF(AND(E72&gt;0,F72&gt;0),E72/F72,NA())</x:f>
        <x:v>0.16816852847719738</x:v>
      </x:c>
      <x:c r="I72" s="13" t="n">
        <x:v>0.0020079974023618067</x:v>
      </x:c>
      <x:c r="J72" s="14" t="str">
        <x:f>'Цены'!G648</x:f>
      </x:c>
      <x:c r="K72" s="14" t="str">
        <x:f>'Цены'!G649</x:f>
      </x:c>
      <x:c r="L72" s="14" t="str">
        <x:f>'Цены'!G650</x:f>
      </x:c>
      <x:c r="M72" s="14" t="str">
        <x:f>'Цены'!G651</x:f>
      </x:c>
      <x:c r="N72" s="14" t="str">
        <x:f>'Цены'!G652</x:f>
      </x:c>
      <x:c r="O72" s="14" t="str">
        <x:f>'Цены'!G653</x:f>
      </x:c>
      <x:c r="P72" s="14" t="str">
        <x:f>'Цены'!G654</x:f>
      </x:c>
      <x:c r="Q72" s="14" t="str">
        <x:f>'Цены'!G655</x:f>
      </x:c>
      <x:c r="R72" s="14" t="str">
        <x:f>'Цены'!G656</x:f>
      </x:c>
      <x:c r="S72" s="14" t="str">
        <x:f>'Цены'!G657</x:f>
      </x:c>
      <x:c r="T72" s="2" t="n">
        <x:f>COUNT(J72:S72)</x:f>
        <x:v>0</x:v>
      </x:c>
      <x:c r="U72" s="2" t="str">
        <x:v>RPC: данные не загружены: 10</x:v>
      </x:c>
      <x:c r="V72" s="2" t="n">
        <x:v>447557081</x:v>
      </x:c>
      <x:c r="W72" s="2" t="n">
        <x:v>1249</x:v>
      </x:c>
      <x:c r="X72" s="15" t="n">
        <x:v>0.002263532</x:v>
      </x:c>
      <x:c r="Y72" s="2" t="str">
        <x:v>hpySqSYLdS6mrWyQJUEpZHj91xuxxWKsRdifv9zr5UCkhCWthSPwgBKLkEMdoNc5FuYDAVxmHkUDZtM1cBnCvqm</x:v>
      </x:c>
      <x:c r="Z72" s="2" t="str">
        <x:v>https://solscan.io/tx/hpySqSYLdS6mrWyQJUEpZHj91xuxxWKsRdifv9zr5UCkhCWthSPwgBKLkEMdoNc5FuYDAVxmHkUDZtM1cBnCvqm</x:v>
      </x:c>
      <x:c r="AA72" s="2" t="str">
        <x:v>Meteora DLMM: фактическая комиссия</x:v>
      </x:c>
      <x:c r="AB72" s="2" t="str">
        <x:v>zxTpi4BtaWX3mgdAPoezkMD1hxx8CdeCfrqXMWvSCLX</x:v>
      </x:c>
    </x:row>
    <x:row r="73" ht="21" customHeight="1">
      <x:c r="A73" s="2" t="n">
        <x:v>66</x:v>
      </x:c>
      <x:c r="B73" s="9" t="n">
        <x:v>46281.64482638889</x:v>
      </x:c>
      <x:c r="C73" s="2" t="str">
        <x:v>Нулевой остаток</x:v>
      </x:c>
      <x:c r="D73" s="2" t="str">
        <x:v>9GEUA6pXNmf1c8nujWRoJDq17K8gfMyWBNp5d9cfw8xG</x:v>
      </x:c>
      <x:c r="E73" s="10" t="n">
        <x:v>2500</x:v>
      </x:c>
      <x:c r="F73" s="11" t="n">
        <x:v>18707265.763948</x:v>
      </x:c>
      <x:c r="G73" s="11" t="n">
        <x:v>0</x:v>
      </x:c>
      <x:c r="H73" s="12" t="n">
        <x:f>IF(AND(E73&gt;0,F73&gt;0),E73/F73,NA())</x:f>
        <x:v>0.00013363791542524156</x:v>
      </x:c>
      <x:c r="I73" s="13" t="n">
        <x:v>0.0125</x:v>
      </x:c>
      <x:c r="J73" s="14" t="str">
        <x:f>'Цены'!G658</x:f>
      </x:c>
      <x:c r="K73" s="14" t="str">
        <x:f>'Цены'!G659</x:f>
      </x:c>
      <x:c r="L73" s="14" t="str">
        <x:f>'Цены'!G660</x:f>
      </x:c>
      <x:c r="M73" s="14" t="str">
        <x:f>'Цены'!G661</x:f>
      </x:c>
      <x:c r="N73" s="14" t="str">
        <x:f>'Цены'!G662</x:f>
      </x:c>
      <x:c r="O73" s="14" t="str">
        <x:f>'Цены'!G663</x:f>
      </x:c>
      <x:c r="P73" s="14" t="str">
        <x:f>'Цены'!G664</x:f>
      </x:c>
      <x:c r="Q73" s="14" t="str">
        <x:f>'Цены'!G665</x:f>
      </x:c>
      <x:c r="R73" s="14" t="str">
        <x:f>'Цены'!G666</x:f>
      </x:c>
      <x:c r="S73" s="14" t="str">
        <x:f>'Цены'!G667</x:f>
      </x:c>
      <x:c r="T73" s="2" t="n">
        <x:f>COUNT(J73:S73)</x:f>
        <x:v>0</x:v>
      </x:c>
      <x:c r="U73" s="2" t="str">
        <x:v>RPC: данные не загружены: 10</x:v>
      </x:c>
      <x:c r="V73" s="2" t="n">
        <x:v>447556778</x:v>
      </x:c>
      <x:c r="W73" s="2" t="n">
        <x:v>492</x:v>
      </x:c>
      <x:c r="X73" s="15" t="n">
        <x:v>0.001914569</x:v>
      </x:c>
      <x:c r="Y73" s="2" t="str">
        <x:v>2gdgnsNpGDPbAfpvcBPK4x76s148Ahc4wXrubtRor2BwpAv6ngebFnVaEQ2AUCqYkAkbuSiUeLpg9Ujey3snLAre</x:v>
      </x:c>
      <x:c r="Z73" s="2" t="str">
        <x:v>https://solscan.io/tx/2gdgnsNpGDPbAfpvcBPK4x76s148Ahc4wXrubtRor2BwpAv6ngebFnVaEQ2AUCqYkAkbuSiUeLpg9Ujey3snLAre</x:v>
      </x:c>
      <x:c r="AA73" s="2" t="str">
        <x:v>Raydium CPMM: конфигурация и событие</x:v>
      </x:c>
      <x:c r="AB73" s="2" t="str">
        <x:v>AJjEj8KKGFHQCE3XrfyR6atGhnPkzVnkBiLkbayHhZ8h</x:v>
      </x:c>
    </x:row>
    <x:row r="74" ht="21" customHeight="1">
      <x:c r="A74" s="2" t="n">
        <x:v>67</x:v>
      </x:c>
      <x:c r="B74" s="9" t="n">
        <x:v>46281.63980324074</x:v>
      </x:c>
      <x:c r="C74" s="2" t="str">
        <x:v>Докупка</x:v>
      </x:c>
      <x:c r="D74" s="2" t="str">
        <x:v>6GmAFSYs4gk3FDao5FzzySQpPZaWsa4rUJHacpMpUNgx</x:v>
      </x:c>
      <x:c r="E74" s="10" t="n">
        <x:v>2000</x:v>
      </x:c>
      <x:c r="F74" s="11" t="n">
        <x:v>11959.432848405</x:v>
      </x:c>
      <x:c r="G74" s="11" t="n">
        <x:v>38509519.84252273</x:v>
      </x:c>
      <x:c r="H74" s="12" t="n">
        <x:f>IF(AND(E74&gt;0,F74&gt;0),E74/F74,NA())</x:f>
        <x:v>0.16723201052688172</x:v>
      </x:c>
      <x:c r="I74" s="13" t="n">
        <x:v>0.002000000194208865</x:v>
      </x:c>
      <x:c r="J74" s="14" t="str">
        <x:f>'Цены'!G668</x:f>
      </x:c>
      <x:c r="K74" s="14" t="str">
        <x:f>'Цены'!G669</x:f>
      </x:c>
      <x:c r="L74" s="14" t="str">
        <x:f>'Цены'!G670</x:f>
      </x:c>
      <x:c r="M74" s="14" t="str">
        <x:f>'Цены'!G671</x:f>
      </x:c>
      <x:c r="N74" s="14" t="str">
        <x:f>'Цены'!G672</x:f>
      </x:c>
      <x:c r="O74" s="14" t="str">
        <x:f>'Цены'!G673</x:f>
      </x:c>
      <x:c r="P74" s="14" t="str">
        <x:f>'Цены'!G674</x:f>
      </x:c>
      <x:c r="Q74" s="14" t="str">
        <x:f>'Цены'!G675</x:f>
      </x:c>
      <x:c r="R74" s="14" t="str">
        <x:f>'Цены'!G676</x:f>
      </x:c>
      <x:c r="S74" s="14" t="str">
        <x:f>'Цены'!G677</x:f>
      </x:c>
      <x:c r="T74" s="2" t="n">
        <x:f>COUNT(J74:S74)</x:f>
        <x:v>0</x:v>
      </x:c>
      <x:c r="U74" s="2" t="str">
        <x:v>RPC: данные не загружены: 10</x:v>
      </x:c>
      <x:c r="V74" s="2" t="n">
        <x:v>447555395</x:v>
      </x:c>
      <x:c r="W74" s="2" t="n">
        <x:v>923</x:v>
      </x:c>
      <x:c r="X74" s="15" t="n">
        <x:v>0.000315142</x:v>
      </x:c>
      <x:c r="Y74" s="2" t="str">
        <x:v>3D4nBEkygMqoqVfScH6BqU6khQK6WTnaDR8uyWFqjpS1Sque72GbdbVL5pcdwd7cUw1Gh9e6bYUh7m4QL2VF4edD</x:v>
      </x:c>
      <x:c r="Z74" s="2" t="str">
        <x:v>https://solscan.io/tx/3D4nBEkygMqoqVfScH6BqU6khQK6WTnaDR8uyWFqjpS1Sque72GbdbVL5pcdwd7cUw1Gh9e6bYUh7m4QL2VF4edD</x:v>
      </x:c>
      <x:c r="AA74" s="2" t="str">
        <x:v>Meteora DLMM: фактическая комиссия</x:v>
      </x:c>
      <x:c r="AB74" s="2" t="str">
        <x:v>zxTpi4BtaWX3mgdAPoezkMD1hxx8CdeCfrqXMWvSCLX</x:v>
      </x:c>
    </x:row>
    <x:row r="75" ht="21" customHeight="1">
      <x:c r="A75" s="2" t="n">
        <x:v>68</x:v>
      </x:c>
      <x:c r="B75" s="9" t="n">
        <x:v>46281.63842592593</x:v>
      </x:c>
      <x:c r="C75" s="2" t="str">
        <x:v>Докупка</x:v>
      </x:c>
      <x:c r="D75" s="2" t="str">
        <x:v>6GmAFSYs4gk3FDao5FzzySQpPZaWsa4rUJHacpMpUNgx</x:v>
      </x:c>
      <x:c r="E75" s="10" t="n">
        <x:v>2000</x:v>
      </x:c>
      <x:c r="F75" s="11" t="n">
        <x:v>12045.339983141</x:v>
      </x:c>
      <x:c r="G75" s="11" t="n">
        <x:v>38497474.50253959</x:v>
      </x:c>
      <x:c r="H75" s="12" t="n">
        <x:f>IF(AND(E75&gt;0,F75&gt;0),E75/F75,NA())</x:f>
        <x:v>0.16603931502134905</x:v>
      </x:c>
      <x:c r="I75" s="13"/>
      <x:c r="J75" s="14" t="str">
        <x:f>'Цены'!G678</x:f>
      </x:c>
      <x:c r="K75" s="14" t="str">
        <x:f>'Цены'!G679</x:f>
      </x:c>
      <x:c r="L75" s="14" t="str">
        <x:f>'Цены'!G680</x:f>
      </x:c>
      <x:c r="M75" s="14" t="str">
        <x:f>'Цены'!G681</x:f>
      </x:c>
      <x:c r="N75" s="14" t="str">
        <x:f>'Цены'!G682</x:f>
      </x:c>
      <x:c r="O75" s="14" t="str">
        <x:f>'Цены'!G683</x:f>
      </x:c>
      <x:c r="P75" s="14" t="str">
        <x:f>'Цены'!G684</x:f>
      </x:c>
      <x:c r="Q75" s="14" t="str">
        <x:f>'Цены'!G685</x:f>
      </x:c>
      <x:c r="R75" s="14" t="str">
        <x:f>'Цены'!G686</x:f>
      </x:c>
      <x:c r="S75" s="14" t="str">
        <x:f>'Цены'!G687</x:f>
      </x:c>
      <x:c r="T75" s="2" t="n">
        <x:f>COUNT(J75:S75)</x:f>
        <x:v>0</x:v>
      </x:c>
      <x:c r="U75" s="2" t="str">
        <x:v>GatorSwap: нет модели цены: 10</x:v>
      </x:c>
      <x:c r="V75" s="2" t="n">
        <x:v>447555018</x:v>
      </x:c>
      <x:c r="W75" s="2" t="n">
        <x:v>13</x:v>
      </x:c>
      <x:c r="X75" s="15" t="n">
        <x:v>0.001936206</x:v>
      </x:c>
      <x:c r="Y75" s="2" t="str">
        <x:v>48AAVMFp3sb7uCLX9Q9VhRtSppdbavkmqW3sU34Pb5C2evzAmvV5H5HdpE54UPCYc85AhvTHY3BQpFPBro1zpD2t</x:v>
      </x:c>
      <x:c r="Z75" s="2" t="str">
        <x:v>https://solscan.io/tx/48AAVMFp3sb7uCLX9Q9VhRtSppdbavkmqW3sU34Pb5C2evzAmvV5H5HdpE54UPCYc85AhvTHY3BQpFPBro1zpD2t</x:v>
      </x:c>
      <x:c r="AA75" s="2" t="str">
        <x:v>GatorSwap: комиссия не определена</x:v>
      </x:c>
      <x:c r="AB75" s="2"/>
    </x:row>
    <x:row r="76" ht="21" customHeight="1">
      <x:c r="A76" s="2" t="n">
        <x:v>69</x:v>
      </x:c>
      <x:c r="B76" s="9" t="n">
        <x:v>46281.63208333333</x:v>
      </x:c>
      <x:c r="C76" s="2" t="str">
        <x:v>Докупка</x:v>
      </x:c>
      <x:c r="D76" s="2" t="str">
        <x:v>6GmAFSYs4gk3FDao5FzzySQpPZaWsa4rUJHacpMpUNgx</x:v>
      </x:c>
      <x:c r="E76" s="10" t="n">
        <x:v>876.567711</x:v>
      </x:c>
      <x:c r="F76" s="11" t="n">
        <x:v>5239.726200227</x:v>
      </x:c>
      <x:c r="G76" s="11" t="n">
        <x:v>38492074.733059734</x:v>
      </x:c>
      <x:c r="H76" s="12" t="n">
        <x:f>IF(AND(E76&gt;0,F76&gt;0),E76/F76,NA())</x:f>
        <x:v>0.16729265566624923</x:v>
      </x:c>
      <x:c r="I76" s="13" t="n">
        <x:v>0.01000000394830164</x:v>
      </x:c>
      <x:c r="J76" s="14" t="str">
        <x:f>'Цены'!G688</x:f>
      </x:c>
      <x:c r="K76" s="14" t="str">
        <x:f>'Цены'!G689</x:f>
      </x:c>
      <x:c r="L76" s="14" t="str">
        <x:f>'Цены'!G690</x:f>
      </x:c>
      <x:c r="M76" s="14" t="str">
        <x:f>'Цены'!G691</x:f>
      </x:c>
      <x:c r="N76" s="14" t="str">
        <x:f>'Цены'!G692</x:f>
      </x:c>
      <x:c r="O76" s="14" t="str">
        <x:f>'Цены'!G693</x:f>
      </x:c>
      <x:c r="P76" s="14" t="str">
        <x:f>'Цены'!G694</x:f>
      </x:c>
      <x:c r="Q76" s="14" t="str">
        <x:f>'Цены'!G695</x:f>
      </x:c>
      <x:c r="R76" s="14" t="str">
        <x:f>'Цены'!G696</x:f>
      </x:c>
      <x:c r="S76" s="14" t="str">
        <x:f>'Цены'!G697</x:f>
      </x:c>
      <x:c r="T76" s="2" t="n">
        <x:f>COUNT(J76:S76)</x:f>
        <x:v>0</x:v>
      </x:c>
      <x:c r="U76" s="2" t="str">
        <x:v>RPC: данные не загружены: 10</x:v>
      </x:c>
      <x:c r="V76" s="2" t="n">
        <x:v>447553278</x:v>
      </x:c>
      <x:c r="W76" s="2" t="n">
        <x:v>1152</x:v>
      </x:c>
      <x:c r="X76" s="15" t="n">
        <x:v>0.000205446</x:v>
      </x:c>
      <x:c r="Y76" s="2" t="str">
        <x:v>2zw3ZJaNYhc5EDPGXuMZS5DhCnvgE4ri5TgrkZPzqcDaBqA3FSse27qePZa2vVL3Pc2WSsnTmrX5uU3jzCvWLLvy</x:v>
      </x:c>
      <x:c r="Z76" s="2" t="str">
        <x:v>https://solscan.io/tx/2zw3ZJaNYhc5EDPGXuMZS5DhCnvgE4ri5TgrkZPzqcDaBqA3FSse27qePZa2vVL3Pc2WSsnTmrX5uU3jzCvWLLvy</x:v>
      </x:c>
      <x:c r="AA76" s="2" t="str">
        <x:v>Raydium CLMM: фактическая комиссия</x:v>
      </x:c>
      <x:c r="AB76" s="2" t="str">
        <x:v>7a8xxAJBELDo6P9dikSYctdw6ce8F4mWr3ahcAD8Ao49</x:v>
      </x:c>
    </x:row>
    <x:row r="77" ht="21" customHeight="1">
      <x:c r="A77" s="2" t="n">
        <x:v>70</x:v>
      </x:c>
      <x:c r="B77" s="9" t="n">
        <x:v>46281.6296875</x:v>
      </x:c>
      <x:c r="C77" s="2" t="str">
        <x:v>Докупка</x:v>
      </x:c>
      <x:c r="D77" s="2" t="str">
        <x:v>6GmAFSYs4gk3FDao5FzzySQpPZaWsa4rUJHacpMpUNgx</x:v>
      </x:c>
      <x:c r="E77" s="10" t="n">
        <x:v>2000</x:v>
      </x:c>
      <x:c r="F77" s="11" t="n">
        <x:v>12077.063551722</x:v>
      </x:c>
      <x:c r="G77" s="11" t="n">
        <x:v>38479997.66950801</x:v>
      </x:c>
      <x:c r="H77" s="12" t="n">
        <x:f>IF(AND(E77&gt;0,F77&gt;0),E77/F77,NA())</x:f>
        <x:v>0.16560316929977828</x:v>
      </x:c>
      <x:c r="I77" s="13" t="n">
        <x:v>0.0020000000976951432</x:v>
      </x:c>
      <x:c r="J77" s="14" t="str">
        <x:f>'Цены'!G698</x:f>
      </x:c>
      <x:c r="K77" s="14" t="str">
        <x:f>'Цены'!G699</x:f>
      </x:c>
      <x:c r="L77" s="14" t="str">
        <x:f>'Цены'!G700</x:f>
      </x:c>
      <x:c r="M77" s="14" t="str">
        <x:f>'Цены'!G701</x:f>
      </x:c>
      <x:c r="N77" s="14" t="str">
        <x:f>'Цены'!G702</x:f>
      </x:c>
      <x:c r="O77" s="14" t="str">
        <x:f>'Цены'!G703</x:f>
      </x:c>
      <x:c r="P77" s="14" t="str">
        <x:f>'Цены'!G704</x:f>
      </x:c>
      <x:c r="Q77" s="14" t="str">
        <x:f>'Цены'!G705</x:f>
      </x:c>
      <x:c r="R77" s="14" t="str">
        <x:f>'Цены'!G706</x:f>
      </x:c>
      <x:c r="S77" s="14" t="str">
        <x:f>'Цены'!G707</x:f>
      </x:c>
      <x:c r="T77" s="2" t="n">
        <x:f>COUNT(J77:S77)</x:f>
        <x:v>0</x:v>
      </x:c>
      <x:c r="U77" s="2" t="str">
        <x:v>RPC: данные не загружены: 10</x:v>
      </x:c>
      <x:c r="V77" s="2" t="n">
        <x:v>447552627</x:v>
      </x:c>
      <x:c r="W77" s="2" t="n">
        <x:v>1237</x:v>
      </x:c>
      <x:c r="X77" s="15" t="n">
        <x:v>0.000027204</x:v>
      </x:c>
      <x:c r="Y77" s="2" t="str">
        <x:v>5LteuaxcxmUUAQT1cdw6bw3Eft9gNCPRYcujoSmgpKRgJSQXrt7PdeduLAG6ueWesLutWwpPLvCogUice7anr1bu</x:v>
      </x:c>
      <x:c r="Z77" s="2" t="str">
        <x:v>https://solscan.io/tx/5LteuaxcxmUUAQT1cdw6bw3Eft9gNCPRYcujoSmgpKRgJSQXrt7PdeduLAG6ueWesLutWwpPLvCogUice7anr1bu</x:v>
      </x:c>
      <x:c r="AA77" s="2" t="str">
        <x:v>Meteora DLMM: фактическая комиссия</x:v>
      </x:c>
      <x:c r="AB77" s="2" t="str">
        <x:v>zxTpi4BtaWX3mgdAPoezkMD1hxx8CdeCfrqXMWvSCLX</x:v>
      </x:c>
    </x:row>
    <x:row r="78" ht="21" customHeight="1">
      <x:c r="A78" s="2" t="n">
        <x:v>71</x:v>
      </x:c>
      <x:c r="B78" s="9" t="n">
        <x:v>46281.62960648148</x:v>
      </x:c>
      <x:c r="C78" s="2" t="str">
        <x:v>Докупка</x:v>
      </x:c>
      <x:c r="D78" s="2" t="str">
        <x:v>HTmQz7My6MehV7bjhJ6jde8nDND1yvsz68d24LP7YgUQ</x:v>
      </x:c>
      <x:c r="E78" s="10" t="n">
        <x:v>2000</x:v>
      </x:c>
      <x:c r="F78" s="11" t="n">
        <x:v>514154.744442</x:v>
      </x:c>
      <x:c r="G78" s="11" t="n">
        <x:v>13690743.93009</x:v>
      </x:c>
      <x:c r="H78" s="12" t="n">
        <x:f>IF(AND(E78&gt;0,F78&gt;0),E78/F78,NA())</x:f>
        <x:v>0.0038898794995474617</x:v>
      </x:c>
      <x:c r="I78" s="13" t="n">
        <x:v>0.0125</x:v>
      </x:c>
      <x:c r="J78" s="14" t="str">
        <x:f>'Цены'!G708</x:f>
      </x:c>
      <x:c r="K78" s="14" t="str">
        <x:f>'Цены'!G709</x:f>
      </x:c>
      <x:c r="L78" s="14" t="str">
        <x:f>'Цены'!G710</x:f>
      </x:c>
      <x:c r="M78" s="14" t="str">
        <x:f>'Цены'!G711</x:f>
      </x:c>
      <x:c r="N78" s="14" t="str">
        <x:f>'Цены'!G712</x:f>
      </x:c>
      <x:c r="O78" s="14" t="str">
        <x:f>'Цены'!G713</x:f>
      </x:c>
      <x:c r="P78" s="14" t="str">
        <x:f>'Цены'!G714</x:f>
      </x:c>
      <x:c r="Q78" s="14" t="str">
        <x:f>'Цены'!G715</x:f>
      </x:c>
      <x:c r="R78" s="14" t="str">
        <x:f>'Цены'!G716</x:f>
      </x:c>
      <x:c r="S78" s="14" t="str">
        <x:f>'Цены'!G717</x:f>
      </x:c>
      <x:c r="T78" s="2" t="n">
        <x:f>COUNT(J78:S78)</x:f>
        <x:v>0</x:v>
      </x:c>
      <x:c r="U78" s="2" t="str">
        <x:v>RPC: данные не загружены: 10</x:v>
      </x:c>
      <x:c r="V78" s="2" t="n">
        <x:v>447552605</x:v>
      </x:c>
      <x:c r="W78" s="2" t="n">
        <x:v>135</x:v>
      </x:c>
      <x:c r="X78" s="15" t="n">
        <x:v>0.000037666</x:v>
      </x:c>
      <x:c r="Y78" s="2" t="str">
        <x:v>9kZcXAMpUNQSVQv8PuM4Rq6jyp7xaF79w4TCiwF4sfvdp47rqr1tuv8hGXDwGXcEDFmbCDV71YKoh6b3sofUf97</x:v>
      </x:c>
      <x:c r="Z78" s="2" t="str">
        <x:v>https://solscan.io/tx/9kZcXAMpUNQSVQv8PuM4Rq6jyp7xaF79w4TCiwF4sfvdp47rqr1tuv8hGXDwGXcEDFmbCDV71YKoh6b3sofUf97</x:v>
      </x:c>
      <x:c r="AA78" s="2" t="str">
        <x:v>Raydium CPMM: конфигурация и событие</x:v>
      </x:c>
      <x:c r="AB78" s="2" t="str">
        <x:v>6fNtUWWpf9VckoZXce7pFUyxA9wPRVPpe83txqdYFiCn</x:v>
      </x:c>
    </x:row>
    <x:row r="79" ht="21" customHeight="1">
      <x:c r="A79" s="2" t="n">
        <x:v>72</x:v>
      </x:c>
      <x:c r="B79" s="9" t="n">
        <x:v>46281.62923611111</x:v>
      </x:c>
      <x:c r="C79" s="2" t="str">
        <x:v>Докупка</x:v>
      </x:c>
      <x:c r="D79" s="2" t="str">
        <x:v>6GmAFSYs4gk3FDao5FzzySQpPZaWsa4rUJHacpMpUNgx</x:v>
      </x:c>
      <x:c r="E79" s="10" t="n">
        <x:v>2000</x:v>
      </x:c>
      <x:c r="F79" s="11" t="n">
        <x:v>12076.81022329</x:v>
      </x:c>
      <x:c r="G79" s="11" t="n">
        <x:v>38467920.85928472</x:v>
      </x:c>
      <x:c r="H79" s="12" t="n">
        <x:f>IF(AND(E79&gt;0,F79&gt;0),E79/F79,NA())</x:f>
        <x:v>0.16560664306399558</x:v>
      </x:c>
      <x:c r="I79" s="13" t="n">
        <x:v>0.0015277984907210948</x:v>
      </x:c>
      <x:c r="J79" s="14" t="str">
        <x:f>'Цены'!G718</x:f>
      </x:c>
      <x:c r="K79" s="14" t="str">
        <x:f>'Цены'!G719</x:f>
      </x:c>
      <x:c r="L79" s="14" t="str">
        <x:f>'Цены'!G720</x:f>
      </x:c>
      <x:c r="M79" s="14" t="str">
        <x:f>'Цены'!G721</x:f>
      </x:c>
      <x:c r="N79" s="14" t="str">
        <x:f>'Цены'!G722</x:f>
      </x:c>
      <x:c r="O79" s="14" t="str">
        <x:f>'Цены'!G723</x:f>
      </x:c>
      <x:c r="P79" s="14" t="str">
        <x:f>'Цены'!G724</x:f>
      </x:c>
      <x:c r="Q79" s="14" t="str">
        <x:f>'Цены'!G725</x:f>
      </x:c>
      <x:c r="R79" s="14" t="str">
        <x:f>'Цены'!G726</x:f>
      </x:c>
      <x:c r="S79" s="14" t="str">
        <x:f>'Цены'!G727</x:f>
      </x:c>
      <x:c r="T79" s="2" t="n">
        <x:f>COUNT(J79:S79)</x:f>
        <x:v>0</x:v>
      </x:c>
      <x:c r="U79" s="2" t="str">
        <x:v>RPC: данные не загружены: 10</x:v>
      </x:c>
      <x:c r="V79" s="2" t="n">
        <x:v>447552507</x:v>
      </x:c>
      <x:c r="W79" s="2" t="n">
        <x:v>734</x:v>
      </x:c>
      <x:c r="X79" s="15" t="n">
        <x:v>0.002987736</x:v>
      </x:c>
      <x:c r="Y79" s="2" t="str">
        <x:v>5bW9mE9FGiGvbT3ofeUQY8YYxiwmo39Y1hZZEXgkz9vvPYXJhihzQq2SP9v7UE32LD7hU83bjGahJ8T2hBLKr9tw</x:v>
      </x:c>
      <x:c r="Z79" s="2" t="str">
        <x:v>https://solscan.io/tx/5bW9mE9FGiGvbT3ofeUQY8YYxiwmo39Y1hZZEXgkz9vvPYXJhihzQq2SP9v7UE32LD7hU83bjGahJ8T2hBLKr9tw</x:v>
      </x:c>
      <x:c r="AA79" s="2" t="str">
        <x:v>Meteora DLMM: фактическая комиссия</x:v>
      </x:c>
      <x:c r="AB79" s="2" t="str">
        <x:v>36SpkkrsnyUgjPC24KU993r8T3whkJaPgoEeAmbBj9uB</x:v>
      </x:c>
    </x:row>
    <x:row r="80" ht="21" customHeight="1">
      <x:c r="A80" s="2" t="n">
        <x:v>73</x:v>
      </x:c>
      <x:c r="B80" s="9" t="n">
        <x:v>46281.628854166665</x:v>
      </x:c>
      <x:c r="C80" s="2" t="str">
        <x:v>Докупка</x:v>
      </x:c>
      <x:c r="D80" s="2" t="str">
        <x:v>HTmQz7My6MehV7bjhJ6jde8nDND1yvsz68d24LP7YgUQ</x:v>
      </x:c>
      <x:c r="E80" s="10" t="n">
        <x:v>2000</x:v>
      </x:c>
      <x:c r="F80" s="11" t="n">
        <x:v>553075.289052</x:v>
      </x:c>
      <x:c r="G80" s="11" t="n">
        <x:v>13137668.641038</x:v>
      </x:c>
      <x:c r="H80" s="12" t="n">
        <x:f>IF(AND(E80&gt;0,F80&gt;0),E80/F80,NA())</x:f>
        <x:v>0.003616144202407062</x:v>
      </x:c>
      <x:c r="I80" s="13" t="n">
        <x:v>0.0125</x:v>
      </x:c>
      <x:c r="J80" s="14" t="str">
        <x:f>'Цены'!G728</x:f>
      </x:c>
      <x:c r="K80" s="14" t="str">
        <x:f>'Цены'!G729</x:f>
      </x:c>
      <x:c r="L80" s="14" t="str">
        <x:f>'Цены'!G730</x:f>
      </x:c>
      <x:c r="M80" s="14" t="str">
        <x:f>'Цены'!G731</x:f>
      </x:c>
      <x:c r="N80" s="14" t="str">
        <x:f>'Цены'!G732</x:f>
      </x:c>
      <x:c r="O80" s="14" t="str">
        <x:f>'Цены'!G733</x:f>
      </x:c>
      <x:c r="P80" s="14" t="str">
        <x:f>'Цены'!G734</x:f>
      </x:c>
      <x:c r="Q80" s="14" t="str">
        <x:f>'Цены'!G735</x:f>
      </x:c>
      <x:c r="R80" s="14" t="str">
        <x:f>'Цены'!G736</x:f>
      </x:c>
      <x:c r="S80" s="14" t="str">
        <x:f>'Цены'!G737</x:f>
      </x:c>
      <x:c r="T80" s="2" t="n">
        <x:f>COUNT(J80:S80)</x:f>
        <x:v>0</x:v>
      </x:c>
      <x:c r="U80" s="2" t="str">
        <x:v>RPC: данные не загружены: 10</x:v>
      </x:c>
      <x:c r="V80" s="2" t="n">
        <x:v>447552404</x:v>
      </x:c>
      <x:c r="W80" s="2" t="n">
        <x:v>1075</x:v>
      </x:c>
      <x:c r="X80" s="15" t="n">
        <x:v>0.000151666</x:v>
      </x:c>
      <x:c r="Y80" s="2" t="str">
        <x:v>2nxrABCrrp6DzyEAbCaKbaV5v4tusniio47EE6Ai5rVSRgT2gTMQJPRRjxMbP2qjq2NKjUA484gPcLvPMVm1FDta</x:v>
      </x:c>
      <x:c r="Z80" s="2" t="str">
        <x:v>https://solscan.io/tx/2nxrABCrrp6DzyEAbCaKbaV5v4tusniio47EE6Ai5rVSRgT2gTMQJPRRjxMbP2qjq2NKjUA484gPcLvPMVm1FDta</x:v>
      </x:c>
      <x:c r="AA80" s="2" t="str">
        <x:v>Raydium CPMM: конфигурация и событие</x:v>
      </x:c>
      <x:c r="AB80" s="2" t="str">
        <x:v>6fNtUWWpf9VckoZXce7pFUyxA9wPRVPpe83txqdYFiCn</x:v>
      </x:c>
    </x:row>
    <x:row r="81" ht="21" customHeight="1">
      <x:c r="A81" s="2" t="n">
        <x:v>74</x:v>
      </x:c>
      <x:c r="B81" s="9" t="n">
        <x:v>46281.6241087963</x:v>
      </x:c>
      <x:c r="C81" s="2" t="str">
        <x:v>Докупка</x:v>
      </x:c>
      <x:c r="D81" s="2" t="str">
        <x:v>8RVBk8vxLiUHueLUW1f4izFVqN3nWippLhkohKg6EGkS</x:v>
      </x:c>
      <x:c r="E81" s="10" t="n">
        <x:v>2500</x:v>
      </x:c>
      <x:c r="F81" s="11" t="n">
        <x:v>215701.577931</x:v>
      </x:c>
      <x:c r="G81" s="11" t="n">
        <x:v>668881.991705</x:v>
      </x:c>
      <x:c r="H81" s="12" t="n">
        <x:f>IF(AND(E81&gt;0,F81&gt;0),E81/F81,NA())</x:f>
        <x:v>0.011590086748460023</x:v>
      </x:c>
      <x:c r="I81" s="13" t="n">
        <x:v>0.0125</x:v>
      </x:c>
      <x:c r="J81" s="14" t="str">
        <x:f>'Цены'!G738</x:f>
      </x:c>
      <x:c r="K81" s="14" t="str">
        <x:f>'Цены'!G739</x:f>
      </x:c>
      <x:c r="L81" s="14" t="str">
        <x:f>'Цены'!G740</x:f>
      </x:c>
      <x:c r="M81" s="14" t="str">
        <x:f>'Цены'!G741</x:f>
      </x:c>
      <x:c r="N81" s="14" t="str">
        <x:f>'Цены'!G742</x:f>
      </x:c>
      <x:c r="O81" s="14" t="str">
        <x:f>'Цены'!G743</x:f>
      </x:c>
      <x:c r="P81" s="14" t="str">
        <x:f>'Цены'!G744</x:f>
      </x:c>
      <x:c r="Q81" s="14" t="str">
        <x:f>'Цены'!G745</x:f>
      </x:c>
      <x:c r="R81" s="14" t="str">
        <x:f>'Цены'!G746</x:f>
      </x:c>
      <x:c r="S81" s="14" t="str">
        <x:f>'Цены'!G747</x:f>
      </x:c>
      <x:c r="T81" s="2" t="n">
        <x:f>COUNT(J81:S81)</x:f>
        <x:v>0</x:v>
      </x:c>
      <x:c r="U81" s="2" t="str">
        <x:v>RPC: данные не загружены: 10</x:v>
      </x:c>
      <x:c r="V81" s="2" t="n">
        <x:v>447551109</x:v>
      </x:c>
      <x:c r="W81" s="2" t="n">
        <x:v>258</x:v>
      </x:c>
      <x:c r="X81" s="15" t="n">
        <x:v>0.00188988</x:v>
      </x:c>
      <x:c r="Y81" s="2" t="str">
        <x:v>3tcGsMenv5NurhAd4A8jJAW55fKt7SdMhyYY2QQy6xuy8SP7LAnhNP5k8YTqNGkhP3rkAQcbqrhuzEyJj2rN6Pkv</x:v>
      </x:c>
      <x:c r="Z81" s="2" t="str">
        <x:v>https://solscan.io/tx/3tcGsMenv5NurhAd4A8jJAW55fKt7SdMhyYY2QQy6xuy8SP7LAnhNP5k8YTqNGkhP3rkAQcbqrhuzEyJj2rN6Pkv</x:v>
      </x:c>
      <x:c r="AA81" s="2" t="str">
        <x:v>Raydium CPMM: конфигурация и событие</x:v>
      </x:c>
      <x:c r="AB81" s="2" t="str">
        <x:v>BUVzsLLLG7GWoyJVoU31pXiBveazA6GXTavZ9VD3CwS9</x:v>
      </x:c>
    </x:row>
    <x:row r="82" ht="21" customHeight="1">
      <x:c r="A82" s="2" t="n">
        <x:v>75</x:v>
      </x:c>
      <x:c r="B82" s="9" t="n">
        <x:v>46281.62394675926</x:v>
      </x:c>
      <x:c r="C82" s="2" t="str">
        <x:v>Докупка</x:v>
      </x:c>
      <x:c r="D82" s="2" t="str">
        <x:v>6GmAFSYs4gk3FDao5FzzySQpPZaWsa4rUJHacpMpUNgx</x:v>
      </x:c>
      <x:c r="E82" s="10" t="n">
        <x:v>2500</x:v>
      </x:c>
      <x:c r="F82" s="11" t="n">
        <x:v>15371.172000801</x:v>
      </x:c>
      <x:c r="G82" s="11" t="n">
        <x:v>38448680.63918881</x:v>
      </x:c>
      <x:c r="H82" s="12" t="n">
        <x:f>IF(AND(E82&gt;0,F82&gt;0),E82/F82,NA())</x:f>
        <x:v>0.1626421199287682</x:v>
      </x:c>
      <x:c r="I82" s="13" t="n">
        <x:v>0.0020080000288222742</x:v>
      </x:c>
      <x:c r="J82" s="14" t="str">
        <x:f>'Цены'!G748</x:f>
      </x:c>
      <x:c r="K82" s="14" t="str">
        <x:f>'Цены'!G749</x:f>
      </x:c>
      <x:c r="L82" s="14" t="str">
        <x:f>'Цены'!G750</x:f>
      </x:c>
      <x:c r="M82" s="14" t="str">
        <x:f>'Цены'!G751</x:f>
      </x:c>
      <x:c r="N82" s="14" t="str">
        <x:f>'Цены'!G752</x:f>
      </x:c>
      <x:c r="O82" s="14" t="str">
        <x:f>'Цены'!G753</x:f>
      </x:c>
      <x:c r="P82" s="14" t="str">
        <x:f>'Цены'!G754</x:f>
      </x:c>
      <x:c r="Q82" s="14" t="str">
        <x:f>'Цены'!G755</x:f>
      </x:c>
      <x:c r="R82" s="14" t="str">
        <x:f>'Цены'!G756</x:f>
      </x:c>
      <x:c r="S82" s="14" t="str">
        <x:f>'Цены'!G757</x:f>
      </x:c>
      <x:c r="T82" s="2" t="n">
        <x:f>COUNT(J82:S82)</x:f>
        <x:v>0</x:v>
      </x:c>
      <x:c r="U82" s="2" t="str">
        <x:v>RPC: данные не загружены: 10</x:v>
      </x:c>
      <x:c r="V82" s="2" t="n">
        <x:v>447551062</x:v>
      </x:c>
      <x:c r="W82" s="2" t="n">
        <x:v>1142</x:v>
      </x:c>
      <x:c r="X82" s="15" t="n">
        <x:v>0.000031826</x:v>
      </x:c>
      <x:c r="Y82" s="2" t="str">
        <x:v>UdurELesQbhTWoqf1xzBv6XWnBS6aBpLAUNiCdbBwN4cmAjrcNae9ZpZjnVydSmyJV48ksBEPHYev8rumTHZHss</x:v>
      </x:c>
      <x:c r="Z82" s="2" t="str">
        <x:v>https://solscan.io/tx/UdurELesQbhTWoqf1xzBv6XWnBS6aBpLAUNiCdbBwN4cmAjrcNae9ZpZjnVydSmyJV48ksBEPHYev8rumTHZHss</x:v>
      </x:c>
      <x:c r="AA82" s="2" t="str">
        <x:v>Meteora DLMM: фактическая комиссия</x:v>
      </x:c>
      <x:c r="AB82" s="2" t="str">
        <x:v>zxTpi4BtaWX3mgdAPoezkMD1hxx8CdeCfrqXMWvSCLX</x:v>
      </x:c>
    </x:row>
    <x:row r="83" ht="21" customHeight="1">
      <x:c r="A83" s="2" t="n">
        <x:v>76</x:v>
      </x:c>
      <x:c r="B83" s="9" t="n">
        <x:v>46281.623148148145</x:v>
      </x:c>
      <x:c r="C83" s="2" t="str">
        <x:v>Докупка</x:v>
      </x:c>
      <x:c r="D83" s="2" t="str">
        <x:v>6GmAFSYs4gk3FDao5FzzySQpPZaWsa4rUJHacpMpUNgx</x:v>
      </x:c>
      <x:c r="E83" s="10" t="n">
        <x:v>4000</x:v>
      </x:c>
      <x:c r="F83" s="11" t="n">
        <x:v>24707.726336425</x:v>
      </x:c>
      <x:c r="G83" s="11" t="n">
        <x:v>38423972.912852384</x:v>
      </x:c>
      <x:c r="H83" s="12" t="n">
        <x:f>IF(AND(E83&gt;0,F83&gt;0),E83/F83,NA())</x:f>
        <x:v>0.16189267865182153</x:v>
      </x:c>
      <x:c r="I83" s="13" t="n">
        <x:v>0.0020024716192037777</x:v>
      </x:c>
      <x:c r="J83" s="14" t="str">
        <x:f>'Цены'!G758</x:f>
      </x:c>
      <x:c r="K83" s="14" t="str">
        <x:f>'Цены'!G759</x:f>
      </x:c>
      <x:c r="L83" s="14" t="str">
        <x:f>'Цены'!G760</x:f>
      </x:c>
      <x:c r="M83" s="14" t="str">
        <x:f>'Цены'!G761</x:f>
      </x:c>
      <x:c r="N83" s="14" t="str">
        <x:f>'Цены'!G762</x:f>
      </x:c>
      <x:c r="O83" s="14" t="str">
        <x:f>'Цены'!G763</x:f>
      </x:c>
      <x:c r="P83" s="14" t="str">
        <x:f>'Цены'!G764</x:f>
      </x:c>
      <x:c r="Q83" s="14" t="str">
        <x:f>'Цены'!G765</x:f>
      </x:c>
      <x:c r="R83" s="14" t="str">
        <x:f>'Цены'!G766</x:f>
      </x:c>
      <x:c r="S83" s="14" t="str">
        <x:f>'Цены'!G767</x:f>
      </x:c>
      <x:c r="T83" s="2" t="n">
        <x:f>COUNT(J83:S83)</x:f>
        <x:v>0</x:v>
      </x:c>
      <x:c r="U83" s="2" t="str">
        <x:v>RPC: данные не загружены: 10</x:v>
      </x:c>
      <x:c r="V83" s="2" t="n">
        <x:v>447550847</x:v>
      </x:c>
      <x:c r="W83" s="2" t="n">
        <x:v>290</x:v>
      </x:c>
      <x:c r="X83" s="15" t="n">
        <x:v>0.001944358</x:v>
      </x:c>
      <x:c r="Y83" s="2" t="str">
        <x:v>5QfReSVH4EBGXqUhmMSEjtkagXeDUuKWiPSueaPjwXgwXBEu8SFNq2Bo8uqHSdv6QhatNu4RXTFP1pBYjkBQxZsq</x:v>
      </x:c>
      <x:c r="Z83" s="2" t="str">
        <x:v>https://solscan.io/tx/5QfReSVH4EBGXqUhmMSEjtkagXeDUuKWiPSueaPjwXgwXBEu8SFNq2Bo8uqHSdv6QhatNu4RXTFP1pBYjkBQxZsq</x:v>
      </x:c>
      <x:c r="AA83" s="2" t="str">
        <x:v>Meteora DLMM: фактическая комиссия</x:v>
      </x:c>
      <x:c r="AB83" s="2" t="str">
        <x:v>zxTpi4BtaWX3mgdAPoezkMD1hxx8CdeCfrqXMWvSCLX</x:v>
      </x:c>
    </x:row>
    <x:row r="84" ht="21" customHeight="1">
      <x:c r="A84" s="2" t="n">
        <x:v>77</x:v>
      </x:c>
      <x:c r="B84" s="9" t="n">
        <x:v>46281.620405092595</x:v>
      </x:c>
      <x:c r="C84" s="2" t="str">
        <x:v>Докупка</x:v>
      </x:c>
      <x:c r="D84" s="2" t="str">
        <x:v>6GmAFSYs4gk3FDao5FzzySQpPZaWsa4rUJHacpMpUNgx</x:v>
      </x:c>
      <x:c r="E84" s="10" t="n">
        <x:v>2500</x:v>
      </x:c>
      <x:c r="F84" s="11" t="n">
        <x:v>15416.131485331</x:v>
      </x:c>
      <x:c r="G84" s="11" t="n">
        <x:v>38402514.336178176</x:v>
      </x:c>
      <x:c r="H84" s="12" t="n">
        <x:f>IF(AND(E84&gt;0,F84&gt;0),E84/F84,NA())</x:f>
        <x:v>0.16216779173029494</x:v>
      </x:c>
      <x:c r="I84" s="13" t="n">
        <x:v>0.0025</x:v>
      </x:c>
      <x:c r="J84" s="14" t="str">
        <x:f>'Цены'!G768</x:f>
      </x:c>
      <x:c r="K84" s="14" t="str">
        <x:f>'Цены'!G769</x:f>
      </x:c>
      <x:c r="L84" s="14" t="str">
        <x:f>'Цены'!G770</x:f>
      </x:c>
      <x:c r="M84" s="14" t="str">
        <x:f>'Цены'!G771</x:f>
      </x:c>
      <x:c r="N84" s="14" t="str">
        <x:f>'Цены'!G772</x:f>
      </x:c>
      <x:c r="O84" s="14" t="str">
        <x:f>'Цены'!G773</x:f>
      </x:c>
      <x:c r="P84" s="14" t="str">
        <x:f>'Цены'!G774</x:f>
      </x:c>
      <x:c r="Q84" s="14" t="str">
        <x:f>'Цены'!G775</x:f>
      </x:c>
      <x:c r="R84" s="14" t="str">
        <x:f>'Цены'!G776</x:f>
      </x:c>
      <x:c r="S84" s="14" t="str">
        <x:f>'Цены'!G777</x:f>
      </x:c>
      <x:c r="T84" s="2" t="n">
        <x:f>COUNT(J84:S84)</x:f>
        <x:v>0</x:v>
      </x:c>
      <x:c r="U84" s="2" t="str">
        <x:v>RPC: данные не загружены: 10</x:v>
      </x:c>
      <x:c r="V84" s="2" t="n">
        <x:v>447550104</x:v>
      </x:c>
      <x:c r="W84" s="2" t="n">
        <x:v>1251</x:v>
      </x:c>
      <x:c r="X84" s="15" t="n">
        <x:v>0.000118805</x:v>
      </x:c>
      <x:c r="Y84" s="2" t="str">
        <x:v>4iYV2Ken5wssWrPhckFopCE6Ydh5gm9i8FLL17KiEovEg3vJgeDjSiJBSJJGzCBfUWW2vEikcV5FeU6QJfvUJVH2</x:v>
      </x:c>
      <x:c r="Z84" s="2" t="str">
        <x:v>https://solscan.io/tx/4iYV2Ken5wssWrPhckFopCE6Ydh5gm9i8FLL17KiEovEg3vJgeDjSiJBSJJGzCBfUWW2vEikcV5FeU6QJfvUJVH2</x:v>
      </x:c>
      <x:c r="AA84" s="2" t="str">
        <x:v>Raydium CLMM: фактическая комиссия</x:v>
      </x:c>
      <x:c r="AB84" s="2" t="str">
        <x:v>EgB1PqsGFbj3u7jGfwwx5V9CVoc4BGjyfgnag7BJcQjB</x:v>
      </x:c>
    </x:row>
    <x:row r="85" ht="21" customHeight="1">
      <x:c r="A85" s="2" t="n">
        <x:v>78</x:v>
      </x:c>
      <x:c r="B85" s="9" t="n">
        <x:v>46281.61982638889</x:v>
      </x:c>
      <x:c r="C85" s="2" t="str">
        <x:v>Докупка</x:v>
      </x:c>
      <x:c r="D85" s="2" t="str">
        <x:v>6GmAFSYs4gk3FDao5FzzySQpPZaWsa4rUJHacpMpUNgx</x:v>
      </x:c>
      <x:c r="E85" s="10" t="n">
        <x:v>819.718137</x:v>
      </x:c>
      <x:c r="F85" s="11" t="n">
        <x:v>5066.171263846</x:v>
      </x:c>
      <x:c r="G85" s="11" t="n">
        <x:v>38397448.16491433</x:v>
      </x:c>
      <x:c r="H85" s="12" t="n">
        <x:f>IF(AND(E85&gt;0,F85&gt;0),E85/F85,NA())</x:f>
        <x:v>0.16180229493025633</x:v>
      </x:c>
      <x:c r="I85" s="13"/>
      <x:c r="J85" s="14" t="str">
        <x:f>'Цены'!G778</x:f>
      </x:c>
      <x:c r="K85" s="14" t="str">
        <x:f>'Цены'!G779</x:f>
      </x:c>
      <x:c r="L85" s="14" t="str">
        <x:f>'Цены'!G780</x:f>
      </x:c>
      <x:c r="M85" s="14" t="str">
        <x:f>'Цены'!G781</x:f>
      </x:c>
      <x:c r="N85" s="14" t="str">
        <x:f>'Цены'!G782</x:f>
      </x:c>
      <x:c r="O85" s="14" t="str">
        <x:f>'Цены'!G783</x:f>
      </x:c>
      <x:c r="P85" s="14" t="str">
        <x:f>'Цены'!G784</x:f>
      </x:c>
      <x:c r="Q85" s="14" t="str">
        <x:f>'Цены'!G785</x:f>
      </x:c>
      <x:c r="R85" s="14" t="str">
        <x:f>'Цены'!G786</x:f>
      </x:c>
      <x:c r="S85" s="14" t="str">
        <x:f>'Цены'!G787</x:f>
      </x:c>
      <x:c r="T85" s="2" t="n">
        <x:f>COUNT(J85:S85)</x:f>
        <x:v>0</x:v>
      </x:c>
      <x:c r="U85" s="2" t="str">
        <x:v>GatorSwap: нет модели цены: 10</x:v>
      </x:c>
      <x:c r="V85" s="2" t="n">
        <x:v>447549946</x:v>
      </x:c>
      <x:c r="W85" s="2" t="n">
        <x:v>1087</x:v>
      </x:c>
      <x:c r="X85" s="15" t="n">
        <x:v>0.001032358</x:v>
      </x:c>
      <x:c r="Y85" s="2" t="str">
        <x:v>3Y2gvqXRJmuYutQj3dAPvdFxz3hqjaaxpjgGFeD2ALg7im6asX6FUvR1szB4JCjiNPwA5Mcxwp97imPZ7xHx8Chg</x:v>
      </x:c>
      <x:c r="Z85" s="2" t="str">
        <x:v>https://solscan.io/tx/3Y2gvqXRJmuYutQj3dAPvdFxz3hqjaaxpjgGFeD2ALg7im6asX6FUvR1szB4JCjiNPwA5Mcxwp97imPZ7xHx8Chg</x:v>
      </x:c>
      <x:c r="AA85" s="2" t="str">
        <x:v>GatorSwap: комиссия не определена</x:v>
      </x:c>
      <x:c r="AB85" s="2"/>
    </x:row>
    <x:row r="86" ht="21" customHeight="1">
      <x:c r="A86" s="2" t="n">
        <x:v>79</x:v>
      </x:c>
      <x:c r="B86" s="9" t="n">
        <x:v>46281.603125</x:v>
      </x:c>
      <x:c r="C86" s="2" t="str">
        <x:v>Нулевой остаток</x:v>
      </x:c>
      <x:c r="D86" s="2" t="str">
        <x:v>9PSxYDFLPbSVx2PKjYRMumW14xtxViQU3Qmi7M8NQ32W</x:v>
      </x:c>
      <x:c r="E86" s="10" t="n">
        <x:v>4000</x:v>
      </x:c>
      <x:c r="F86" s="11" t="n">
        <x:v>23891003.213101007</x:v>
      </x:c>
      <x:c r="G86" s="11" t="n">
        <x:v>0</x:v>
      </x:c>
      <x:c r="H86" s="12" t="n">
        <x:f>IF(AND(E86&gt;0,F86&gt;0),E86/F86,NA())</x:f>
        <x:v>0.00016742704206772435</x:v>
      </x:c>
      <x:c r="I86" s="13" t="n">
        <x:v>0.01000000000509816</x:v>
      </x:c>
      <x:c r="J86" s="14" t="str">
        <x:f>'Цены'!G788</x:f>
      </x:c>
      <x:c r="K86" s="14" t="str">
        <x:f>'Цены'!G789</x:f>
      </x:c>
      <x:c r="L86" s="14" t="str">
        <x:f>'Цены'!G790</x:f>
      </x:c>
      <x:c r="M86" s="14" t="str">
        <x:f>'Цены'!G791</x:f>
      </x:c>
      <x:c r="N86" s="14" t="str">
        <x:f>'Цены'!G792</x:f>
      </x:c>
      <x:c r="O86" s="14" t="str">
        <x:f>'Цены'!G793</x:f>
      </x:c>
      <x:c r="P86" s="14" t="str">
        <x:f>'Цены'!G794</x:f>
      </x:c>
      <x:c r="Q86" s="14" t="str">
        <x:f>'Цены'!G795</x:f>
      </x:c>
      <x:c r="R86" s="14" t="str">
        <x:f>'Цены'!G796</x:f>
      </x:c>
      <x:c r="S86" s="14" t="str">
        <x:f>'Цены'!G797</x:f>
      </x:c>
      <x:c r="T86" s="2" t="n">
        <x:f>COUNT(J86:S86)</x:f>
        <x:v>0</x:v>
      </x:c>
      <x:c r="U86" s="2" t="str">
        <x:v>RPC: данные не загружены: 10</x:v>
      </x:c>
      <x:c r="V86" s="2" t="n">
        <x:v>447545382</x:v>
      </x:c>
      <x:c r="W86" s="2" t="n">
        <x:v>1039</x:v>
      </x:c>
      <x:c r="X86" s="15" t="n">
        <x:v>0.000283369</x:v>
      </x:c>
      <x:c r="Y86" s="2" t="str">
        <x:v>5pt5f2hoP9WmXxGSg44xEzRAReMq1gw5B46DVgkKsV5VKCELCtgm8UiqaqyKzjVB4WFvVm2uhSND6tFLhRjvkDvE</x:v>
      </x:c>
      <x:c r="Z86" s="2" t="str">
        <x:v>https://solscan.io/tx/5pt5f2hoP9WmXxGSg44xEzRAReMq1gw5B46DVgkKsV5VKCELCtgm8UiqaqyKzjVB4WFvVm2uhSND6tFLhRjvkDvE</x:v>
      </x:c>
      <x:c r="AA86" s="2" t="str">
        <x:v>Raydium CLMM: фактическая комиссия</x:v>
      </x:c>
      <x:c r="AB86" s="2" t="str">
        <x:v>JCGp4aCvztaqEe3J2dwkAL6w7XfD3oGg7Yqd9HLYfk4P</x:v>
      </x:c>
    </x:row>
    <x:row r="87" ht="21" customHeight="1">
      <x:c r="A87" s="2" t="n">
        <x:v>80</x:v>
      </x:c>
      <x:c r="B87" s="9" t="n">
        <x:v>46281.588229166664</x:v>
      </x:c>
      <x:c r="C87" s="2" t="str">
        <x:v>Докупка</x:v>
      </x:c>
      <x:c r="D87" s="2" t="str">
        <x:v>6GmAFSYs4gk3FDao5FzzySQpPZaWsa4rUJHacpMpUNgx</x:v>
      </x:c>
      <x:c r="E87" s="10" t="n">
        <x:v>2500</x:v>
      </x:c>
      <x:c r="F87" s="11" t="n">
        <x:v>15676.833735816</x:v>
      </x:c>
      <x:c r="G87" s="11" t="n">
        <x:v>38372766.3169646</x:v>
      </x:c>
      <x:c r="H87" s="12" t="n">
        <x:f>IF(AND(E87&gt;0,F87&gt;0),E87/F87,NA())</x:f>
        <x:v>0.15947097750283512</x:v>
      </x:c>
      <x:c r="I87" s="13" t="n">
        <x:v>0.0020000250470512894</x:v>
      </x:c>
      <x:c r="J87" s="14" t="str">
        <x:f>'Цены'!G798</x:f>
      </x:c>
      <x:c r="K87" s="14" t="str">
        <x:f>'Цены'!G799</x:f>
      </x:c>
      <x:c r="L87" s="14" t="str">
        <x:f>'Цены'!G800</x:f>
      </x:c>
      <x:c r="M87" s="14" t="str">
        <x:f>'Цены'!G801</x:f>
      </x:c>
      <x:c r="N87" s="14" t="str">
        <x:f>'Цены'!G802</x:f>
      </x:c>
      <x:c r="O87" s="14" t="str">
        <x:f>'Цены'!G803</x:f>
      </x:c>
      <x:c r="P87" s="14" t="str">
        <x:f>'Цены'!G804</x:f>
      </x:c>
      <x:c r="Q87" s="14" t="str">
        <x:f>'Цены'!G805</x:f>
      </x:c>
      <x:c r="R87" s="14" t="str">
        <x:f>'Цены'!G806</x:f>
      </x:c>
      <x:c r="S87" s="14" t="str">
        <x:f>'Цены'!G807</x:f>
      </x:c>
      <x:c r="T87" s="2" t="n">
        <x:f>COUNT(J87:S87)</x:f>
        <x:v>0</x:v>
      </x:c>
      <x:c r="U87" s="2" t="str">
        <x:v>RPC: данные не загружены: 10</x:v>
      </x:c>
      <x:c r="V87" s="2" t="n">
        <x:v>447541333</x:v>
      </x:c>
      <x:c r="W87" s="2" t="n">
        <x:v>31</x:v>
      </x:c>
      <x:c r="X87" s="15" t="n">
        <x:v>0.003043788</x:v>
      </x:c>
      <x:c r="Y87" s="2" t="str">
        <x:v>3XrXJbLp6epoodYWvzbhaeTnCFZZxd3jPfhmtxN1nEVNvmLK8qRfGfVEqUTkoCwViuRWoXdiKevYu8PPC1gAoabQ</x:v>
      </x:c>
      <x:c r="Z87" s="2" t="str">
        <x:v>https://solscan.io/tx/3XrXJbLp6epoodYWvzbhaeTnCFZZxd3jPfhmtxN1nEVNvmLK8qRfGfVEqUTkoCwViuRWoXdiKevYu8PPC1gAoabQ</x:v>
      </x:c>
      <x:c r="AA87" s="2" t="str">
        <x:v>Meteora DLMM: фактическая комиссия</x:v>
      </x:c>
      <x:c r="AB87" s="2" t="str">
        <x:v>zxTpi4BtaWX3mgdAPoezkMD1hxx8CdeCfrqXMWvSCLX</x:v>
      </x:c>
    </x:row>
    <x:row r="88" ht="21" customHeight="1">
      <x:c r="A88" s="2" t="n">
        <x:v>81</x:v>
      </x:c>
      <x:c r="B88" s="9" t="n">
        <x:v>46281.569340277776</x:v>
      </x:c>
      <x:c r="C88" s="2" t="str">
        <x:v>Докупка</x:v>
      </x:c>
      <x:c r="D88" s="2" t="str">
        <x:v>8RNUw4N655VSrZKuhGdywhbSMDTrheguFPfxbpE2NZHQ</x:v>
      </x:c>
      <x:c r="E88" s="10" t="n">
        <x:v>900</x:v>
      </x:c>
      <x:c r="F88" s="11" t="n">
        <x:v>101110.286546377</x:v>
      </x:c>
      <x:c r="G88" s="11" t="n">
        <x:v>50277742.67543923</x:v>
      </x:c>
      <x:c r="H88" s="12" t="n">
        <x:f>IF(AND(E88&gt;0,F88&gt;0),E88/F88,NA())</x:f>
        <x:v>0.008901171490471352</x:v>
      </x:c>
      <x:c r="I88" s="13" t="n">
        <x:v>0.010000000102496354</x:v>
      </x:c>
      <x:c r="J88" s="14" t="str">
        <x:f>'Цены'!G808</x:f>
      </x:c>
      <x:c r="K88" s="14" t="str">
        <x:f>'Цены'!G809</x:f>
      </x:c>
      <x:c r="L88" s="14" t="str">
        <x:f>'Цены'!G810</x:f>
      </x:c>
      <x:c r="M88" s="14" t="str">
        <x:f>'Цены'!G811</x:f>
      </x:c>
      <x:c r="N88" s="14" t="str">
        <x:f>'Цены'!G812</x:f>
      </x:c>
      <x:c r="O88" s="14" t="str">
        <x:f>'Цены'!G813</x:f>
      </x:c>
      <x:c r="P88" s="14" t="str">
        <x:f>'Цены'!G814</x:f>
      </x:c>
      <x:c r="Q88" s="14" t="str">
        <x:f>'Цены'!G815</x:f>
      </x:c>
      <x:c r="R88" s="14" t="str">
        <x:f>'Цены'!G816</x:f>
      </x:c>
      <x:c r="S88" s="14" t="str">
        <x:f>'Цены'!G817</x:f>
      </x:c>
      <x:c r="T88" s="2" t="n">
        <x:f>COUNT(J88:S88)</x:f>
        <x:v>0</x:v>
      </x:c>
      <x:c r="U88" s="2" t="str">
        <x:v>RPC: данные не загружены: 10</x:v>
      </x:c>
      <x:c r="V88" s="2" t="n">
        <x:v>447536188</x:v>
      </x:c>
      <x:c r="W88" s="2" t="n">
        <x:v>897</x:v>
      </x:c>
      <x:c r="X88" s="15" t="n">
        <x:v>0.000028609</x:v>
      </x:c>
      <x:c r="Y88" s="2" t="str">
        <x:v>51ydFNcyGJFMyDEto5Uwf4biiQEcYa5JSJa7c5FGZQ5ukbtUe2rUJ33f3o7nYLSbtkvjekvP7qbsRHZEaBA7Ufg</x:v>
      </x:c>
      <x:c r="Z88" s="2" t="str">
        <x:v>https://solscan.io/tx/51ydFNcyGJFMyDEto5Uwf4biiQEcYa5JSJa7c5FGZQ5ukbtUe2rUJ33f3o7nYLSbtkvjekvP7qbsRHZEaBA7Ufg</x:v>
      </x:c>
      <x:c r="AA88" s="2" t="str">
        <x:v>Raydium CLMM: фактическая комиссия</x:v>
      </x:c>
      <x:c r="AB88" s="2" t="str">
        <x:v>Ad7pbBvVRNofo96WR6eHwmU2o4naZ6Lao1J98hW8a1TQ</x:v>
      </x:c>
    </x:row>
    <x:row r="89" ht="21" customHeight="1">
      <x:c r="A89" s="2" t="n">
        <x:v>82</x:v>
      </x:c>
      <x:c r="B89" s="9" t="n">
        <x:v>46281.565474537034</x:v>
      </x:c>
      <x:c r="C89" s="2" t="str">
        <x:v>Докупка</x:v>
      </x:c>
      <x:c r="D89" s="2" t="str">
        <x:v>6GmAFSYs4gk3FDao5FzzySQpPZaWsa4rUJHacpMpUNgx</x:v>
      </x:c>
      <x:c r="E89" s="10" t="n">
        <x:v>2500</x:v>
      </x:c>
      <x:c r="F89" s="11" t="n">
        <x:v>15255.386173139</x:v>
      </x:c>
      <x:c r="G89" s="11" t="n">
        <x:v>38345061.604827054</x:v>
      </x:c>
      <x:c r="H89" s="12" t="n">
        <x:f>IF(AND(E89&gt;0,F89&gt;0),E89/F89,NA())</x:f>
        <x:v>0.16387654639656962</x:v>
      </x:c>
      <x:c r="I89" s="13" t="n">
        <x:v>0.002009570025357724</x:v>
      </x:c>
      <x:c r="J89" s="14" t="str">
        <x:f>'Цены'!G818</x:f>
      </x:c>
      <x:c r="K89" s="14" t="str">
        <x:f>'Цены'!G819</x:f>
      </x:c>
      <x:c r="L89" s="14" t="str">
        <x:f>'Цены'!G820</x:f>
      </x:c>
      <x:c r="M89" s="14" t="str">
        <x:f>'Цены'!G821</x:f>
      </x:c>
      <x:c r="N89" s="14" t="str">
        <x:f>'Цены'!G822</x:f>
      </x:c>
      <x:c r="O89" s="14" t="str">
        <x:f>'Цены'!G823</x:f>
      </x:c>
      <x:c r="P89" s="14" t="str">
        <x:f>'Цены'!G824</x:f>
      </x:c>
      <x:c r="Q89" s="14" t="str">
        <x:f>'Цены'!G825</x:f>
      </x:c>
      <x:c r="R89" s="14" t="str">
        <x:f>'Цены'!G826</x:f>
      </x:c>
      <x:c r="S89" s="14" t="str">
        <x:f>'Цены'!G827</x:f>
      </x:c>
      <x:c r="T89" s="2" t="n">
        <x:f>COUNT(J89:S89)</x:f>
        <x:v>0</x:v>
      </x:c>
      <x:c r="U89" s="2" t="str">
        <x:v>RPC: данные не загружены: 10</x:v>
      </x:c>
      <x:c r="V89" s="2" t="n">
        <x:v>447535136</x:v>
      </x:c>
      <x:c r="W89" s="2" t="n">
        <x:v>1235</x:v>
      </x:c>
      <x:c r="X89" s="15" t="n">
        <x:v>0.002527088</x:v>
      </x:c>
      <x:c r="Y89" s="2" t="str">
        <x:v>4KXKgHwpzn4gqdoqqWJ2n6Ean3Two6CgEv9Gd9Vgitdg6ayh7cunJ9X9oGcaJ51a14RCrbpoQpt4HnzsatQuNBLo</x:v>
      </x:c>
      <x:c r="Z89" s="2" t="str">
        <x:v>https://solscan.io/tx/4KXKgHwpzn4gqdoqqWJ2n6Ean3Two6CgEv9Gd9Vgitdg6ayh7cunJ9X9oGcaJ51a14RCrbpoQpt4HnzsatQuNBLo</x:v>
      </x:c>
      <x:c r="AA89" s="2" t="str">
        <x:v>Meteora DLMM: фактическая комиссия</x:v>
      </x:c>
      <x:c r="AB89" s="2" t="str">
        <x:v>zxTpi4BtaWX3mgdAPoezkMD1hxx8CdeCfrqXMWvSCLX</x:v>
      </x:c>
    </x:row>
    <x:row r="90" ht="21" customHeight="1">
      <x:c r="A90" s="2" t="n">
        <x:v>83</x:v>
      </x:c>
      <x:c r="B90" s="9" t="n">
        <x:v>46281.56429398148</x:v>
      </x:c>
      <x:c r="C90" s="2" t="str">
        <x:v>Докупка</x:v>
      </x:c>
      <x:c r="D90" s="2" t="str">
        <x:v>6GmAFSYs4gk3FDao5FzzySQpPZaWsa4rUJHacpMpUNgx</x:v>
      </x:c>
      <x:c r="E90" s="10" t="n">
        <x:v>1961.132615</x:v>
      </x:c>
      <x:c r="F90" s="11" t="n">
        <x:v>12041.856107678</x:v>
      </x:c>
      <x:c r="G90" s="11" t="n">
        <x:v>38333019.74871938</x:v>
      </x:c>
      <x:c r="H90" s="12" t="n">
        <x:f>IF(AND(E90&gt;0,F90&gt;0),E90/F90,NA())</x:f>
        <x:v>0.16285966195440282</x:v>
      </x:c>
      <x:c r="I90" s="13" t="n">
        <x:v>0.002008000030028768</x:v>
      </x:c>
      <x:c r="J90" s="14" t="str">
        <x:f>'Цены'!G828</x:f>
      </x:c>
      <x:c r="K90" s="14" t="str">
        <x:f>'Цены'!G829</x:f>
      </x:c>
      <x:c r="L90" s="14" t="str">
        <x:f>'Цены'!G830</x:f>
      </x:c>
      <x:c r="M90" s="14" t="str">
        <x:f>'Цены'!G831</x:f>
      </x:c>
      <x:c r="N90" s="14" t="str">
        <x:f>'Цены'!G832</x:f>
      </x:c>
      <x:c r="O90" s="14" t="str">
        <x:f>'Цены'!G833</x:f>
      </x:c>
      <x:c r="P90" s="14" t="str">
        <x:f>'Цены'!G834</x:f>
      </x:c>
      <x:c r="Q90" s="14" t="str">
        <x:f>'Цены'!G835</x:f>
      </x:c>
      <x:c r="R90" s="14" t="str">
        <x:f>'Цены'!G836</x:f>
      </x:c>
      <x:c r="S90" s="14" t="str">
        <x:f>'Цены'!G837</x:f>
      </x:c>
      <x:c r="T90" s="2" t="n">
        <x:f>COUNT(J90:S90)</x:f>
        <x:v>0</x:v>
      </x:c>
      <x:c r="U90" s="2" t="str">
        <x:v>RPC: данные не загружены: 10</x:v>
      </x:c>
      <x:c r="V90" s="2" t="n">
        <x:v>447534814</x:v>
      </x:c>
      <x:c r="W90" s="2" t="n">
        <x:v>157</x:v>
      </x:c>
      <x:c r="X90" s="15" t="n">
        <x:v>0.00190112</x:v>
      </x:c>
      <x:c r="Y90" s="2" t="str">
        <x:v>24QJbswwcPcAAVRGkdTQ7nhpCPZnEw2o4s6xk2uw9RQCZ9PNHW8M9Kdc29NnErv1AvpTQTBDx3btK3ytgkNSVQLs</x:v>
      </x:c>
      <x:c r="Z90" s="2" t="str">
        <x:v>https://solscan.io/tx/24QJbswwcPcAAVRGkdTQ7nhpCPZnEw2o4s6xk2uw9RQCZ9PNHW8M9Kdc29NnErv1AvpTQTBDx3btK3ytgkNSVQLs</x:v>
      </x:c>
      <x:c r="AA90" s="2" t="str">
        <x:v>Meteora DLMM: фактическая комиссия</x:v>
      </x:c>
      <x:c r="AB90" s="2" t="str">
        <x:v>zxTpi4BtaWX3mgdAPoezkMD1hxx8CdeCfrqXMWvSCLX</x:v>
      </x:c>
    </x:row>
    <x:row r="91" ht="21" customHeight="1">
      <x:c r="A91" s="2" t="n">
        <x:v>84</x:v>
      </x:c>
      <x:c r="B91" s="9" t="n">
        <x:v>46281.56128472222</x:v>
      </x:c>
      <x:c r="C91" s="2" t="str">
        <x:v>Докупка</x:v>
      </x:c>
      <x:c r="D91" s="2" t="str">
        <x:v>HTmQz7My6MehV7bjhJ6jde8nDND1yvsz68d24LP7YgUQ</x:v>
      </x:c>
      <x:c r="E91" s="10" t="n">
        <x:v>1922.625799</x:v>
      </x:c>
      <x:c r="F91" s="11" t="n">
        <x:v>632754.382253</x:v>
      </x:c>
      <x:c r="G91" s="11" t="n">
        <x:v>12280897.331336</x:v>
      </x:c>
      <x:c r="H91" s="12" t="n">
        <x:f>IF(AND(E91&gt;0,F91&gt;0),E91/F91,NA())</x:f>
        <x:v>0.0030385025420989636</x:v>
      </x:c>
      <x:c r="I91" s="13" t="n">
        <x:v>0.0125</x:v>
      </x:c>
      <x:c r="J91" s="14" t="str">
        <x:f>'Цены'!G838</x:f>
      </x:c>
      <x:c r="K91" s="14" t="str">
        <x:f>'Цены'!G839</x:f>
      </x:c>
      <x:c r="L91" s="14" t="str">
        <x:f>'Цены'!G840</x:f>
      </x:c>
      <x:c r="M91" s="14" t="str">
        <x:f>'Цены'!G841</x:f>
      </x:c>
      <x:c r="N91" s="14" t="str">
        <x:f>'Цены'!G842</x:f>
      </x:c>
      <x:c r="O91" s="14" t="str">
        <x:f>'Цены'!G843</x:f>
      </x:c>
      <x:c r="P91" s="14" t="str">
        <x:f>'Цены'!G844</x:f>
      </x:c>
      <x:c r="Q91" s="14" t="str">
        <x:f>'Цены'!G845</x:f>
      </x:c>
      <x:c r="R91" s="14" t="str">
        <x:f>'Цены'!G846</x:f>
      </x:c>
      <x:c r="S91" s="14" t="str">
        <x:f>'Цены'!G847</x:f>
      </x:c>
      <x:c r="T91" s="2" t="n">
        <x:f>COUNT(J91:S91)</x:f>
        <x:v>0</x:v>
      </x:c>
      <x:c r="U91" s="2" t="str">
        <x:v>RPC: данные не загружены: 10</x:v>
      </x:c>
      <x:c r="V91" s="2" t="n">
        <x:v>447533996</x:v>
      </x:c>
      <x:c r="W91" s="2" t="n">
        <x:v>852</x:v>
      </x:c>
      <x:c r="X91" s="15" t="n">
        <x:v>0.000019792</x:v>
      </x:c>
      <x:c r="Y91" s="2" t="str">
        <x:v>2LZtn6Y3GE8R6s4ErSLbhLS37Wb6RvhG4eGJHpufVzV26fYWxT4icTwHaPQePaHA1Ssf7Xnra6PKA82h9qf46269</x:v>
      </x:c>
      <x:c r="Z91" s="2" t="str">
        <x:v>https://solscan.io/tx/2LZtn6Y3GE8R6s4ErSLbhLS37Wb6RvhG4eGJHpufVzV26fYWxT4icTwHaPQePaHA1Ssf7Xnra6PKA82h9qf46269</x:v>
      </x:c>
      <x:c r="AA91" s="2" t="str">
        <x:v>Raydium CPMM: конфигурация и событие</x:v>
      </x:c>
      <x:c r="AB91" s="2" t="str">
        <x:v>6fNtUWWpf9VckoZXce7pFUyxA9wPRVPpe83txqdYFiCn</x:v>
      </x:c>
    </x:row>
    <x:row r="92" ht="21" customHeight="1">
      <x:c r="A92" s="2" t="n">
        <x:v>85</x:v>
      </x:c>
      <x:c r="B92" s="9" t="n">
        <x:v>46281.56112268518</x:v>
      </x:c>
      <x:c r="C92" s="2" t="str">
        <x:v>Докупка</x:v>
      </x:c>
      <x:c r="D92" s="2" t="str">
        <x:v>6GmAFSYs4gk3FDao5FzzySQpPZaWsa4rUJHacpMpUNgx</x:v>
      </x:c>
      <x:c r="E92" s="10" t="n">
        <x:v>2500</x:v>
      </x:c>
      <x:c r="F92" s="11" t="n">
        <x:v>14829.185149122</x:v>
      </x:c>
      <x:c r="G92" s="11" t="n">
        <x:v>38318190.56357025</x:v>
      </x:c>
      <x:c r="H92" s="12" t="n">
        <x:f>IF(AND(E92&gt;0,F92&gt;0),E92/F92,NA())</x:f>
        <x:v>0.16858647153299713</x:v>
      </x:c>
      <x:c r="I92" s="13" t="n">
        <x:v>0.002007999987682345</x:v>
      </x:c>
      <x:c r="J92" s="14" t="str">
        <x:f>'Цены'!G848</x:f>
      </x:c>
      <x:c r="K92" s="14" t="str">
        <x:f>'Цены'!G849</x:f>
      </x:c>
      <x:c r="L92" s="14" t="str">
        <x:f>'Цены'!G850</x:f>
      </x:c>
      <x:c r="M92" s="14" t="str">
        <x:f>'Цены'!G851</x:f>
      </x:c>
      <x:c r="N92" s="14" t="str">
        <x:f>'Цены'!G852</x:f>
      </x:c>
      <x:c r="O92" s="14" t="str">
        <x:f>'Цены'!G853</x:f>
      </x:c>
      <x:c r="P92" s="14" t="str">
        <x:f>'Цены'!G854</x:f>
      </x:c>
      <x:c r="Q92" s="14" t="str">
        <x:f>'Цены'!G855</x:f>
      </x:c>
      <x:c r="R92" s="14" t="str">
        <x:f>'Цены'!G856</x:f>
      </x:c>
      <x:c r="S92" s="14" t="str">
        <x:f>'Цены'!G857</x:f>
      </x:c>
      <x:c r="T92" s="2" t="n">
        <x:f>COUNT(J92:S92)</x:f>
        <x:v>0</x:v>
      </x:c>
      <x:c r="U92" s="2" t="str">
        <x:v>RPC: данные не загружены: 10</x:v>
      </x:c>
      <x:c r="V92" s="2" t="n">
        <x:v>447533955</x:v>
      </x:c>
      <x:c r="W92" s="2" t="n">
        <x:v>706</x:v>
      </x:c>
      <x:c r="X92" s="15" t="n">
        <x:v>0.001066453</x:v>
      </x:c>
      <x:c r="Y92" s="2" t="str">
        <x:v>4eMhA6z7Q3AFPfQxmEH7zjfhKvndMsyswHYc9yMTJyMYCqAXZwf6dZ9UhVt3QcUfixVsvxYZqn7cUMtVAgWsW7U7</x:v>
      </x:c>
      <x:c r="Z92" s="2" t="str">
        <x:v>https://solscan.io/tx/4eMhA6z7Q3AFPfQxmEH7zjfhKvndMsyswHYc9yMTJyMYCqAXZwf6dZ9UhVt3QcUfixVsvxYZqn7cUMtVAgWsW7U7</x:v>
      </x:c>
      <x:c r="AA92" s="2" t="str">
        <x:v>Meteora DLMM: фактическая комиссия</x:v>
      </x:c>
      <x:c r="AB92" s="2" t="str">
        <x:v>zxTpi4BtaWX3mgdAPoezkMD1hxx8CdeCfrqXMWvSCLX</x:v>
      </x:c>
    </x:row>
    <x:row r="93" ht="21" customHeight="1">
      <x:c r="A93" s="2" t="n">
        <x:v>86</x:v>
      </x:c>
      <x:c r="B93" s="9" t="n">
        <x:v>46281.560740740744</x:v>
      </x:c>
      <x:c r="C93" s="2" t="str">
        <x:v>Докупка</x:v>
      </x:c>
      <x:c r="D93" s="2" t="str">
        <x:v>6GmAFSYs4gk3FDao5FzzySQpPZaWsa4rUJHacpMpUNgx</x:v>
      </x:c>
      <x:c r="E93" s="10" t="n">
        <x:v>2500</x:v>
      </x:c>
      <x:c r="F93" s="11" t="n">
        <x:v>14842.733842401</x:v>
      </x:c>
      <x:c r="G93" s="11" t="n">
        <x:v>38303347.82972785</x:v>
      </x:c>
      <x:c r="H93" s="12" t="n">
        <x:f>IF(AND(E93&gt;0,F93&gt;0),E93/F93,NA())</x:f>
        <x:v>0.16843258300962657</x:v>
      </x:c>
      <x:c r="I93" s="13" t="n">
        <x:v>0.0015788538225384296</x:v>
      </x:c>
      <x:c r="J93" s="14" t="str">
        <x:f>'Цены'!G858</x:f>
      </x:c>
      <x:c r="K93" s="14" t="str">
        <x:f>'Цены'!G859</x:f>
      </x:c>
      <x:c r="L93" s="14" t="str">
        <x:f>'Цены'!G860</x:f>
      </x:c>
      <x:c r="M93" s="14" t="str">
        <x:f>'Цены'!G861</x:f>
      </x:c>
      <x:c r="N93" s="14" t="str">
        <x:f>'Цены'!G862</x:f>
      </x:c>
      <x:c r="O93" s="14" t="str">
        <x:f>'Цены'!G863</x:f>
      </x:c>
      <x:c r="P93" s="14" t="str">
        <x:f>'Цены'!G864</x:f>
      </x:c>
      <x:c r="Q93" s="14" t="str">
        <x:f>'Цены'!G865</x:f>
      </x:c>
      <x:c r="R93" s="14" t="str">
        <x:f>'Цены'!G866</x:f>
      </x:c>
      <x:c r="S93" s="14" t="str">
        <x:f>'Цены'!G867</x:f>
      </x:c>
      <x:c r="T93" s="2" t="n">
        <x:f>COUNT(J93:S93)</x:f>
        <x:v>0</x:v>
      </x:c>
      <x:c r="U93" s="2" t="str">
        <x:v>RPC: данные не загружены: 10</x:v>
      </x:c>
      <x:c r="V93" s="2" t="n">
        <x:v>447533851</x:v>
      </x:c>
      <x:c r="W93" s="2" t="n">
        <x:v>115</x:v>
      </x:c>
      <x:c r="X93" s="15" t="n">
        <x:v>0.0000352</x:v>
      </x:c>
      <x:c r="Y93" s="2" t="str">
        <x:v>5wcXfcHXNRJWVWhTKr1A1sYM4n3AJmKeQSAhGpB7gej5bP33wnxVqCug5yerNUEz7N5ubifrBx353t5BJpah7sjr</x:v>
      </x:c>
      <x:c r="Z93" s="2" t="str">
        <x:v>https://solscan.io/tx/5wcXfcHXNRJWVWhTKr1A1sYM4n3AJmKeQSAhGpB7gej5bP33wnxVqCug5yerNUEz7N5ubifrBx353t5BJpah7sjr</x:v>
      </x:c>
      <x:c r="AA93" s="2" t="str">
        <x:v>Meteora DLMM: фактическая комиссия</x:v>
      </x:c>
      <x:c r="AB93" s="2" t="str">
        <x:v>36SpkkrsnyUgjPC24KU993r8T3whkJaPgoEeAmbBj9uB</x:v>
      </x:c>
    </x:row>
    <x:row r="94" ht="21" customHeight="1">
      <x:c r="A94" s="2" t="n">
        <x:v>87</x:v>
      </x:c>
      <x:c r="B94" s="9" t="n">
        <x:v>46281.464467592596</x:v>
      </x:c>
      <x:c r="C94" s="2" t="str">
        <x:v>Докупка</x:v>
      </x:c>
      <x:c r="D94" s="2" t="str">
        <x:v>HTmQz7My6MehV7bjhJ6jde8nDND1yvsz68d24LP7YgUQ</x:v>
      </x:c>
      <x:c r="E94" s="10" t="n">
        <x:v>915.502719</x:v>
      </x:c>
      <x:c r="F94" s="11" t="n">
        <x:v>325088.766684</x:v>
      </x:c>
      <x:c r="G94" s="11" t="n">
        <x:v>11953354.409499</x:v>
      </x:c>
      <x:c r="H94" s="12" t="n">
        <x:f>IF(AND(E94&gt;0,F94&gt;0),E94/F94,NA())</x:f>
        <x:v>0.0028161622695806877</x:v>
      </x:c>
      <x:c r="I94" s="13" t="n">
        <x:v>0.0125</x:v>
      </x:c>
      <x:c r="J94" s="14" t="str">
        <x:f>'Цены'!G868</x:f>
      </x:c>
      <x:c r="K94" s="14" t="str">
        <x:f>'Цены'!G869</x:f>
      </x:c>
      <x:c r="L94" s="14" t="str">
        <x:f>'Цены'!G870</x:f>
      </x:c>
      <x:c r="M94" s="14" t="str">
        <x:f>'Цены'!G871</x:f>
      </x:c>
      <x:c r="N94" s="14" t="str">
        <x:f>'Цены'!G872</x:f>
      </x:c>
      <x:c r="O94" s="14" t="str">
        <x:f>'Цены'!G873</x:f>
      </x:c>
      <x:c r="P94" s="14" t="str">
        <x:f>'Цены'!G874</x:f>
      </x:c>
      <x:c r="Q94" s="14" t="str">
        <x:f>'Цены'!G875</x:f>
      </x:c>
      <x:c r="R94" s="14" t="str">
        <x:f>'Цены'!G876</x:f>
      </x:c>
      <x:c r="S94" s="14" t="str">
        <x:f>'Цены'!G877</x:f>
      </x:c>
      <x:c r="T94" s="2" t="n">
        <x:f>COUNT(J94:S94)</x:f>
        <x:v>0</x:v>
      </x:c>
      <x:c r="U94" s="2" t="str">
        <x:v>RPC: данные не загружены: 10</x:v>
      </x:c>
      <x:c r="V94" s="2" t="n">
        <x:v>447507575</x:v>
      </x:c>
      <x:c r="W94" s="2" t="n">
        <x:v>249</x:v>
      </x:c>
      <x:c r="X94" s="15" t="n">
        <x:v>0.000702398</x:v>
      </x:c>
      <x:c r="Y94" s="2" t="str">
        <x:v>2sNsbps943BPTfffeC4JCE6s8GjJtiQ1inanmm9CQu5suNng5M2t581U4tyRuPTsxEgrPgxrjXDt4EuPama7XJBx</x:v>
      </x:c>
      <x:c r="Z94" s="2" t="str">
        <x:v>https://solscan.io/tx/2sNsbps943BPTfffeC4JCE6s8GjJtiQ1inanmm9CQu5suNng5M2t581U4tyRuPTsxEgrPgxrjXDt4EuPama7XJBx</x:v>
      </x:c>
      <x:c r="AA94" s="2" t="str">
        <x:v>Raydium CPMM: конфигурация и событие</x:v>
      </x:c>
      <x:c r="AB94" s="2" t="str">
        <x:v>6fNtUWWpf9VckoZXce7pFUyxA9wPRVPpe83txqdYFiCn</x:v>
      </x:c>
    </x:row>
    <x:row r="95" ht="21" customHeight="1">
      <x:c r="A95" s="2" t="n">
        <x:v>88</x:v>
      </x:c>
      <x:c r="B95" s="9" t="n">
        <x:v>46281.464212962965</x:v>
      </x:c>
      <x:c r="C95" s="2" t="str">
        <x:v>Докупка</x:v>
      </x:c>
      <x:c r="D95" s="2" t="str">
        <x:v>6GmAFSYs4gk3FDao5FzzySQpPZaWsa4rUJHacpMpUNgx</x:v>
      </x:c>
      <x:c r="E95" s="10" t="n">
        <x:v>2500</x:v>
      </x:c>
      <x:c r="F95" s="11" t="n">
        <x:v>14576.530391219</x:v>
      </x:c>
      <x:c r="G95" s="11" t="n">
        <x:v>38285382.906425714</x:v>
      </x:c>
      <x:c r="H95" s="12" t="n">
        <x:f>IF(AND(E95&gt;0,F95&gt;0),E95/F95,NA())</x:f>
        <x:v>0.17150857802937913</x:v>
      </x:c>
      <x:c r="I95" s="13"/>
      <x:c r="J95" s="14" t="str">
        <x:f>'Цены'!G878</x:f>
      </x:c>
      <x:c r="K95" s="14" t="str">
        <x:f>'Цены'!G879</x:f>
      </x:c>
      <x:c r="L95" s="14" t="str">
        <x:f>'Цены'!G880</x:f>
      </x:c>
      <x:c r="M95" s="14" t="str">
        <x:f>'Цены'!G881</x:f>
      </x:c>
      <x:c r="N95" s="14" t="str">
        <x:f>'Цены'!G882</x:f>
      </x:c>
      <x:c r="O95" s="14" t="str">
        <x:f>'Цены'!G883</x:f>
      </x:c>
      <x:c r="P95" s="14" t="str">
        <x:f>'Цены'!G884</x:f>
      </x:c>
      <x:c r="Q95" s="14" t="str">
        <x:f>'Цены'!G885</x:f>
      </x:c>
      <x:c r="R95" s="14" t="str">
        <x:f>'Цены'!G886</x:f>
      </x:c>
      <x:c r="S95" s="14" t="str">
        <x:f>'Цены'!G887</x:f>
      </x:c>
      <x:c r="T95" s="2" t="n">
        <x:f>COUNT(J95:S95)</x:f>
        <x:v>0</x:v>
      </x:c>
      <x:c r="U95" s="2" t="str">
        <x:v>GatorSwap: нет модели цены: 10</x:v>
      </x:c>
      <x:c r="V95" s="2" t="n">
        <x:v>447507502</x:v>
      </x:c>
      <x:c r="W95" s="2" t="n">
        <x:v>83</x:v>
      </x:c>
      <x:c r="X95" s="15" t="n">
        <x:v>0.001657794</x:v>
      </x:c>
      <x:c r="Y95" s="2" t="str">
        <x:v>4TuWKkNZ3WnQMvtmMf4DrvUZ3G47qV49VVdL3ujyXdaFuEBgKiZPTAtsQA344bawCYVLQijgfLEVJnaPeizjam8L</x:v>
      </x:c>
      <x:c r="Z95" s="2" t="str">
        <x:v>https://solscan.io/tx/4TuWKkNZ3WnQMvtmMf4DrvUZ3G47qV49VVdL3ujyXdaFuEBgKiZPTAtsQA344bawCYVLQijgfLEVJnaPeizjam8L</x:v>
      </x:c>
      <x:c r="AA95" s="2" t="str">
        <x:v>GatorSwap: комиссия не определена</x:v>
      </x:c>
      <x:c r="AB95" s="2"/>
    </x:row>
    <x:row r="96" ht="21" customHeight="1">
      <x:c r="A96" s="2" t="n">
        <x:v>89</x:v>
      </x:c>
      <x:c r="B96" s="9" t="n">
        <x:v>46281.19112268519</x:v>
      </x:c>
      <x:c r="C96" s="2" t="str">
        <x:v>Докупка</x:v>
      </x:c>
      <x:c r="D96" s="2" t="str">
        <x:v>6GmAFSYs4gk3FDao5FzzySQpPZaWsa4rUJHacpMpUNgx</x:v>
      </x:c>
      <x:c r="E96" s="10" t="n">
        <x:v>604.583683</x:v>
      </x:c>
      <x:c r="F96" s="11" t="n">
        <x:v>3895.516094323</x:v>
      </x:c>
      <x:c r="G96" s="11" t="n">
        <x:v>38277438.9942519</x:v>
      </x:c>
      <x:c r="H96" s="12" t="n">
        <x:f>IF(AND(E96&gt;0,F96&gt;0),E96/F96,NA())</x:f>
        <x:v>0.15519989350860847</x:v>
      </x:c>
      <x:c r="I96" s="13" t="n">
        <x:v>0.002147870005497042</x:v>
      </x:c>
      <x:c r="J96" s="14" t="str">
        <x:f>'Цены'!G888</x:f>
      </x:c>
      <x:c r="K96" s="14" t="str">
        <x:f>'Цены'!G889</x:f>
      </x:c>
      <x:c r="L96" s="14" t="str">
        <x:f>'Цены'!G890</x:f>
      </x:c>
      <x:c r="M96" s="14" t="str">
        <x:f>'Цены'!G891</x:f>
      </x:c>
      <x:c r="N96" s="14" t="str">
        <x:f>'Цены'!G892</x:f>
      </x:c>
      <x:c r="O96" s="14" t="str">
        <x:f>'Цены'!G893</x:f>
      </x:c>
      <x:c r="P96" s="14" t="str">
        <x:f>'Цены'!G894</x:f>
      </x:c>
      <x:c r="Q96" s="14" t="str">
        <x:f>'Цены'!G895</x:f>
      </x:c>
      <x:c r="R96" s="14" t="str">
        <x:f>'Цены'!G896</x:f>
      </x:c>
      <x:c r="S96" s="14" t="str">
        <x:f>'Цены'!G897</x:f>
      </x:c>
      <x:c r="T96" s="2" t="n">
        <x:f>COUNT(J96:S96)</x:f>
        <x:v>0</x:v>
      </x:c>
      <x:c r="U96" s="2" t="str">
        <x:v>RPC: данные не загружены: 10</x:v>
      </x:c>
      <x:c r="V96" s="2" t="n">
        <x:v>447432817</x:v>
      </x:c>
      <x:c r="W96" s="2" t="n">
        <x:v>569</x:v>
      </x:c>
      <x:c r="X96" s="15" t="n">
        <x:v>0.000016629</x:v>
      </x:c>
      <x:c r="Y96" s="2" t="str">
        <x:v>41sAbUYPZx3dsgPrS1ouux3B4iyqkux5HBSdofdTtqLZiq5wrUPzvECMXowG9RaC7tLapSWQXjE38g3DBchgKotA</x:v>
      </x:c>
      <x:c r="Z96" s="2" t="str">
        <x:v>https://solscan.io/tx/41sAbUYPZx3dsgPrS1ouux3B4iyqkux5HBSdofdTtqLZiq5wrUPzvECMXowG9RaC7tLapSWQXjE38g3DBchgKotA</x:v>
      </x:c>
      <x:c r="AA96" s="2" t="str">
        <x:v>Raydium CLMM: фактическая комиссия</x:v>
      </x:c>
      <x:c r="AB96" s="2" t="str">
        <x:v>G4G5SzkbLFMhoSgHiQNeyJFt75sSDsL1rD8LVyT5xZbU</x:v>
      </x:c>
    </x:row>
    <x:row r="97" ht="21" customHeight="1">
      <x:c r="A97" s="2" t="n">
        <x:v>90</x:v>
      </x:c>
      <x:c r="B97" s="9" t="n">
        <x:v>46281.16400462963</x:v>
      </x:c>
      <x:c r="C97" s="2" t="str">
        <x:v>Докупка</x:v>
      </x:c>
      <x:c r="D97" s="2" t="str">
        <x:v>CFNRDaxFcvRwRSNnA5cHrCCr6AHhk9dNkHWpRUjNupFL</x:v>
      </x:c>
      <x:c r="E97" s="10" t="n">
        <x:v>813.342321</x:v>
      </x:c>
      <x:c r="F97" s="11" t="n">
        <x:v>207000.954793683</x:v>
      </x:c>
      <x:c r="G97" s="11" t="n">
        <x:v>16554976.807453025</x:v>
      </x:c>
      <x:c r="H97" s="12" t="n">
        <x:f>IF(AND(E97&gt;0,F97&gt;0),E97/F97,NA())</x:f>
        <x:v>0.0039291718330992965</x:v>
      </x:c>
      <x:c r="I97" s="13" t="n">
        <x:v>0.010000000092890761</x:v>
      </x:c>
      <x:c r="J97" s="14" t="str">
        <x:f>'Цены'!G898</x:f>
      </x:c>
      <x:c r="K97" s="14" t="str">
        <x:f>'Цены'!G899</x:f>
      </x:c>
      <x:c r="L97" s="14" t="str">
        <x:f>'Цены'!G900</x:f>
      </x:c>
      <x:c r="M97" s="14" t="str">
        <x:f>'Цены'!G901</x:f>
      </x:c>
      <x:c r="N97" s="14" t="str">
        <x:f>'Цены'!G902</x:f>
      </x:c>
      <x:c r="O97" s="14" t="str">
        <x:f>'Цены'!G903</x:f>
      </x:c>
      <x:c r="P97" s="14" t="str">
        <x:f>'Цены'!G904</x:f>
      </x:c>
      <x:c r="Q97" s="14" t="str">
        <x:f>'Цены'!G905</x:f>
      </x:c>
      <x:c r="R97" s="14" t="str">
        <x:f>'Цены'!G906</x:f>
      </x:c>
      <x:c r="S97" s="14" t="str">
        <x:f>'Цены'!G907</x:f>
      </x:c>
      <x:c r="T97" s="2" t="n">
        <x:f>COUNT(J97:S97)</x:f>
        <x:v>0</x:v>
      </x:c>
      <x:c r="U97" s="2" t="str">
        <x:v>RPC: данные не загружены: 10</x:v>
      </x:c>
      <x:c r="V97" s="2" t="n">
        <x:v>447425428</x:v>
      </x:c>
      <x:c r="W97" s="2" t="n">
        <x:v>414</x:v>
      </x:c>
      <x:c r="X97" s="15" t="n">
        <x:v>0.000024893</x:v>
      </x:c>
      <x:c r="Y97" s="2" t="str">
        <x:v>4YAaigBEKsyGutRdXcqp5gDosg13cJygbKNfomuSRoBwtemgWBNfhZzL9KjjVdSq2WZbFfb7ini9EMQ7JQeGjFF9</x:v>
      </x:c>
      <x:c r="Z97" s="2" t="str">
        <x:v>https://solscan.io/tx/4YAaigBEKsyGutRdXcqp5gDosg13cJygbKNfomuSRoBwtemgWBNfhZzL9KjjVdSq2WZbFfb7ini9EMQ7JQeGjFF9</x:v>
      </x:c>
      <x:c r="AA97" s="2" t="str">
        <x:v>Raydium CLMM: фактическая комиссия</x:v>
      </x:c>
      <x:c r="AB97" s="2" t="str">
        <x:v>987VwvJZ5FRjWCY9ZwC2tRUGL8FbMT1aF4pUrT7XjPjD</x:v>
      </x:c>
    </x:row>
    <x:row r="98" ht="21" customHeight="1">
      <x:c r="A98" s="2" t="n">
        <x:v>91</x:v>
      </x:c>
      <x:c r="B98" s="9" t="n">
        <x:v>46281.16375</x:v>
      </x:c>
      <x:c r="C98" s="2" t="str">
        <x:v>Докупка</x:v>
      </x:c>
      <x:c r="D98" s="2" t="str">
        <x:v>3C6sZzwq2ietUdjRaNgTwoKw6dBMkKCe5u1rricjEFAU</x:v>
      </x:c>
      <x:c r="E98" s="10" t="n">
        <x:v>803.565567</x:v>
      </x:c>
      <x:c r="F98" s="11" t="n">
        <x:v>2224699.337362</x:v>
      </x:c>
      <x:c r="G98" s="11" t="n">
        <x:v>37741170.90249</x:v>
      </x:c>
      <x:c r="H98" s="12" t="n">
        <x:f>IF(AND(E98&gt;0,F98&gt;0),E98/F98,NA())</x:f>
        <x:v>0.0003612018727676031</x:v>
      </x:c>
      <x:c r="I98" s="13" t="n">
        <x:v>0.0125</x:v>
      </x:c>
      <x:c r="J98" s="14" t="str">
        <x:f>'Цены'!G908</x:f>
      </x:c>
      <x:c r="K98" s="14" t="str">
        <x:f>'Цены'!G909</x:f>
      </x:c>
      <x:c r="L98" s="14" t="str">
        <x:f>'Цены'!G910</x:f>
      </x:c>
      <x:c r="M98" s="14" t="str">
        <x:f>'Цены'!G911</x:f>
      </x:c>
      <x:c r="N98" s="14" t="str">
        <x:f>'Цены'!G912</x:f>
      </x:c>
      <x:c r="O98" s="14" t="str">
        <x:f>'Цены'!G913</x:f>
      </x:c>
      <x:c r="P98" s="14" t="str">
        <x:f>'Цены'!G914</x:f>
      </x:c>
      <x:c r="Q98" s="14" t="str">
        <x:f>'Цены'!G915</x:f>
      </x:c>
      <x:c r="R98" s="14" t="str">
        <x:f>'Цены'!G916</x:f>
      </x:c>
      <x:c r="S98" s="14" t="str">
        <x:f>'Цены'!G917</x:f>
      </x:c>
      <x:c r="T98" s="2" t="n">
        <x:f>COUNT(J98:S98)</x:f>
        <x:v>0</x:v>
      </x:c>
      <x:c r="U98" s="2" t="str">
        <x:v>RPC: данные не загружены: 10</x:v>
      </x:c>
      <x:c r="V98" s="2" t="n">
        <x:v>447425358</x:v>
      </x:c>
      <x:c r="W98" s="2" t="n">
        <x:v>676</x:v>
      </x:c>
      <x:c r="X98" s="15" t="n">
        <x:v>0.000446872</x:v>
      </x:c>
      <x:c r="Y98" s="2" t="str">
        <x:v>PcjUkFJBnPsNN3DvHtdSVgig2UNfcTeRGVbHFTijEYCeBBn5n7uFQoYeYbbNkVVj5FTbDps2yfd2sXfnV8Q7qY3</x:v>
      </x:c>
      <x:c r="Z98" s="2" t="str">
        <x:v>https://solscan.io/tx/PcjUkFJBnPsNN3DvHtdSVgig2UNfcTeRGVbHFTijEYCeBBn5n7uFQoYeYbbNkVVj5FTbDps2yfd2sXfnV8Q7qY3</x:v>
      </x:c>
      <x:c r="AA98" s="2" t="str">
        <x:v>Raydium CPMM: конфигурация и событие</x:v>
      </x:c>
      <x:c r="AB98" s="2" t="str">
        <x:v>C7ezgafro6XYYmzRkjwacTb4bCkfav9Cy1VCrNtpA1e</x:v>
      </x:c>
    </x:row>
    <x:row r="99" ht="21" customHeight="1">
      <x:c r="A99" s="2" t="n">
        <x:v>92</x:v>
      </x:c>
      <x:c r="B99" s="9" t="n">
        <x:v>46281.163356481484</x:v>
      </x:c>
      <x:c r="C99" s="2" t="str">
        <x:v>Докупка</x:v>
      </x:c>
      <x:c r="D99" s="2" t="str">
        <x:v>3C6sZzwq2ietUdjRaNgTwoKw6dBMkKCe5u1rricjEFAU</x:v>
      </x:c>
      <x:c r="E99" s="10" t="n">
        <x:v>1587.761359</x:v>
      </x:c>
      <x:c r="F99" s="11" t="n">
        <x:v>5144603.012784</x:v>
      </x:c>
      <x:c r="G99" s="11" t="n">
        <x:v>32596567.889706</x:v>
      </x:c>
      <x:c r="H99" s="12" t="n">
        <x:f>IF(AND(E99&gt;0,F99&gt;0),E99/F99,NA())</x:f>
        <x:v>0.00030862660443468963</x:v>
      </x:c>
      <x:c r="I99" s="13" t="n">
        <x:v>0.0125</x:v>
      </x:c>
      <x:c r="J99" s="14" t="str">
        <x:f>'Цены'!G918</x:f>
      </x:c>
      <x:c r="K99" s="14" t="str">
        <x:f>'Цены'!G919</x:f>
      </x:c>
      <x:c r="L99" s="14" t="str">
        <x:f>'Цены'!G920</x:f>
      </x:c>
      <x:c r="M99" s="14" t="str">
        <x:f>'Цены'!G921</x:f>
      </x:c>
      <x:c r="N99" s="14" t="str">
        <x:f>'Цены'!G922</x:f>
      </x:c>
      <x:c r="O99" s="14" t="str">
        <x:f>'Цены'!G923</x:f>
      </x:c>
      <x:c r="P99" s="14" t="str">
        <x:f>'Цены'!G924</x:f>
      </x:c>
      <x:c r="Q99" s="14" t="str">
        <x:f>'Цены'!G925</x:f>
      </x:c>
      <x:c r="R99" s="14" t="str">
        <x:f>'Цены'!G926</x:f>
      </x:c>
      <x:c r="S99" s="14" t="str">
        <x:f>'Цены'!G927</x:f>
      </x:c>
      <x:c r="T99" s="2" t="n">
        <x:f>COUNT(J99:S99)</x:f>
        <x:v>0</x:v>
      </x:c>
      <x:c r="U99" s="2" t="str">
        <x:v>RPC: данные не загружены: 10</x:v>
      </x:c>
      <x:c r="V99" s="2" t="n">
        <x:v>447425250</x:v>
      </x:c>
      <x:c r="W99" s="2" t="n">
        <x:v>104</x:v>
      </x:c>
      <x:c r="X99" s="15" t="n">
        <x:v>0.000014451</x:v>
      </x:c>
      <x:c r="Y99" s="2" t="str">
        <x:v>2xDsUYyGSUoDUxBwB3FvoxWbZ7rPdT87TrKgUaKjehvwUrqiTPxBAKmR5FTmYopYie2q69ZFcg5p1idezKccPzRM</x:v>
      </x:c>
      <x:c r="Z99" s="2" t="str">
        <x:v>https://solscan.io/tx/2xDsUYyGSUoDUxBwB3FvoxWbZ7rPdT87TrKgUaKjehvwUrqiTPxBAKmR5FTmYopYie2q69ZFcg5p1idezKccPzRM</x:v>
      </x:c>
      <x:c r="AA99" s="2" t="str">
        <x:v>Raydium CPMM: конфигурация и событие</x:v>
      </x:c>
      <x:c r="AB99" s="2" t="str">
        <x:v>C7ezgafro6XYYmzRkjwacTb4bCkfav9Cy1VCrNtpA1e</x:v>
      </x:c>
    </x:row>
    <x:row r="100" ht="21" customHeight="1">
      <x:c r="A100" s="2" t="n">
        <x:v>93</x:v>
      </x:c>
      <x:c r="B100" s="9" t="n">
        <x:v>46281.1631712963</x:v>
      </x:c>
      <x:c r="C100" s="2" t="str">
        <x:v>Докупка</x:v>
      </x:c>
      <x:c r="D100" s="2" t="str">
        <x:v>3C6sZzwq2ietUdjRaNgTwoKw6dBMkKCe5u1rricjEFAU</x:v>
      </x:c>
      <x:c r="E100" s="10" t="n">
        <x:v>1057.483791</x:v>
      </x:c>
      <x:c r="F100" s="11" t="n">
        <x:v>4127052.63257</x:v>
      </x:c>
      <x:c r="G100" s="11" t="n">
        <x:v>28469515.257136</x:v>
      </x:c>
      <x:c r="H100" s="12" t="n">
        <x:f>IF(AND(E100&gt;0,F100&gt;0),E100/F100,NA())</x:f>
        <x:v>0.0002562322037413619</x:v>
      </x:c>
      <x:c r="I100" s="13" t="n">
        <x:v>0.0125</x:v>
      </x:c>
      <x:c r="J100" s="14" t="str">
        <x:f>'Цены'!G928</x:f>
      </x:c>
      <x:c r="K100" s="14" t="str">
        <x:f>'Цены'!G929</x:f>
      </x:c>
      <x:c r="L100" s="14" t="str">
        <x:f>'Цены'!G930</x:f>
      </x:c>
      <x:c r="M100" s="14" t="str">
        <x:f>'Цены'!G931</x:f>
      </x:c>
      <x:c r="N100" s="14" t="str">
        <x:f>'Цены'!G932</x:f>
      </x:c>
      <x:c r="O100" s="14" t="str">
        <x:f>'Цены'!G933</x:f>
      </x:c>
      <x:c r="P100" s="14" t="str">
        <x:f>'Цены'!G934</x:f>
      </x:c>
      <x:c r="Q100" s="14" t="str">
        <x:f>'Цены'!G935</x:f>
      </x:c>
      <x:c r="R100" s="14" t="str">
        <x:f>'Цены'!G936</x:f>
      </x:c>
      <x:c r="S100" s="14" t="str">
        <x:f>'Цены'!G937</x:f>
      </x:c>
      <x:c r="T100" s="2" t="n">
        <x:f>COUNT(J100:S100)</x:f>
        <x:v>0</x:v>
      </x:c>
      <x:c r="U100" s="2" t="str">
        <x:v>RPC: данные не загружены: 10</x:v>
      </x:c>
      <x:c r="V100" s="2" t="n">
        <x:v>447425198</x:v>
      </x:c>
      <x:c r="W100" s="2" t="n">
        <x:v>1151</x:v>
      </x:c>
      <x:c r="X100" s="15" t="n">
        <x:v>0.000018179</x:v>
      </x:c>
      <x:c r="Y100" s="2" t="str">
        <x:v>64WwRi6kSFZaLCftSt5V3ca4aRGYjqXR7xa7PAvWRTHajpx51ixNVUYWhJ5wenBkC6aTK2woEjfmhyRFGhRL3s9x</x:v>
      </x:c>
      <x:c r="Z100" s="2" t="str">
        <x:v>https://solscan.io/tx/64WwRi6kSFZaLCftSt5V3ca4aRGYjqXR7xa7PAvWRTHajpx51ixNVUYWhJ5wenBkC6aTK2woEjfmhyRFGhRL3s9x</x:v>
      </x:c>
      <x:c r="AA100" s="2" t="str">
        <x:v>Raydium CPMM: конфигурация и событие</x:v>
      </x:c>
      <x:c r="AB100" s="2" t="str">
        <x:v>C7ezgafro6XYYmzRkjwacTb4bCkfav9Cy1VCrNtpA1e</x:v>
      </x:c>
    </x:row>
    <x:row r="101" ht="21" customHeight="1">
      <x:c r="A101" s="2" t="n">
        <x:v>94</x:v>
      </x:c>
      <x:c r="B101" s="9" t="n">
        <x:v>46281.16289351852</x:v>
      </x:c>
      <x:c r="C101" s="2" t="str">
        <x:v>Докупка</x:v>
      </x:c>
      <x:c r="D101" s="2" t="str">
        <x:v>HTmQz7My6MehV7bjhJ6jde8nDND1yvsz68d24LP7YgUQ</x:v>
      </x:c>
      <x:c r="E101" s="10" t="n">
        <x:v>2500</x:v>
      </x:c>
      <x:c r="F101" s="11" t="n">
        <x:v>979359.270961</x:v>
      </x:c>
      <x:c r="G101" s="11" t="n">
        <x:v>10973995.138538</x:v>
      </x:c>
      <x:c r="H101" s="12" t="n">
        <x:f>IF(AND(E101&gt;0,F101&gt;0),E101/F101,NA())</x:f>
        <x:v>0.0025526893695986207</x:v>
      </x:c>
      <x:c r="I101" s="13" t="n">
        <x:v>0.0125</x:v>
      </x:c>
      <x:c r="J101" s="14" t="str">
        <x:f>'Цены'!G938</x:f>
      </x:c>
      <x:c r="K101" s="14" t="str">
        <x:f>'Цены'!G939</x:f>
      </x:c>
      <x:c r="L101" s="14" t="str">
        <x:f>'Цены'!G940</x:f>
      </x:c>
      <x:c r="M101" s="14" t="str">
        <x:f>'Цены'!G941</x:f>
      </x:c>
      <x:c r="N101" s="14" t="str">
        <x:f>'Цены'!G942</x:f>
      </x:c>
      <x:c r="O101" s="14" t="str">
        <x:f>'Цены'!G943</x:f>
      </x:c>
      <x:c r="P101" s="14" t="str">
        <x:f>'Цены'!G944</x:f>
      </x:c>
      <x:c r="Q101" s="14" t="str">
        <x:f>'Цены'!G945</x:f>
      </x:c>
      <x:c r="R101" s="14" t="str">
        <x:f>'Цены'!G946</x:f>
      </x:c>
      <x:c r="S101" s="14" t="str">
        <x:f>'Цены'!G947</x:f>
      </x:c>
      <x:c r="T101" s="2" t="n">
        <x:f>COUNT(J101:S101)</x:f>
        <x:v>0</x:v>
      </x:c>
      <x:c r="U101" s="2" t="str">
        <x:v>RPC: данные не загружены: 10</x:v>
      </x:c>
      <x:c r="V101" s="2" t="n">
        <x:v>447425122</x:v>
      </x:c>
      <x:c r="W101" s="2" t="n">
        <x:v>86</x:v>
      </x:c>
      <x:c r="X101" s="15" t="n">
        <x:v>0.000059721</x:v>
      </x:c>
      <x:c r="Y101" s="2" t="str">
        <x:v>4GQD9uFjktufwYES5tp9DhQ2iKUEbMsfwj4QpMx1U5if83fuJwgYJBneWoGodWUKnoVbonhQ7wcLxYoGsaEU1Wpy</x:v>
      </x:c>
      <x:c r="Z101" s="2" t="str">
        <x:v>https://solscan.io/tx/4GQD9uFjktufwYES5tp9DhQ2iKUEbMsfwj4QpMx1U5if83fuJwgYJBneWoGodWUKnoVbonhQ7wcLxYoGsaEU1Wpy</x:v>
      </x:c>
      <x:c r="AA101" s="2" t="str">
        <x:v>Raydium CPMM: конфигурация и событие</x:v>
      </x:c>
      <x:c r="AB101" s="2" t="str">
        <x:v>6fNtUWWpf9VckoZXce7pFUyxA9wPRVPpe83txqdYFiCn</x:v>
      </x:c>
    </x:row>
    <x:row r="102" ht="21" customHeight="1">
      <x:c r="A102" s="2" t="n">
        <x:v>95</x:v>
      </x:c>
      <x:c r="B102" s="9" t="n">
        <x:v>46281.16122685185</x:v>
      </x:c>
      <x:c r="C102" s="2" t="str">
        <x:v>Докупка</x:v>
      </x:c>
      <x:c r="D102" s="2" t="str">
        <x:v>Lyi47medADEVDd5hxJo1mbxhnBct841sFpcGRyHTuwp</x:v>
      </x:c>
      <x:c r="E102" s="10" t="n">
        <x:v>809.592217</x:v>
      </x:c>
      <x:c r="F102" s="11" t="n">
        <x:v>1007273.780101442</x:v>
      </x:c>
      <x:c r="G102" s="11" t="n">
        <x:v>49564413.59992827</x:v>
      </x:c>
      <x:c r="H102" s="12" t="n">
        <x:f>IF(AND(E102&gt;0,F102&gt;0),E102/F102,NA())</x:f>
        <x:v>0.0008037459457333104</x:v>
      </x:c>
      <x:c r="I102" s="13" t="n">
        <x:v>0.04</x:v>
      </x:c>
      <x:c r="J102" s="14" t="str">
        <x:f>'Цены'!G948</x:f>
      </x:c>
      <x:c r="K102" s="14" t="str">
        <x:f>'Цены'!G949</x:f>
      </x:c>
      <x:c r="L102" s="14" t="str">
        <x:f>'Цены'!G950</x:f>
      </x:c>
      <x:c r="M102" s="14" t="str">
        <x:f>'Цены'!G951</x:f>
      </x:c>
      <x:c r="N102" s="14" t="str">
        <x:f>'Цены'!G952</x:f>
      </x:c>
      <x:c r="O102" s="14" t="str">
        <x:f>'Цены'!G953</x:f>
      </x:c>
      <x:c r="P102" s="14" t="str">
        <x:f>'Цены'!G954</x:f>
      </x:c>
      <x:c r="Q102" s="14" t="str">
        <x:f>'Цены'!G955</x:f>
      </x:c>
      <x:c r="R102" s="14" t="str">
        <x:f>'Цены'!G956</x:f>
      </x:c>
      <x:c r="S102" s="14" t="str">
        <x:f>'Цены'!G957</x:f>
      </x:c>
      <x:c r="T102" s="2" t="n">
        <x:f>COUNT(J102:S102)</x:f>
        <x:v>0</x:v>
      </x:c>
      <x:c r="U102" s="2" t="str">
        <x:v>RPC: данные не загружены: 10</x:v>
      </x:c>
      <x:c r="V102" s="2" t="n">
        <x:v>447424667</x:v>
      </x:c>
      <x:c r="W102" s="2" t="n">
        <x:v>874</x:v>
      </x:c>
      <x:c r="X102" s="15" t="n">
        <x:v>0.000748431</x:v>
      </x:c>
      <x:c r="Y102" s="2" t="str">
        <x:v>5AFiLGeddZxtLMwUkWJrxB7FNrWj1z9XVKmZrCdeCqSTGYkq3yFpamWCuAhyAouuFAr7jW5Qkv28z6yGfHifMSQt</x:v>
      </x:c>
      <x:c r="Z102" s="2" t="str">
        <x:v>https://solscan.io/tx/5AFiLGeddZxtLMwUkWJrxB7FNrWj1z9XVKmZrCdeCqSTGYkq3yFpamWCuAhyAouuFAr7jW5Qkv28z6yGfHifMSQt</x:v>
      </x:c>
      <x:c r="AA102" s="2" t="str">
        <x:v>Raydium CLMM: конфигурация подтверждена</x:v>
      </x:c>
      <x:c r="AB102" s="2" t="str">
        <x:v>HMh9syEn37waF4hNYcyMuaPRv6xFTpTdb3MqMEMNppSR</x:v>
      </x:c>
    </x:row>
    <x:row r="103" ht="21" customHeight="1">
      <x:c r="A103" s="2" t="n">
        <x:v>96</x:v>
      </x:c>
      <x:c r="B103" s="9" t="n">
        <x:v>46281.161099537036</x:v>
      </x:c>
      <x:c r="C103" s="2" t="str">
        <x:v>Докупка</x:v>
      </x:c>
      <x:c r="D103" s="2" t="str">
        <x:v>HTmQz7My6MehV7bjhJ6jde8nDND1yvsz68d24LP7YgUQ</x:v>
      </x:c>
      <x:c r="E103" s="10" t="n">
        <x:v>1079.443382</x:v>
      </x:c>
      <x:c r="F103" s="11" t="n">
        <x:v>444426.803302</x:v>
      </x:c>
      <x:c r="G103" s="11" t="n">
        <x:v>10529568.335236</x:v>
      </x:c>
      <x:c r="H103" s="12" t="n">
        <x:f>IF(AND(E103&gt;0,F103&gt;0),E103/F103,NA())</x:f>
        <x:v>0.0024288440165623607</x:v>
      </x:c>
      <x:c r="I103" s="13" t="n">
        <x:v>0.0125</x:v>
      </x:c>
      <x:c r="J103" s="14" t="str">
        <x:f>'Цены'!G958</x:f>
      </x:c>
      <x:c r="K103" s="14" t="str">
        <x:f>'Цены'!G959</x:f>
      </x:c>
      <x:c r="L103" s="14" t="str">
        <x:f>'Цены'!G960</x:f>
      </x:c>
      <x:c r="M103" s="14" t="str">
        <x:f>'Цены'!G961</x:f>
      </x:c>
      <x:c r="N103" s="14" t="str">
        <x:f>'Цены'!G962</x:f>
      </x:c>
      <x:c r="O103" s="14" t="str">
        <x:f>'Цены'!G963</x:f>
      </x:c>
      <x:c r="P103" s="14" t="str">
        <x:f>'Цены'!G964</x:f>
      </x:c>
      <x:c r="Q103" s="14" t="str">
        <x:f>'Цены'!G965</x:f>
      </x:c>
      <x:c r="R103" s="14" t="str">
        <x:f>'Цены'!G966</x:f>
      </x:c>
      <x:c r="S103" s="14" t="str">
        <x:f>'Цены'!G967</x:f>
      </x:c>
      <x:c r="T103" s="2" t="n">
        <x:f>COUNT(J103:S103)</x:f>
        <x:v>0</x:v>
      </x:c>
      <x:c r="U103" s="2" t="str">
        <x:v>RPC: данные не загружены: 10</x:v>
      </x:c>
      <x:c r="V103" s="2" t="n">
        <x:v>447424632</x:v>
      </x:c>
      <x:c r="W103" s="2" t="n">
        <x:v>1356</x:v>
      </x:c>
      <x:c r="X103" s="15" t="n">
        <x:v>0.000309256</x:v>
      </x:c>
      <x:c r="Y103" s="2" t="str">
        <x:v>4WizHqeiEzdYQUbW8VYDJ85RuYjsf6yzpWe1nhU2EWzsp7oNs39Y9pvygYwTLvj5AKJ2pr4SL2MnzKWXEpURK6gF</x:v>
      </x:c>
      <x:c r="Z103" s="2" t="str">
        <x:v>https://solscan.io/tx/4WizHqeiEzdYQUbW8VYDJ85RuYjsf6yzpWe1nhU2EWzsp7oNs39Y9pvygYwTLvj5AKJ2pr4SL2MnzKWXEpURK6gF</x:v>
      </x:c>
      <x:c r="AA103" s="2" t="str">
        <x:v>Raydium CPMM: конфигурация и событие</x:v>
      </x:c>
      <x:c r="AB103" s="2" t="str">
        <x:v>6fNtUWWpf9VckoZXce7pFUyxA9wPRVPpe83txqdYFiCn</x:v>
      </x:c>
    </x:row>
    <x:row r="104" ht="21" customHeight="1">
      <x:c r="A104" s="2" t="n">
        <x:v>97</x:v>
      </x:c>
      <x:c r="B104" s="9" t="n">
        <x:v>46281.15578703704</x:v>
      </x:c>
      <x:c r="C104" s="2" t="str">
        <x:v>Докупка</x:v>
      </x:c>
      <x:c r="D104" s="2" t="str">
        <x:v>AqoPZcUumKUBHrnfBsNtoNuneYEjoimaiWYq8GH8gpX9</x:v>
      </x:c>
      <x:c r="E104" s="10" t="n">
        <x:v>855.57853</x:v>
      </x:c>
      <x:c r="F104" s="11" t="n">
        <x:v>1192432.940662</x:v>
      </x:c>
      <x:c r="G104" s="11" t="n">
        <x:v>30157866.782668</x:v>
      </x:c>
      <x:c r="H104" s="12" t="n">
        <x:f>IF(AND(E104&gt;0,F104&gt;0),E104/F104,NA())</x:f>
        <x:v>0.0007175066209803049</x:v>
      </x:c>
      <x:c r="I104" s="13" t="n">
        <x:v>0.011054768453325045</x:v>
      </x:c>
      <x:c r="J104" s="14" t="str">
        <x:f>'Цены'!G968</x:f>
      </x:c>
      <x:c r="K104" s="14" t="str">
        <x:f>'Цены'!G969</x:f>
      </x:c>
      <x:c r="L104" s="14" t="str">
        <x:f>'Цены'!G970</x:f>
      </x:c>
      <x:c r="M104" s="14" t="str">
        <x:f>'Цены'!G971</x:f>
      </x:c>
      <x:c r="N104" s="14" t="str">
        <x:f>'Цены'!G972</x:f>
      </x:c>
      <x:c r="O104" s="14" t="str">
        <x:f>'Цены'!G973</x:f>
      </x:c>
      <x:c r="P104" s="14" t="str">
        <x:f>'Цены'!G974</x:f>
      </x:c>
      <x:c r="Q104" s="14" t="str">
        <x:f>'Цены'!G975</x:f>
      </x:c>
      <x:c r="R104" s="14" t="str">
        <x:f>'Цены'!G976</x:f>
      </x:c>
      <x:c r="S104" s="14" t="str">
        <x:f>'Цены'!G977</x:f>
      </x:c>
      <x:c r="T104" s="2" t="n">
        <x:f>COUNT(J104:S104)</x:f>
        <x:v>0</x:v>
      </x:c>
      <x:c r="U104" s="2" t="str">
        <x:v>RPC: данные не загружены: 10</x:v>
      </x:c>
      <x:c r="V104" s="2" t="n">
        <x:v>447423175</x:v>
      </x:c>
      <x:c r="W104" s="2" t="n">
        <x:v>313</x:v>
      </x:c>
      <x:c r="X104" s="15" t="n">
        <x:v>0.000671275</x:v>
      </x:c>
      <x:c r="Y104" s="2" t="str">
        <x:v>2C5uL4Z5Zp8b7BvhkcGxAYQ8ru7vCWSeJhGuCZ9DGJMJgZHba7gtyhAQEEFTg24rTtkBDM3kpxXnD9EaMDvUcKvu</x:v>
      </x:c>
      <x:c r="Z104" s="2" t="str">
        <x:v>https://solscan.io/tx/2C5uL4Z5Zp8b7BvhkcGxAYQ8ru7vCWSeJhGuCZ9DGJMJgZHba7gtyhAQEEFTg24rTtkBDM3kpxXnD9EaMDvUcKvu</x:v>
      </x:c>
      <x:c r="AA104" s="2" t="str">
        <x:v>Meteora DLMM: фактическая комиссия</x:v>
      </x:c>
      <x:c r="AB104" s="2" t="str">
        <x:v>ACLU1TVSpcpUzUEjT8PCw1ztsFyNUcresF9UFSb3mZe3</x:v>
      </x:c>
    </x:row>
    <x:row r="105" ht="21" customHeight="1">
      <x:c r="A105" s="2" t="n">
        <x:v>98</x:v>
      </x:c>
      <x:c r="B105" s="9" t="n">
        <x:v>46281.155706018515</x:v>
      </x:c>
      <x:c r="C105" s="2" t="str">
        <x:v>Докупка</x:v>
      </x:c>
      <x:c r="D105" s="2" t="str">
        <x:v>39HqgQ18g9R33sUfKq1TjX4sbKrgTb4YntnBCFhURJvy</x:v>
      </x:c>
      <x:c r="E105" s="10" t="n">
        <x:v>1711.04066</x:v>
      </x:c>
      <x:c r="F105" s="11" t="n">
        <x:v>2433770.410358</x:v>
      </x:c>
      <x:c r="G105" s="11" t="n">
        <x:v>53546696.10415</x:v>
      </x:c>
      <x:c r="H105" s="12" t="n">
        <x:f>IF(AND(E105&gt;0,F105&gt;0),E105/F105,NA())</x:f>
        <x:v>0.0007030411137870277</x:v>
      </x:c>
      <x:c r="I105" s="13" t="n">
        <x:v>0.0125</x:v>
      </x:c>
      <x:c r="J105" s="14" t="str">
        <x:f>'Цены'!G978</x:f>
      </x:c>
      <x:c r="K105" s="14" t="str">
        <x:f>'Цены'!G979</x:f>
      </x:c>
      <x:c r="L105" s="14" t="str">
        <x:f>'Цены'!G980</x:f>
      </x:c>
      <x:c r="M105" s="14" t="str">
        <x:f>'Цены'!G981</x:f>
      </x:c>
      <x:c r="N105" s="14" t="str">
        <x:f>'Цены'!G982</x:f>
      </x:c>
      <x:c r="O105" s="14" t="str">
        <x:f>'Цены'!G983</x:f>
      </x:c>
      <x:c r="P105" s="14" t="str">
        <x:f>'Цены'!G984</x:f>
      </x:c>
      <x:c r="Q105" s="14" t="str">
        <x:f>'Цены'!G985</x:f>
      </x:c>
      <x:c r="R105" s="14" t="str">
        <x:f>'Цены'!G986</x:f>
      </x:c>
      <x:c r="S105" s="14" t="str">
        <x:f>'Цены'!G987</x:f>
      </x:c>
      <x:c r="T105" s="2" t="n">
        <x:f>COUNT(J105:S105)</x:f>
        <x:v>0</x:v>
      </x:c>
      <x:c r="U105" s="2" t="str">
        <x:v>RPC: данные не загружены: 10</x:v>
      </x:c>
      <x:c r="V105" s="2" t="n">
        <x:v>447423154</x:v>
      </x:c>
      <x:c r="W105" s="2" t="n">
        <x:v>535</x:v>
      </x:c>
      <x:c r="X105" s="15" t="n">
        <x:v>0.001847071</x:v>
      </x:c>
      <x:c r="Y105" s="2" t="str">
        <x:v>4r6vEugFsiSCuLsRyi7aohjyL6CFhzzXHBrJC6KuFnF4VRRZvxYew4wRzrUD3oLMTtTVxBUifPKeCsnVsJkRcf7x</x:v>
      </x:c>
      <x:c r="Z105" s="2" t="str">
        <x:v>https://solscan.io/tx/4r6vEugFsiSCuLsRyi7aohjyL6CFhzzXHBrJC6KuFnF4VRRZvxYew4wRzrUD3oLMTtTVxBUifPKeCsnVsJkRcf7x</x:v>
      </x:c>
      <x:c r="AA105" s="2" t="str">
        <x:v>Raydium CPMM: конфигурация и событие</x:v>
      </x:c>
      <x:c r="AB105" s="2" t="str">
        <x:v>4misp3ZaffwuvK5tMoG9z3gKmmsa5XAEE2nW2mnxEY6H</x:v>
      </x:c>
    </x:row>
    <x:row r="106" ht="21" customHeight="1">
      <x:c r="A106" s="2" t="n">
        <x:v>99</x:v>
      </x:c>
      <x:c r="B106" s="9" t="n">
        <x:v>46281.15547453704</x:v>
      </x:c>
      <x:c r="C106" s="2" t="str">
        <x:v>Докупка</x:v>
      </x:c>
      <x:c r="D106" s="2" t="str">
        <x:v>6GmAFSYs4gk3FDao5FzzySQpPZaWsa4rUJHacpMpUNgx</x:v>
      </x:c>
      <x:c r="E106" s="10" t="n">
        <x:v>1140.466582</x:v>
      </x:c>
      <x:c r="F106" s="11" t="n">
        <x:v>7441.069129393</x:v>
      </x:c>
      <x:c r="G106" s="11" t="n">
        <x:v>38266730.179907486</x:v>
      </x:c>
      <x:c r="H106" s="12" t="n">
        <x:f>IF(AND(E106&gt;0,F106&gt;0),E106/F106,NA())</x:f>
        <x:v>0.15326649466204229</x:v>
      </x:c>
      <x:c r="I106" s="13"/>
      <x:c r="J106" s="14" t="str">
        <x:f>'Цены'!G988</x:f>
      </x:c>
      <x:c r="K106" s="14" t="str">
        <x:f>'Цены'!G989</x:f>
      </x:c>
      <x:c r="L106" s="14" t="str">
        <x:f>'Цены'!G990</x:f>
      </x:c>
      <x:c r="M106" s="14" t="str">
        <x:f>'Цены'!G991</x:f>
      </x:c>
      <x:c r="N106" s="14" t="str">
        <x:f>'Цены'!G992</x:f>
      </x:c>
      <x:c r="O106" s="14" t="str">
        <x:f>'Цены'!G993</x:f>
      </x:c>
      <x:c r="P106" s="14" t="str">
        <x:f>'Цены'!G994</x:f>
      </x:c>
      <x:c r="Q106" s="14" t="str">
        <x:f>'Цены'!G995</x:f>
      </x:c>
      <x:c r="R106" s="14" t="str">
        <x:f>'Цены'!G996</x:f>
      </x:c>
      <x:c r="S106" s="14" t="str">
        <x:f>'Цены'!G997</x:f>
      </x:c>
      <x:c r="T106" s="2" t="n">
        <x:f>COUNT(J106:S106)</x:f>
        <x:v>0</x:v>
      </x:c>
      <x:c r="U106" s="2" t="str">
        <x:v>GatorSwap: нет модели цены: 10</x:v>
      </x:c>
      <x:c r="V106" s="2" t="n">
        <x:v>447423092</x:v>
      </x:c>
      <x:c r="W106" s="2" t="n">
        <x:v>318</x:v>
      </x:c>
      <x:c r="X106" s="15" t="n">
        <x:v>0.001042912</x:v>
      </x:c>
      <x:c r="Y106" s="2" t="str">
        <x:v>3jcoggmzXwXFU58xBzKGocK71fzgTkoKxt8zJuR8DR56TAhCwa5CSMYkuBVLG7SrLXbYvnhzaZragAHYwNDmckmE</x:v>
      </x:c>
      <x:c r="Z106" s="2" t="str">
        <x:v>https://solscan.io/tx/3jcoggmzXwXFU58xBzKGocK71fzgTkoKxt8zJuR8DR56TAhCwa5CSMYkuBVLG7SrLXbYvnhzaZragAHYwNDmckmE</x:v>
      </x:c>
      <x:c r="AA106" s="2" t="str">
        <x:v>GatorSwap: комиссия не определена</x:v>
      </x:c>
      <x:c r="AB106" s="2"/>
    </x:row>
    <x:row r="107" ht="21" customHeight="1">
      <x:c r="A107" s="2" t="n">
        <x:v>100</x:v>
      </x:c>
      <x:c r="B107" s="9" t="n">
        <x:v>46281.141122685185</x:v>
      </x:c>
      <x:c r="C107" s="2" t="str">
        <x:v>Докупка</x:v>
      </x:c>
      <x:c r="D107" s="2" t="str">
        <x:v>6GmAFSYs4gk3FDao5FzzySQpPZaWsa4rUJHacpMpUNgx</x:v>
      </x:c>
      <x:c r="E107" s="10" t="n">
        <x:v>2500</x:v>
      </x:c>
      <x:c r="F107" s="11" t="n">
        <x:v>15981.191778567</x:v>
      </x:c>
      <x:c r="G107" s="11" t="n">
        <x:v>38250646.40815654</x:v>
      </x:c>
      <x:c r="H107" s="12" t="n">
        <x:f>IF(AND(E107&gt;0,F107&gt;0),E107/F107,NA())</x:f>
        <x:v>0.15643389020291013</x:v>
      </x:c>
      <x:c r="I107" s="13" t="n">
        <x:v>0.0015001139028475712</x:v>
      </x:c>
      <x:c r="J107" s="14" t="str">
        <x:f>'Цены'!G998</x:f>
      </x:c>
      <x:c r="K107" s="14" t="str">
        <x:f>'Цены'!G999</x:f>
      </x:c>
      <x:c r="L107" s="14" t="str">
        <x:f>'Цены'!G1000</x:f>
      </x:c>
      <x:c r="M107" s="14" t="str">
        <x:f>'Цены'!G1001</x:f>
      </x:c>
      <x:c r="N107" s="14" t="str">
        <x:f>'Цены'!G1002</x:f>
      </x:c>
      <x:c r="O107" s="14" t="str">
        <x:f>'Цены'!G1003</x:f>
      </x:c>
      <x:c r="P107" s="14" t="str">
        <x:f>'Цены'!G1004</x:f>
      </x:c>
      <x:c r="Q107" s="14" t="str">
        <x:f>'Цены'!G1005</x:f>
      </x:c>
      <x:c r="R107" s="14" t="str">
        <x:f>'Цены'!G1006</x:f>
      </x:c>
      <x:c r="S107" s="14" t="n">
        <x:f>'Цены'!G1007</x:f>
        <x:v>0</x:v>
      </x:c>
      <x:c r="T107" s="2" t="n">
        <x:f>COUNT(J107:S107)</x:f>
        <x:v>1</x:v>
      </x:c>
      <x:c r="U107" s="2" t="str">
        <x:v>RPC: данные не загружены: 10</x:v>
      </x:c>
      <x:c r="V107" s="2" t="n">
        <x:v>447419174</x:v>
      </x:c>
      <x:c r="W107" s="2" t="n">
        <x:v>856</x:v>
      </x:c>
      <x:c r="X107" s="15" t="n">
        <x:v>0.000432124</x:v>
      </x:c>
      <x:c r="Y107" s="2" t="str">
        <x:v>5XYjLvHUgwpK9Zb5CtskeqcjJSEnbg3qB9XfBug4fanQofgAj7uetVmFdafyBEpiwwkXcyNxyZzHrtzf3RrQUprA</x:v>
      </x:c>
      <x:c r="Z107" s="2" t="str">
        <x:v>https://solscan.io/tx/5XYjLvHUgwpK9Zb5CtskeqcjJSEnbg3qB9XfBug4fanQofgAj7uetVmFdafyBEpiwwkXcyNxyZzHrtzf3RrQUprA</x:v>
      </x:c>
      <x:c r="AA107" s="2" t="str">
        <x:v>Meteora DLMM: фактическая комиссия</x:v>
      </x:c>
      <x:c r="AB107" s="2" t="str">
        <x:v>36SpkkrsnyUgjPC24KU993r8T3whkJaPgoEeAmbBj9uB</x:v>
      </x:c>
    </x:row>
  </x:sheetData>
  <x:conditionalFormatting sqref="J8:S107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b8d7b6be164f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1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13" hidden="0" customWidth="1"/>
    <x:col min="9" max="9" width="33" hidden="0" customWidth="1"/>
    <x:col min="10" max="10" width="13" hidden="0" customWidth="1"/>
    <x:col min="11" max="11" width="23" hidden="0" customWidth="1"/>
    <x:col min="12" max="12" width="13" hidden="0" customWidth="1"/>
    <x:col min="13" max="13" width="13" hidden="0" customWidth="1"/>
    <x:col min="14" max="14" width="53" hidden="0" customWidth="1"/>
    <x:col min="15" max="15" width="115" hidden="0" customWidth="1"/>
    <x:col min="16" max="16" width="115" hidden="0" customWidth="1"/>
    <x:col min="17" max="17" width="115" hidden="0" customWidth="1"/>
    <x:col min="18" max="18" width="21" hidden="0" customWidth="1"/>
    <x:col min="19" max="19" width="21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Цены и источники по каждому горизонту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2" t="str">
        <x:v>Время берётся из blockTime; секунды не переводятся в слоты через постоянный коэффициент.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1" customHeight="1">
      <x:c r="A4" s="2" t="str">
        <x:v>Цена — предельная котировка пула в USDC. «К +5 с» — изменение этой котировки после задержанного входа без расходов.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 t="str">
        <x:v>Возраст цены и курса указан отдельно. Непроверенные курсы исключены из сводки.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6" customHeight="1">
      <x:c r="A7" s="8" t="str">
        <x:v>№ покупки</x:v>
      </x:c>
      <x:c r="B7" s="8" t="str">
        <x:v>Секунд после</x:v>
      </x:c>
      <x:c r="C7" s="8" t="str">
        <x:v>Группа</x:v>
      </x:c>
      <x:c r="D7" s="8" t="str">
        <x:v>Целевое время UTC</x:v>
      </x:c>
      <x:c r="E7" s="8" t="str">
        <x:v>Цена USDC</x:v>
      </x:c>
      <x:c r="F7" s="8" t="str">
        <x:v>Цена входа USDC</x:v>
      </x:c>
      <x:c r="G7" s="8" t="str">
        <x:v>К цене покупки</x:v>
      </x:c>
      <x:c r="H7" s="8" t="str">
        <x:v>К цене +5 с</x:v>
      </x:c>
      <x:c r="I7" s="8" t="str">
        <x:v>Статус</x:v>
      </x:c>
      <x:c r="J7" s="8" t="str">
        <x:v>Слот цены</x:v>
      </x:c>
      <x:c r="K7" s="8" t="str">
        <x:v>Время цены UTC</x:v>
      </x:c>
      <x:c r="L7" s="8" t="str">
        <x:v>Возраст цены, с</x:v>
      </x:c>
      <x:c r="M7" s="8" t="str">
        <x:v>Возраст курса, с</x:v>
      </x:c>
      <x:c r="N7" s="8" t="str">
        <x:v>Пул котировки</x:v>
      </x:c>
      <x:c r="O7" s="8" t="str">
        <x:v>Источник цены</x:v>
      </x:c>
      <x:c r="P7" s="8" t="str">
        <x:v>Причина / источник</x:v>
      </x:c>
      <x:c r="Q7" s="8" t="str">
        <x:v>Обмены курса</x:v>
      </x:c>
      <x:c r="R7" s="8" t="str">
        <x:v>Для медианы: нулевые</x:v>
      </x:c>
      <x:c r="S7" s="8" t="str">
        <x:v>Для медианы: докупки</x:v>
      </x:c>
    </x:row>
    <x:row r="8" ht="21" customHeight="1">
      <x:c r="A8" s="2" t="n">
        <x:v>1</x:v>
      </x:c>
      <x:c r="B8" s="2" t="n">
        <x:v>5</x:v>
      </x:c>
      <x:c r="C8" s="2" t="str">
        <x:f>'Покупки'!C8</x:f>
        <x:v>Нулевой остаток</x:v>
      </x:c>
      <x:c r="D8" s="9" t="n">
        <x:v>46282.79622685185</x:v>
      </x:c>
      <x:c r="E8" s="12" t="n">
        <x:v>0.0001542796753220403</x:v>
      </x:c>
      <x:c r="F8" s="12" t="n">
        <x:f>'Покупки'!H8</x:f>
        <x:v>0.00007814963094414871</x:v>
      </x:c>
      <x:c r="G8" s="14" t="n">
        <x:f>IF(I8="Есть цена",IF(AND(ISNUMBER(E8),E8&gt;0,F8&gt;0),E8/F8-1,NA()),"")</x:f>
        <x:v>0.9741574394932144</x:v>
      </x:c>
      <x:c r="H8" s="14" t="n">
        <x:f>IF(AND(I8="Есть цена",I8="Есть цена"),IF(AND(E8&gt;0,E8&gt;0),E8/E8-1,NA()),"")</x:f>
        <x:v>0</x:v>
      </x:c>
      <x:c r="I8" s="2" t="str">
        <x:v>Есть цена</x:v>
      </x:c>
      <x:c r="J8" s="2" t="n">
        <x:v>447870571</x:v>
      </x:c>
      <x:c r="K8" s="9" t="n">
        <x:v>46282.79622685185</x:v>
      </x:c>
      <x:c r="L8" s="2" t="n">
        <x:v>0</x:v>
      </x:c>
      <x:c r="M8" s="2" t="n">
        <x:v>0</x:v>
      </x:c>
      <x:c r="N8" s="2" t="str">
        <x:v>kuasvHwyBm31UjcgCQKLGQYJ5xZnsjpxWfSYZLHgduH</x:v>
      </x:c>
      <x:c r="O8" s="2" t="str">
        <x:v>https://solscan.io/tx/5wkNBP5hGguAvCu21QTeN4j6LmeXNa5AsVheTuDXjPDr8bDgcGYK8uAaCJZ6dCp4Yo3U9DeAAzfTUeqZLWCU4M2r</x:v>
      </x:c>
      <x:c r="P8" s="2" t="str">
        <x:v>ok</x:v>
      </x:c>
      <x:c r="Q8" s="2" t="str">
        <x:v>Cgk5DWJc59TcWTQ1iaJ8Hn4bsVjKXJF2fCjPAZtMUSkV; slot 447870569; age 0s</x:v>
      </x:c>
      <x:c r="R8" s="14" t="n">
        <x:f>IF(AND(C8="Нулевой остаток",I8="Есть цена"),G8,"")</x:f>
        <x:v>0.9741574394932144</x:v>
      </x:c>
      <x:c r="S8" s="14" t="str">
        <x:f>IF(AND(C8="Докупка",I8="Есть цена"),G8,"")</x:f>
      </x:c>
    </x:row>
    <x:row r="9" ht="21" customHeight="1">
      <x:c r="A9" s="2" t="n">
        <x:v>1</x:v>
      </x:c>
      <x:c r="B9" s="2" t="n">
        <x:v>15</x:v>
      </x:c>
      <x:c r="C9" s="2" t="str">
        <x:f>'Покупки'!C8</x:f>
        <x:v>Нулевой остаток</x:v>
      </x:c>
      <x:c r="D9" s="9" t="n">
        <x:v>46282.79634259259</x:v>
      </x:c>
      <x:c r="E9" s="12" t="n">
        <x:v>0.00015928706863220464</x:v>
      </x:c>
      <x:c r="F9" s="12" t="n">
        <x:f>'Покупки'!H8</x:f>
        <x:v>0.00007814963094414871</x:v>
      </x:c>
      <x:c r="G9" s="14" t="n">
        <x:f>IF(I9="Есть цена",IF(AND(ISNUMBER(E9),E9&gt;0,F9&gt;0),E9/F9-1,NA()),"")</x:f>
        <x:v>1.0382318727268531</x:v>
      </x:c>
      <x:c r="H9" s="14" t="n">
        <x:f>IF(AND(I9="Есть цена",I8="Есть цена"),IF(AND(E9&gt;0,E8&gt;0),E9/E8-1,NA()),"")</x:f>
        <x:v>0.032456597407999555</x:v>
      </x:c>
      <x:c r="I9" s="2" t="str">
        <x:v>Есть цена</x:v>
      </x:c>
      <x:c r="J9" s="2" t="n">
        <x:v>447870602</x:v>
      </x:c>
      <x:c r="K9" s="9" t="n">
        <x:v>46282.79634259259</x:v>
      </x:c>
      <x:c r="L9" s="2" t="n">
        <x:v>0</x:v>
      </x:c>
      <x:c r="M9" s="2" t="n">
        <x:v>0</x:v>
      </x:c>
      <x:c r="N9" s="2" t="str">
        <x:v>kuasvHwyBm31UjcgCQKLGQYJ5xZnsjpxWfSYZLHgduH</x:v>
      </x:c>
      <x:c r="O9" s="2" t="str">
        <x:v>https://solscan.io/tx/4WroAvCJkwxQdKKeT8EshoPxu6WGL64v9eGnHX15RzrVdRN9NWaDoNBzvj5Dw7uSLcdfF2JbiqJB685wvxcfw85r</x:v>
      </x:c>
      <x:c r="P9" s="2" t="str">
        <x:v>ok</x:v>
      </x:c>
      <x:c r="Q9" s="2" t="str">
        <x:v>Cgk5DWJc59TcWTQ1iaJ8Hn4bsVjKXJF2fCjPAZtMUSkV; slot 447870602; age 0s</x:v>
      </x:c>
      <x:c r="R9" s="14" t="n">
        <x:f>IF(AND(C9="Нулевой остаток",I9="Есть цена"),G9,"")</x:f>
        <x:v>1.0382318727268531</x:v>
      </x:c>
      <x:c r="S9" s="14" t="str">
        <x:f>IF(AND(C9="Докупка",I9="Есть цена"),G9,"")</x:f>
      </x:c>
    </x:row>
    <x:row r="10" ht="21" customHeight="1">
      <x:c r="A10" s="2" t="n">
        <x:v>1</x:v>
      </x:c>
      <x:c r="B10" s="2" t="n">
        <x:v>30</x:v>
      </x:c>
      <x:c r="C10" s="2" t="str">
        <x:f>'Покупки'!C8</x:f>
        <x:v>Нулевой остаток</x:v>
      </x:c>
      <x:c r="D10" s="9" t="n">
        <x:v>46282.79651620371</x:v>
      </x:c>
      <x:c r="E10" s="12" t="n">
        <x:v>0.0002240714713729199</x:v>
      </x:c>
      <x:c r="F10" s="12" t="n">
        <x:f>'Покупки'!H8</x:f>
        <x:v>0.00007814963094414871</x:v>
      </x:c>
      <x:c r="G10" s="14" t="n">
        <x:f>IF(I10="Есть цена",IF(AND(ISNUMBER(E10),E10&gt;0,F10&gt;0),E10/F10-1,NA()),"")</x:f>
        <x:v>1.8672108705549402</x:v>
      </x:c>
      <x:c r="H10" s="14" t="n">
        <x:f>IF(AND(I10="Есть цена",I8="Есть цена"),IF(AND(E10&gt;0,E8&gt;0),E10/E8-1,NA()),"")</x:f>
        <x:v>0.45237194014828996</x:v>
      </x:c>
      <x:c r="I10" s="2" t="str">
        <x:v>Есть цена</x:v>
      </x:c>
      <x:c r="J10" s="2" t="n">
        <x:v>447870650</x:v>
      </x:c>
      <x:c r="K10" s="9" t="n">
        <x:v>46282.79651620371</x:v>
      </x:c>
      <x:c r="L10" s="2" t="n">
        <x:v>0</x:v>
      </x:c>
      <x:c r="M10" s="2" t="n">
        <x:v>0</x:v>
      </x:c>
      <x:c r="N10" s="2" t="str">
        <x:v>kuasvHwyBm31UjcgCQKLGQYJ5xZnsjpxWfSYZLHgduH</x:v>
      </x:c>
      <x:c r="O10" s="2" t="str">
        <x:v>https://solscan.io/tx/3KxseH2BnRA9bskmaYX3Vk2bNVvmp8tHqXmfXxuLjxtP7dcvMDiZXwXNtH9TCmWX961MFLbXmURN4xnW81bS5iru</x:v>
      </x:c>
      <x:c r="P10" s="2" t="str">
        <x:v>ok</x:v>
      </x:c>
      <x:c r="Q10" s="2" t="str">
        <x:v>Cgk5DWJc59TcWTQ1iaJ8Hn4bsVjKXJF2fCjPAZtMUSkV; slot 447870650; age 0s</x:v>
      </x:c>
      <x:c r="R10" s="14" t="n">
        <x:f>IF(AND(C10="Нулевой остаток",I10="Есть цена"),G10,"")</x:f>
        <x:v>1.8672108705549402</x:v>
      </x:c>
      <x:c r="S10" s="14" t="str">
        <x:f>IF(AND(C10="Докупка",I10="Есть цена"),G10,"")</x:f>
      </x:c>
    </x:row>
    <x:row r="11" ht="21" customHeight="1">
      <x:c r="A11" s="2" t="n">
        <x:v>1</x:v>
      </x:c>
      <x:c r="B11" s="2" t="n">
        <x:v>60</x:v>
      </x:c>
      <x:c r="C11" s="2" t="str">
        <x:f>'Покупки'!C8</x:f>
        <x:v>Нулевой остаток</x:v>
      </x:c>
      <x:c r="D11" s="9" t="n">
        <x:v>46282.79686342592</x:v>
      </x:c>
      <x:c r="E11" s="12" t="n">
        <x:v>0.0003101837537187628</x:v>
      </x:c>
      <x:c r="F11" s="12" t="n">
        <x:f>'Покупки'!H8</x:f>
        <x:v>0.00007814963094414871</x:v>
      </x:c>
      <x:c r="G11" s="14" t="n">
        <x:f>IF(I11="Есть цена",IF(AND(ISNUMBER(E11),E11&gt;0,F11&gt;0),E11/F11-1,NA()),"")</x:f>
        <x:v>2.969100685074792</x:v>
      </x:c>
      <x:c r="H11" s="14" t="n">
        <x:f>IF(AND(I11="Есть цена",I8="Есть цена"),IF(AND(E11&gt;0,E8&gt;0),E11/E8-1,NA()),"")</x:f>
        <x:v>1.0105289505652086</x:v>
      </x:c>
      <x:c r="I11" s="2" t="str">
        <x:v>Есть цена</x:v>
      </x:c>
      <x:c r="J11" s="2" t="n">
        <x:v>447870744</x:v>
      </x:c>
      <x:c r="K11" s="9" t="n">
        <x:v>46282.79686342592</x:v>
      </x:c>
      <x:c r="L11" s="2" t="n">
        <x:v>0</x:v>
      </x:c>
      <x:c r="M11" s="2" t="n">
        <x:v>0</x:v>
      </x:c>
      <x:c r="N11" s="2" t="str">
        <x:v>kuasvHwyBm31UjcgCQKLGQYJ5xZnsjpxWfSYZLHgduH</x:v>
      </x:c>
      <x:c r="O11" s="2" t="str">
        <x:v>https://solscan.io/tx/8bWGRWrgkqjV1K7UQ4BVTT6bS4EpYcrKQ6ujbxLzzQssnYK4zXYUNgsjTZ5L7JdHn7SLQNNa6bz9unBbEaNjgfi</x:v>
      </x:c>
      <x:c r="P11" s="2" t="str">
        <x:v>ok</x:v>
      </x:c>
      <x:c r="Q11" s="2" t="str">
        <x:v>Cgk5DWJc59TcWTQ1iaJ8Hn4bsVjKXJF2fCjPAZtMUSkV; slot 447870744; age 0s</x:v>
      </x:c>
      <x:c r="R11" s="14" t="n">
        <x:f>IF(AND(C11="Нулевой остаток",I11="Есть цена"),G11,"")</x:f>
        <x:v>2.969100685074792</x:v>
      </x:c>
      <x:c r="S11" s="14" t="str">
        <x:f>IF(AND(C11="Докупка",I11="Есть цена"),G11,"")</x:f>
      </x:c>
    </x:row>
    <x:row r="12" ht="21" customHeight="1">
      <x:c r="A12" s="2" t="n">
        <x:v>1</x:v>
      </x:c>
      <x:c r="B12" s="2" t="n">
        <x:v>180</x:v>
      </x:c>
      <x:c r="C12" s="2" t="str">
        <x:f>'Покупки'!C8</x:f>
        <x:v>Нулевой остаток</x:v>
      </x:c>
      <x:c r="D12" s="9" t="n">
        <x:v>46282.79825231482</x:v>
      </x:c>
      <x:c r="E12" s="12" t="n">
        <x:v>0.00021415368309615377</x:v>
      </x:c>
      <x:c r="F12" s="12" t="n">
        <x:f>'Покупки'!H8</x:f>
        <x:v>0.00007814963094414871</x:v>
      </x:c>
      <x:c r="G12" s="14" t="n">
        <x:f>IF(I12="Есть цена",IF(AND(ISNUMBER(E12),E12&gt;0,F12&gt;0),E12/F12-1,NA()),"")</x:f>
        <x:v>1.7403031915685343</x:v>
      </x:c>
      <x:c r="H12" s="14" t="n">
        <x:f>IF(AND(I12="Есть цена",I8="Есть цена"),IF(AND(E12&gt;0,E8&gt;0),E12/E8-1,NA()),"")</x:f>
        <x:v>0.38808746290873164</x:v>
      </x:c>
      <x:c r="I12" s="2" t="str">
        <x:v>Есть цена</x:v>
      </x:c>
      <x:c r="J12" s="2" t="n">
        <x:v>447871125</x:v>
      </x:c>
      <x:c r="K12" s="9" t="n">
        <x:v>46282.79825231482</x:v>
      </x:c>
      <x:c r="L12" s="2" t="n">
        <x:v>0</x:v>
      </x:c>
      <x:c r="M12" s="2" t="n">
        <x:v>0</x:v>
      </x:c>
      <x:c r="N12" s="2" t="str">
        <x:v>kuasvHwyBm31UjcgCQKLGQYJ5xZnsjpxWfSYZLHgduH</x:v>
      </x:c>
      <x:c r="O12" s="2" t="str">
        <x:v>https://solscan.io/tx/2APBb1uKPerbTShzpjhFUSeTubTRg1dCmubjh4cpwLXNpqmWtHHZS1TVbKzbu1a2dC2vqBS8F1MEvNF3FqnTymZV</x:v>
      </x:c>
      <x:c r="P12" s="2" t="str">
        <x:v>ok</x:v>
      </x:c>
      <x:c r="Q12" s="2" t="str">
        <x:v>Cgk5DWJc59TcWTQ1iaJ8Hn4bsVjKXJF2fCjPAZtMUSkV; slot 447871123; age 0s</x:v>
      </x:c>
      <x:c r="R12" s="14" t="n">
        <x:f>IF(AND(C12="Нулевой остаток",I12="Есть цена"),G12,"")</x:f>
        <x:v>1.7403031915685343</x:v>
      </x:c>
      <x:c r="S12" s="14" t="str">
        <x:f>IF(AND(C12="Докупка",I12="Есть цена"),G12,"")</x:f>
      </x:c>
    </x:row>
    <x:row r="13" ht="21" customHeight="1">
      <x:c r="A13" s="2" t="n">
        <x:v>1</x:v>
      </x:c>
      <x:c r="B13" s="2" t="n">
        <x:v>300</x:v>
      </x:c>
      <x:c r="C13" s="2" t="str">
        <x:f>'Покупки'!C8</x:f>
        <x:v>Нулевой остаток</x:v>
      </x:c>
      <x:c r="D13" s="9" t="n">
        <x:v>46282.7996412037</x:v>
      </x:c>
      <x:c r="E13" s="12" t="n">
        <x:v>0.00018941830165736422</x:v>
      </x:c>
      <x:c r="F13" s="12" t="n">
        <x:f>'Покупки'!H8</x:f>
        <x:v>0.00007814963094414871</x:v>
      </x:c>
      <x:c r="G13" s="14" t="n">
        <x:f>IF(I13="Есть цена",IF(AND(ISNUMBER(E13),E13&gt;0,F13&gt;0),E13/F13-1,NA()),"")</x:f>
        <x:v>1.4237900981610014</x:v>
      </x:c>
      <x:c r="H13" s="14" t="n">
        <x:f>IF(AND(I13="Есть цена",I8="Есть цена"),IF(AND(E13&gt;0,E8&gt;0),E13/E8-1,NA()),"")</x:f>
        <x:v>0.22775927070092838</x:v>
      </x:c>
      <x:c r="I13" s="2" t="str">
        <x:v>Есть цена</x:v>
      </x:c>
      <x:c r="J13" s="2" t="n">
        <x:v>447871497</x:v>
      </x:c>
      <x:c r="K13" s="9" t="n">
        <x:v>46282.7996412037</x:v>
      </x:c>
      <x:c r="L13" s="2" t="n">
        <x:v>0</x:v>
      </x:c>
      <x:c r="M13" s="2" t="n">
        <x:v>0</x:v>
      </x:c>
      <x:c r="N13" s="2" t="str">
        <x:v>kuasvHwyBm31UjcgCQKLGQYJ5xZnsjpxWfSYZLHgduH</x:v>
      </x:c>
      <x:c r="O13" s="2" t="str">
        <x:v>https://solscan.io/tx/56SCSdPFd5KJv2uzr78TSmm6fts8Rq4TDbVfHuQsTRDePG3JTrMUTPvVJXfiHPCkJWTBL1L59JJHawtFYNiDgtH1</x:v>
      </x:c>
      <x:c r="P13" s="2" t="str">
        <x:v>ok</x:v>
      </x:c>
      <x:c r="Q13" s="2" t="str">
        <x:v>Cgk5DWJc59TcWTQ1iaJ8Hn4bsVjKXJF2fCjPAZtMUSkV; slot 447871497; age 0s</x:v>
      </x:c>
      <x:c r="R13" s="14" t="n">
        <x:f>IF(AND(C13="Нулевой остаток",I13="Есть цена"),G13,"")</x:f>
        <x:v>1.4237900981610014</x:v>
      </x:c>
      <x:c r="S13" s="14" t="str">
        <x:f>IF(AND(C13="Докупка",I13="Есть цена"),G13,"")</x:f>
      </x:c>
    </x:row>
    <x:row r="14" ht="21" customHeight="1">
      <x:c r="A14" s="2" t="n">
        <x:v>1</x:v>
      </x:c>
      <x:c r="B14" s="2" t="n">
        <x:v>900</x:v>
      </x:c>
      <x:c r="C14" s="2" t="str">
        <x:f>'Покупки'!C8</x:f>
        <x:v>Нулевой остаток</x:v>
      </x:c>
      <x:c r="D14" s="9" t="n">
        <x:v>46282.80658564815</x:v>
      </x:c>
      <x:c r="E14" s="12" t="n">
        <x:v>0.00018050387251625287</x:v>
      </x:c>
      <x:c r="F14" s="12" t="n">
        <x:f>'Покупки'!H8</x:f>
        <x:v>0.00007814963094414871</x:v>
      </x:c>
      <x:c r="G14" s="14" t="n">
        <x:f>IF(I14="Есть цена",IF(AND(ISNUMBER(E14),E14&gt;0,F14&gt;0),E14/F14-1,NA()),"")</x:f>
        <x:v>1.3097213682973603</x:v>
      </x:c>
      <x:c r="H14" s="14" t="n">
        <x:f>IF(AND(I14="Есть цена",I8="Есть цена"),IF(AND(E14&gt;0,E8&gt;0),E14/E8-1,NA()),"")</x:f>
        <x:v>0.16997830167501138</x:v>
      </x:c>
      <x:c r="I14" s="2" t="str">
        <x:v>Есть цена</x:v>
      </x:c>
      <x:c r="J14" s="2" t="n">
        <x:v>447873384</x:v>
      </x:c>
      <x:c r="K14" s="9" t="n">
        <x:v>46282.806550925925</x:v>
      </x:c>
      <x:c r="L14" s="2" t="n">
        <x:v>3</x:v>
      </x:c>
      <x:c r="M14" s="2" t="n">
        <x:v>2</x:v>
      </x:c>
      <x:c r="N14" s="2" t="str">
        <x:v>kuasvHwyBm31UjcgCQKLGQYJ5xZnsjpxWfSYZLHgduH</x:v>
      </x:c>
      <x:c r="O14" s="2" t="str">
        <x:v>https://solscan.io/tx/5gFqzJG5oa9isFk9UUhP7sW1hFmue2QbQ4PQhvXKkC8mgBvGgEVr3YXHEWF1V92LgSqGwjrj7q1DFsnuQqSoeeJw</x:v>
      </x:c>
      <x:c r="P14" s="2" t="str">
        <x:v>ok</x:v>
      </x:c>
      <x:c r="Q14" s="2" t="str">
        <x:v>Cgk5DWJc59TcWTQ1iaJ8Hn4bsVjKXJF2fCjPAZtMUSkV; slot 447873386; age 2s</x:v>
      </x:c>
      <x:c r="R14" s="14" t="n">
        <x:f>IF(AND(C14="Нулевой остаток",I14="Есть цена"),G14,"")</x:f>
        <x:v>1.3097213682973603</x:v>
      </x:c>
      <x:c r="S14" s="14" t="str">
        <x:f>IF(AND(C14="Докупка",I14="Есть цена"),G14,"")</x:f>
      </x:c>
    </x:row>
    <x:row r="15" ht="21" customHeight="1">
      <x:c r="A15" s="2" t="n">
        <x:v>1</x:v>
      </x:c>
      <x:c r="B15" s="2" t="n">
        <x:v>3600</x:v>
      </x:c>
      <x:c r="C15" s="2" t="str">
        <x:f>'Покупки'!C8</x:f>
        <x:v>Нулевой остаток</x:v>
      </x:c>
      <x:c r="D15" s="9" t="n">
        <x:v>46282.83783564815</x:v>
      </x:c>
      <x:c r="E15" s="12" t="n">
        <x:v>0.00012010675991788824</x:v>
      </x:c>
      <x:c r="F15" s="12" t="n">
        <x:f>'Покупки'!H8</x:f>
        <x:v>0.00007814963094414871</x:v>
      </x:c>
      <x:c r="G15" s="14" t="n">
        <x:f>IF(I15="Есть цена",IF(AND(ISNUMBER(E15),E15&gt;0,F15&gt;0),E15/F15-1,NA()),"")</x:f>
        <x:v>0.5368819848135313</x:v>
      </x:c>
      <x:c r="H15" s="14" t="n">
        <x:f>IF(AND(I15="Есть цена",I8="Есть цена"),IF(AND(E15&gt;0,E8&gt;0),E15/E8-1,NA()),"")</x:f>
        <x:v>-0.2214997881789691</x:v>
      </x:c>
      <x:c r="I15" s="2" t="str">
        <x:v>Есть цена</x:v>
      </x:c>
      <x:c r="J15" s="2" t="n">
        <x:v>447881685</x:v>
      </x:c>
      <x:c r="K15" s="9" t="n">
        <x:v>46282.837222222224</x:v>
      </x:c>
      <x:c r="L15" s="2" t="n">
        <x:v>53</x:v>
      </x:c>
      <x:c r="M15" s="2" t="n">
        <x:v>14</x:v>
      </x:c>
      <x:c r="N15" s="2" t="str">
        <x:v>kuasvHwyBm31UjcgCQKLGQYJ5xZnsjpxWfSYZLHgduH</x:v>
      </x:c>
      <x:c r="O15" s="2" t="str">
        <x:v>https://solscan.io/tx/4TGJoSx2WHnYY5ox36imFMWvcw2u5Xo8n6gZdp9c5cVQCDM4yerEbapcx4WeYSfAyuv62WUso13nQT6y79dw7SpJ</x:v>
      </x:c>
      <x:c r="P15" s="2" t="str">
        <x:v>ok</x:v>
      </x:c>
      <x:c r="Q15" s="2" t="str">
        <x:v>Cgk5DWJc59TcWTQ1iaJ8Hn4bsVjKXJF2fCjPAZtMUSkV; slot 447881809; age 14s</x:v>
      </x:c>
      <x:c r="R15" s="14" t="n">
        <x:f>IF(AND(C15="Нулевой остаток",I15="Есть цена"),G15,"")</x:f>
        <x:v>0.5368819848135313</x:v>
      </x:c>
      <x:c r="S15" s="14" t="str">
        <x:f>IF(AND(C15="Докупка",I15="Есть цена"),G15,"")</x:f>
      </x:c>
    </x:row>
    <x:row r="16" ht="21" customHeight="1">
      <x:c r="A16" s="2" t="n">
        <x:v>1</x:v>
      </x:c>
      <x:c r="B16" s="2" t="n">
        <x:v>21600</x:v>
      </x:c>
      <x:c r="C16" s="2" t="str">
        <x:f>'Покупки'!C8</x:f>
        <x:v>Нулевой остаток</x:v>
      </x:c>
      <x:c r="D16" s="9" t="n">
        <x:v>46283.046168981484</x:v>
      </x:c>
      <x:c r="E16" s="12"/>
      <x:c r="F16" s="12" t="n">
        <x:f>'Покупки'!H8</x:f>
        <x:v>0.00007814963094414871</x:v>
      </x:c>
      <x:c r="G16" s="14" t="str">
        <x:f>IF(I16="Есть цена",IF(AND(ISNUMBER(E16),E16&gt;0,F16&gt;0),E16/F16-1,NA()),"")</x:f>
      </x:c>
      <x:c r="H16" s="14" t="str">
        <x:f>IF(AND(I16="Есть цена",I8="Есть цена"),IF(AND(E16&gt;0,E8&gt;0),E16/E8-1,NA()),"")</x:f>
      </x:c>
      <x:c r="I16" s="2" t="str">
        <x:v>Ещё рано</x:v>
      </x:c>
      <x:c r="J16" s="2"/>
      <x:c r="K16" s="9"/>
      <x:c r="L16" s="2"/>
      <x:c r="M16" s="2"/>
      <x:c r="N16" s="2"/>
      <x:c r="O16" s="2"/>
      <x:c r="P16" s="2" t="str">
        <x:v>future</x:v>
      </x:c>
      <x:c r="Q16" s="2" t="str"/>
      <x:c r="R16" s="14" t="str">
        <x:f>IF(AND(C16="Нулевой остаток",I16="Есть цена"),G16,"")</x:f>
      </x:c>
      <x:c r="S16" s="14" t="str">
        <x:f>IF(AND(C16="Докупка",I16="Есть цена"),G16,"")</x:f>
      </x:c>
    </x:row>
    <x:row r="17" ht="21" customHeight="1">
      <x:c r="A17" s="2" t="n">
        <x:v>1</x:v>
      </x:c>
      <x:c r="B17" s="2" t="n">
        <x:v>86400</x:v>
      </x:c>
      <x:c r="C17" s="2" t="str">
        <x:f>'Покупки'!C8</x:f>
        <x:v>Нулевой остаток</x:v>
      </x:c>
      <x:c r="D17" s="9" t="n">
        <x:v>46283.796168981484</x:v>
      </x:c>
      <x:c r="E17" s="12"/>
      <x:c r="F17" s="12" t="n">
        <x:f>'Покупки'!H8</x:f>
        <x:v>0.00007814963094414871</x:v>
      </x:c>
      <x:c r="G17" s="14" t="str">
        <x:f>IF(I17="Есть цена",IF(AND(ISNUMBER(E17),E17&gt;0,F17&gt;0),E17/F17-1,NA()),"")</x:f>
      </x:c>
      <x:c r="H17" s="14" t="str">
        <x:f>IF(AND(I17="Есть цена",I8="Есть цена"),IF(AND(E17&gt;0,E8&gt;0),E17/E8-1,NA()),"")</x:f>
      </x:c>
      <x:c r="I17" s="2" t="str">
        <x:v>Ещё рано</x:v>
      </x:c>
      <x:c r="J17" s="2"/>
      <x:c r="K17" s="9"/>
      <x:c r="L17" s="2"/>
      <x:c r="M17" s="2"/>
      <x:c r="N17" s="2"/>
      <x:c r="O17" s="2"/>
      <x:c r="P17" s="2" t="str">
        <x:v>future</x:v>
      </x:c>
      <x:c r="Q17" s="2" t="str"/>
      <x:c r="R17" s="14" t="str">
        <x:f>IF(AND(C17="Нулевой остаток",I17="Есть цена"),G17,"")</x:f>
      </x:c>
      <x:c r="S17" s="14" t="str">
        <x:f>IF(AND(C17="Докупка",I17="Есть цена"),G17,"")</x:f>
      </x:c>
    </x:row>
    <x:row r="18" ht="21" customHeight="1">
      <x:c r="A18" s="2" t="n">
        <x:v>2</x:v>
      </x:c>
      <x:c r="B18" s="2" t="n">
        <x:v>5</x:v>
      </x:c>
      <x:c r="C18" s="2" t="str">
        <x:f>'Покупки'!C9</x:f>
        <x:v>Нулевой остаток</x:v>
      </x:c>
      <x:c r="D18" s="9" t="n">
        <x:v>46282.79570601852</x:v>
      </x:c>
      <x:c r="E18" s="12" t="n">
        <x:v>0.00007466254026228003</x:v>
      </x:c>
      <x:c r="F18" s="12" t="n">
        <x:f>'Покупки'!H9</x:f>
        <x:v>0.00003289227716026286</x:v>
      </x:c>
      <x:c r="G18" s="14" t="n">
        <x:f>IF(I18="Есть цена",IF(AND(ISNUMBER(E18),E18&gt;0,F18&gt;0),E18/F18-1,NA()),"")</x:f>
        <x:v>1.2699109550396162</x:v>
      </x:c>
      <x:c r="H18" s="14" t="n">
        <x:f>IF(AND(I18="Есть цена",I18="Есть цена"),IF(AND(E18&gt;0,E18&gt;0),E18/E18-1,NA()),"")</x:f>
        <x:v>0</x:v>
      </x:c>
      <x:c r="I18" s="2" t="str">
        <x:v>Есть цена</x:v>
      </x:c>
      <x:c r="J18" s="2" t="n">
        <x:v>447870426</x:v>
      </x:c>
      <x:c r="K18" s="9" t="n">
        <x:v>46282.79570601852</x:v>
      </x:c>
      <x:c r="L18" s="2" t="n">
        <x:v>0</x:v>
      </x:c>
      <x:c r="M18" s="2" t="n">
        <x:v>5</x:v>
      </x:c>
      <x:c r="N18" s="2" t="str">
        <x:v>SxTqJ5vNdXds2w7umZo5eCyd7DTpMmr7TYeBAEKgi6n</x:v>
      </x:c>
      <x:c r="O18" s="2" t="str">
        <x:v>https://solscan.io/tx/2XgtrMfxiHfsgQP6fwuGrV5aYXfRxZHuzg78q8nk8TtuhqLxW8cBEdb3Tyenh55huQRTR9bmhSzrZ8Z6DyfeqY5p</x:v>
      </x:c>
      <x:c r="P18" s="2" t="str">
        <x:v>ok</x:v>
      </x:c>
      <x:c r="Q18" s="2" t="str">
        <x:v>5pobXosbeGSCRG3HdaRiw2TaihDDQMXkHFVbUTF24weM; slot 447870412; age 5s</x:v>
      </x:c>
      <x:c r="R18" s="14" t="n">
        <x:f>IF(AND(C18="Нулевой остаток",I18="Есть цена"),G18,"")</x:f>
        <x:v>1.2699109550396162</x:v>
      </x:c>
      <x:c r="S18" s="14" t="str">
        <x:f>IF(AND(C18="Докупка",I18="Есть цена"),G18,"")</x:f>
      </x:c>
    </x:row>
    <x:row r="19" ht="21" customHeight="1">
      <x:c r="A19" s="2" t="n">
        <x:v>2</x:v>
      </x:c>
      <x:c r="B19" s="2" t="n">
        <x:v>15</x:v>
      </x:c>
      <x:c r="C19" s="2" t="str">
        <x:f>'Покупки'!C9</x:f>
        <x:v>Нулевой остаток</x:v>
      </x:c>
      <x:c r="D19" s="9" t="n">
        <x:v>46282.79582175926</x:v>
      </x:c>
      <x:c r="E19" s="12" t="n">
        <x:v>0.00008978261098605148</x:v>
      </x:c>
      <x:c r="F19" s="12" t="n">
        <x:f>'Покупки'!H9</x:f>
        <x:v>0.00003289227716026286</x:v>
      </x:c>
      <x:c r="G19" s="14" t="n">
        <x:f>IF(I19="Есть цена",IF(AND(ISNUMBER(E19),E19&gt;0,F19&gt;0),E19/F19-1,NA()),"")</x:f>
        <x:v>1.7295954776435423</x:v>
      </x:c>
      <x:c r="H19" s="14" t="n">
        <x:f>IF(AND(I19="Есть цена",I18="Есть цена"),IF(AND(E19&gt;0,E18&gt;0),E19/E18-1,NA()),"")</x:f>
        <x:v>0.20251213889396946</x:v>
      </x:c>
      <x:c r="I19" s="2" t="str">
        <x:v>Есть цена</x:v>
      </x:c>
      <x:c r="J19" s="2" t="n">
        <x:v>447870460</x:v>
      </x:c>
      <x:c r="K19" s="9" t="n">
        <x:v>46282.79582175926</x:v>
      </x:c>
      <x:c r="L19" s="2" t="n">
        <x:v>0</x:v>
      </x:c>
      <x:c r="M19" s="2" t="n">
        <x:v>1</x:v>
      </x:c>
      <x:c r="N19" s="2" t="str">
        <x:v>SxTqJ5vNdXds2w7umZo5eCyd7DTpMmr7TYeBAEKgi6n</x:v>
      </x:c>
      <x:c r="O19" s="2" t="str">
        <x:v>https://solscan.io/tx/5YWGcaCDng3wW6V8nJ5JFUkSAPrqMCQtau63mrbRJpNSQ3fGGVYKr8LXqfhvYnz9ogwnMPtXRwvdVJmDbFS525Ng</x:v>
      </x:c>
      <x:c r="P19" s="2" t="str">
        <x:v>ok</x:v>
      </x:c>
      <x:c r="Q19" s="2" t="str">
        <x:v>5pobXosbeGSCRG3HdaRiw2TaihDDQMXkHFVbUTF24weM; slot 447870457; age 1s</x:v>
      </x:c>
      <x:c r="R19" s="14" t="n">
        <x:f>IF(AND(C19="Нулевой остаток",I19="Есть цена"),G19,"")</x:f>
        <x:v>1.7295954776435423</x:v>
      </x:c>
      <x:c r="S19" s="14" t="str">
        <x:f>IF(AND(C19="Докупка",I19="Есть цена"),G19,"")</x:f>
      </x:c>
    </x:row>
    <x:row r="20" ht="21" customHeight="1">
      <x:c r="A20" s="2" t="n">
        <x:v>2</x:v>
      </x:c>
      <x:c r="B20" s="2" t="n">
        <x:v>30</x:v>
      </x:c>
      <x:c r="C20" s="2" t="str">
        <x:f>'Покупки'!C9</x:f>
        <x:v>Нулевой остаток</x:v>
      </x:c>
      <x:c r="D20" s="9" t="n">
        <x:v>46282.79599537037</x:v>
      </x:c>
      <x:c r="E20" s="12" t="n">
        <x:v>0.00010012130526816217</x:v>
      </x:c>
      <x:c r="F20" s="12" t="n">
        <x:f>'Покупки'!H9</x:f>
        <x:v>0.00003289227716026286</x:v>
      </x:c>
      <x:c r="G20" s="14" t="n">
        <x:f>IF(I20="Есть цена",IF(AND(ISNUMBER(E20),E20&gt;0,F20&gt;0),E20/F20-1,NA()),"")</x:f>
        <x:v>2.043915286872222</x:v>
      </x:c>
      <x:c r="H20" s="14" t="n">
        <x:f>IF(AND(I20="Есть цена",I18="Есть цена"),IF(AND(E20&gt;0,E18&gt;0),E20/E18-1,NA()),"")</x:f>
        <x:v>0.340984447039288</x:v>
      </x:c>
      <x:c r="I20" s="2" t="str">
        <x:v>Есть цена</x:v>
      </x:c>
      <x:c r="J20" s="2" t="n">
        <x:v>447870508</x:v>
      </x:c>
      <x:c r="K20" s="9" t="n">
        <x:v>46282.79599537037</x:v>
      </x:c>
      <x:c r="L20" s="2" t="n">
        <x:v>0</x:v>
      </x:c>
      <x:c r="M20" s="2" t="n">
        <x:v>1</x:v>
      </x:c>
      <x:c r="N20" s="2" t="str">
        <x:v>SxTqJ5vNdXds2w7umZo5eCyd7DTpMmr7TYeBAEKgi6n</x:v>
      </x:c>
      <x:c r="O20" s="2" t="str">
        <x:v>https://solscan.io/tx/4o1CjtffEQVHhpAxBrBKt9tsq3kY4pXuRY18CJgy5WKLUa8WSgTAQXGqsPnLyMCFE5XqyvrXoC4Qz6r7y1uADJCp</x:v>
      </x:c>
      <x:c r="P20" s="2" t="str">
        <x:v>ok</x:v>
      </x:c>
      <x:c r="Q20" s="2" t="str">
        <x:v>5pobXosbeGSCRG3HdaRiw2TaihDDQMXkHFVbUTF24weM; slot 447870505; age 1s</x:v>
      </x:c>
      <x:c r="R20" s="14" t="n">
        <x:f>IF(AND(C20="Нулевой остаток",I20="Есть цена"),G20,"")</x:f>
        <x:v>2.043915286872222</x:v>
      </x:c>
      <x:c r="S20" s="14" t="str">
        <x:f>IF(AND(C20="Докупка",I20="Есть цена"),G20,"")</x:f>
      </x:c>
    </x:row>
    <x:row r="21" ht="21" customHeight="1">
      <x:c r="A21" s="2" t="n">
        <x:v>2</x:v>
      </x:c>
      <x:c r="B21" s="2" t="n">
        <x:v>60</x:v>
      </x:c>
      <x:c r="C21" s="2" t="str">
        <x:f>'Покупки'!C9</x:f>
        <x:v>Нулевой остаток</x:v>
      </x:c>
      <x:c r="D21" s="9" t="n">
        <x:v>46282.79634259259</x:v>
      </x:c>
      <x:c r="E21" s="12" t="n">
        <x:v>0.00010163513637197285</x:v>
      </x:c>
      <x:c r="F21" s="12" t="n">
        <x:f>'Покупки'!H9</x:f>
        <x:v>0.00003289227716026286</x:v>
      </x:c>
      <x:c r="G21" s="14" t="n">
        <x:f>IF(I21="Есть цена",IF(AND(ISNUMBER(E21),E21&gt;0,F21&gt;0),E21/F21-1,NA()),"")</x:f>
        <x:v>2.089939193834782</x:v>
      </x:c>
      <x:c r="H21" s="14" t="n">
        <x:f>IF(AND(I21="Есть цена",I18="Есть цена"),IF(AND(E21&gt;0,E18&gt;0),E21/E18-1,NA()),"")</x:f>
        <x:v>0.36126009127122516</x:v>
      </x:c>
      <x:c r="I21" s="2" t="str">
        <x:v>Есть цена</x:v>
      </x:c>
      <x:c r="J21" s="2" t="n">
        <x:v>447870599</x:v>
      </x:c>
      <x:c r="K21" s="9" t="n">
        <x:v>46282.796331018515</x:v>
      </x:c>
      <x:c r="L21" s="2" t="n">
        <x:v>1</x:v>
      </x:c>
      <x:c r="M21" s="2" t="n">
        <x:v>1</x:v>
      </x:c>
      <x:c r="N21" s="2" t="str">
        <x:v>SxTqJ5vNdXds2w7umZo5eCyd7DTpMmr7TYeBAEKgi6n</x:v>
      </x:c>
      <x:c r="O21" s="2" t="str">
        <x:v>https://solscan.io/tx/3xY2A2cdNmTkC4ww3b76onRPGRJgwgDqGzsUT7GrUs1r8djd3v6ZUPd2F3H194X3u1JB7AWQftQfxVxtVR3SSAv4</x:v>
      </x:c>
      <x:c r="P21" s="2" t="str">
        <x:v>ok</x:v>
      </x:c>
      <x:c r="Q21" s="2" t="str">
        <x:v>5pobXosbeGSCRG3HdaRiw2TaihDDQMXkHFVbUTF24weM; slot 447870598; age 1s</x:v>
      </x:c>
      <x:c r="R21" s="14" t="n">
        <x:f>IF(AND(C21="Нулевой остаток",I21="Есть цена"),G21,"")</x:f>
        <x:v>2.089939193834782</x:v>
      </x:c>
      <x:c r="S21" s="14" t="str">
        <x:f>IF(AND(C21="Докупка",I21="Есть цена"),G21,"")</x:f>
      </x:c>
    </x:row>
    <x:row r="22" ht="21" customHeight="1">
      <x:c r="A22" s="2" t="n">
        <x:v>2</x:v>
      </x:c>
      <x:c r="B22" s="2" t="n">
        <x:v>180</x:v>
      </x:c>
      <x:c r="C22" s="2" t="str">
        <x:f>'Покупки'!C9</x:f>
        <x:v>Нулевой остаток</x:v>
      </x:c>
      <x:c r="D22" s="9" t="n">
        <x:v>46282.79773148148</x:v>
      </x:c>
      <x:c r="E22" s="12" t="n">
        <x:v>0.00010372943272992773</x:v>
      </x:c>
      <x:c r="F22" s="12" t="n">
        <x:f>'Покупки'!H9</x:f>
        <x:v>0.00003289227716026286</x:v>
      </x:c>
      <x:c r="G22" s="14" t="n">
        <x:f>IF(I22="Есть цена",IF(AND(ISNUMBER(E22),E22&gt;0,F22&gt;0),E22/F22-1,NA()),"")</x:f>
        <x:v>2.1536105641005356</x:v>
      </x:c>
      <x:c r="H22" s="14" t="n">
        <x:f>IF(AND(I22="Есть цена",I18="Есть цена"),IF(AND(E22&gt;0,E18&gt;0),E22/E18-1,NA()),"")</x:f>
        <x:v>0.38931025338194214</x:v>
      </x:c>
      <x:c r="I22" s="2" t="str">
        <x:v>Есть цена</x:v>
      </x:c>
      <x:c r="J22" s="2" t="n">
        <x:v>447870982</x:v>
      </x:c>
      <x:c r="K22" s="9" t="n">
        <x:v>46282.79773148148</x:v>
      </x:c>
      <x:c r="L22" s="2" t="n">
        <x:v>0</x:v>
      </x:c>
      <x:c r="M22" s="2" t="n">
        <x:v>10</x:v>
      </x:c>
      <x:c r="N22" s="2" t="str">
        <x:v>SxTqJ5vNdXds2w7umZo5eCyd7DTpMmr7TYeBAEKgi6n</x:v>
      </x:c>
      <x:c r="O22" s="2" t="str">
        <x:v>https://solscan.io/tx/376a6hWgKqDWiCdAvcT3v8Xzo4MWTghfabxovFzPVTofucYCfXn5aUCVGLcpe9VgD3maUSDfhRdyh3nNn4wZfNAL</x:v>
      </x:c>
      <x:c r="P22" s="2" t="str">
        <x:v>ok</x:v>
      </x:c>
      <x:c r="Q22" s="2" t="str">
        <x:v>5pobXosbeGSCRG3HdaRiw2TaihDDQMXkHFVbUTF24weM; slot 447870951; age 10s</x:v>
      </x:c>
      <x:c r="R22" s="14" t="n">
        <x:f>IF(AND(C22="Нулевой остаток",I22="Есть цена"),G22,"")</x:f>
        <x:v>2.1536105641005356</x:v>
      </x:c>
      <x:c r="S22" s="14" t="str">
        <x:f>IF(AND(C22="Докупка",I22="Есть цена"),G22,"")</x:f>
      </x:c>
    </x:row>
    <x:row r="23" ht="21" customHeight="1">
      <x:c r="A23" s="2" t="n">
        <x:v>2</x:v>
      </x:c>
      <x:c r="B23" s="2" t="n">
        <x:v>300</x:v>
      </x:c>
      <x:c r="C23" s="2" t="str">
        <x:f>'Покупки'!C9</x:f>
        <x:v>Нулевой остаток</x:v>
      </x:c>
      <x:c r="D23" s="9" t="n">
        <x:v>46282.79912037037</x:v>
      </x:c>
      <x:c r="E23" s="12" t="n">
        <x:v>0.00008700824135722528</x:v>
      </x:c>
      <x:c r="F23" s="12" t="n">
        <x:f>'Покупки'!H9</x:f>
        <x:v>0.00003289227716026286</x:v>
      </x:c>
      <x:c r="G23" s="14" t="n">
        <x:f>IF(I23="Есть цена",IF(AND(ISNUMBER(E23),E23&gt;0,F23&gt;0),E23/F23-1,NA()),"")</x:f>
        <x:v>1.6452483339262347</x:v>
      </x:c>
      <x:c r="H23" s="14" t="n">
        <x:f>IF(AND(I23="Есть цена",I18="Есть цена"),IF(AND(E23&gt;0,E18&gt;0),E23/E18-1,NA()),"")</x:f>
        <x:v>0.16535334923746725</x:v>
      </x:c>
      <x:c r="I23" s="2" t="str">
        <x:v>Есть цена</x:v>
      </x:c>
      <x:c r="J23" s="2" t="n">
        <x:v>447871359</x:v>
      </x:c>
      <x:c r="K23" s="9" t="n">
        <x:v>46282.79912037037</x:v>
      </x:c>
      <x:c r="L23" s="2" t="n">
        <x:v>0</x:v>
      </x:c>
      <x:c r="M23" s="2" t="n">
        <x:v>3</x:v>
      </x:c>
      <x:c r="N23" s="2" t="str">
        <x:v>SxTqJ5vNdXds2w7umZo5eCyd7DTpMmr7TYeBAEKgi6n</x:v>
      </x:c>
      <x:c r="O23" s="2" t="str">
        <x:v>https://solscan.io/tx/2F6Jb3S4jAjtjwiCDAdWon64ZccrjthMJjGVqrCkNxJ6Ht6zR3SGqUW7oQkZt5opXr59d3BwgLcSc3WwimftH53K</x:v>
      </x:c>
      <x:c r="P23" s="2" t="str">
        <x:v>ok</x:v>
      </x:c>
      <x:c r="Q23" s="2" t="str">
        <x:v>5pobXosbeGSCRG3HdaRiw2TaihDDQMXkHFVbUTF24weM; slot 447871350; age 3s</x:v>
      </x:c>
      <x:c r="R23" s="14" t="n">
        <x:f>IF(AND(C23="Нулевой остаток",I23="Есть цена"),G23,"")</x:f>
        <x:v>1.6452483339262347</x:v>
      </x:c>
      <x:c r="S23" s="14" t="str">
        <x:f>IF(AND(C23="Докупка",I23="Есть цена"),G23,"")</x:f>
      </x:c>
    </x:row>
    <x:row r="24" ht="21" customHeight="1">
      <x:c r="A24" s="2" t="n">
        <x:v>2</x:v>
      </x:c>
      <x:c r="B24" s="2" t="n">
        <x:v>900</x:v>
      </x:c>
      <x:c r="C24" s="2" t="str">
        <x:f>'Покупки'!C9</x:f>
        <x:v>Нулевой остаток</x:v>
      </x:c>
      <x:c r="D24" s="9" t="n">
        <x:v>46282.80606481482</x:v>
      </x:c>
      <x:c r="E24" s="12" t="n">
        <x:v>0.0000828558237533495</x:v>
      </x:c>
      <x:c r="F24" s="12" t="n">
        <x:f>'Покупки'!H9</x:f>
        <x:v>0.00003289227716026286</x:v>
      </x:c>
      <x:c r="G24" s="14" t="n">
        <x:f>IF(I24="Есть цена",IF(AND(ISNUMBER(E24),E24&gt;0,F24&gt;0),E24/F24-1,NA()),"")</x:f>
        <x:v>1.519005399037789</x:v>
      </x:c>
      <x:c r="H24" s="14" t="n">
        <x:f>IF(AND(I24="Есть цена",I18="Есть цена"),IF(AND(E24&gt;0,E18&gt;0),E24/E18-1,NA()),"")</x:f>
        <x:v>0.10973753990002888</x:v>
      </x:c>
      <x:c r="I24" s="2" t="str">
        <x:v>Есть цена</x:v>
      </x:c>
      <x:c r="J24" s="2" t="n">
        <x:v>447873250</x:v>
      </x:c>
      <x:c r="K24" s="9" t="n">
        <x:v>46282.80605324074</x:v>
      </x:c>
      <x:c r="L24" s="2" t="n">
        <x:v>1</x:v>
      </x:c>
      <x:c r="M24" s="2" t="n">
        <x:v>13</x:v>
      </x:c>
      <x:c r="N24" s="2" t="str">
        <x:v>SxTqJ5vNdXds2w7umZo5eCyd7DTpMmr7TYeBAEKgi6n</x:v>
      </x:c>
      <x:c r="O24" s="2" t="str">
        <x:v>https://solscan.io/tx/3wiL2V8gTLQoToGBsJRGEAiFBeNkPHF2vJZmmzxURB3C4GnML27714dXWJT7g99ysuKqXysVWdQhmiT8EWPq3ajB</x:v>
      </x:c>
      <x:c r="P24" s="2" t="str">
        <x:v>ok</x:v>
      </x:c>
      <x:c r="Q24" s="2" t="str">
        <x:v>5pobXosbeGSCRG3HdaRiw2TaihDDQMXkHFVbUTF24weM; slot 447873210; age 13s</x:v>
      </x:c>
      <x:c r="R24" s="14" t="n">
        <x:f>IF(AND(C24="Нулевой остаток",I24="Есть цена"),G24,"")</x:f>
        <x:v>1.519005399037789</x:v>
      </x:c>
      <x:c r="S24" s="14" t="str">
        <x:f>IF(AND(C24="Докупка",I24="Есть цена"),G24,"")</x:f>
      </x:c>
    </x:row>
    <x:row r="25" ht="21" customHeight="1">
      <x:c r="A25" s="2" t="n">
        <x:v>2</x:v>
      </x:c>
      <x:c r="B25" s="2" t="n">
        <x:v>3600</x:v>
      </x:c>
      <x:c r="C25" s="2" t="str">
        <x:f>'Покупки'!C9</x:f>
        <x:v>Нулевой остаток</x:v>
      </x:c>
      <x:c r="D25" s="9" t="n">
        <x:v>46282.83731481482</x:v>
      </x:c>
      <x:c r="E25" s="12" t="n">
        <x:v>0.00013418251723458676</x:v>
      </x:c>
      <x:c r="F25" s="12" t="n">
        <x:f>'Покупки'!H9</x:f>
        <x:v>0.00003289227716026286</x:v>
      </x:c>
      <x:c r="G25" s="14" t="n">
        <x:f>IF(I25="Есть цена",IF(AND(ISNUMBER(E25),E25&gt;0,F25&gt;0),E25/F25-1,NA()),"")</x:f>
        <x:v>3.0794535623302046</x:v>
      </x:c>
      <x:c r="H25" s="14" t="n">
        <x:f>IF(AND(I25="Есть цена",I18="Есть цена"),IF(AND(E25&gt;0,E18&gt;0),E25/E18-1,NA()),"")</x:f>
        <x:v>0.7971866047313765</x:v>
      </x:c>
      <x:c r="I25" s="2" t="str">
        <x:v>Есть цена</x:v>
      </x:c>
      <x:c r="J25" s="2" t="n">
        <x:v>447881685</x:v>
      </x:c>
      <x:c r="K25" s="9" t="n">
        <x:v>46282.837222222224</x:v>
      </x:c>
      <x:c r="L25" s="2" t="n">
        <x:v>8</x:v>
      </x:c>
      <x:c r="M25" s="2" t="n">
        <x:v>8</x:v>
      </x:c>
      <x:c r="N25" s="2" t="str">
        <x:v>SxTqJ5vNdXds2w7umZo5eCyd7DTpMmr7TYeBAEKgi6n</x:v>
      </x:c>
      <x:c r="O25" s="2" t="str">
        <x:v>https://solscan.io/tx/3sSQWeHenRTUxJbSuRG9edxE8cbgd2wBMJ7Kedq7e4wzWhMzdXBVUUjRRyfXbe3m97JD9MSeCW5kkhEhiQcxhRDT</x:v>
      </x:c>
      <x:c r="P25" s="2" t="str">
        <x:v>ok</x:v>
      </x:c>
      <x:c r="Q25" s="2" t="str">
        <x:v>5pobXosbeGSCRG3HdaRiw2TaihDDQMXkHFVbUTF24weM; slot 447881685; age 8s</x:v>
      </x:c>
      <x:c r="R25" s="14" t="n">
        <x:f>IF(AND(C25="Нулевой остаток",I25="Есть цена"),G25,"")</x:f>
        <x:v>3.0794535623302046</x:v>
      </x:c>
      <x:c r="S25" s="14" t="str">
        <x:f>IF(AND(C25="Докупка",I25="Есть цена"),G25,"")</x:f>
      </x:c>
    </x:row>
    <x:row r="26" ht="21" customHeight="1">
      <x:c r="A26" s="2" t="n">
        <x:v>2</x:v>
      </x:c>
      <x:c r="B26" s="2" t="n">
        <x:v>21600</x:v>
      </x:c>
      <x:c r="C26" s="2" t="str">
        <x:f>'Покупки'!C9</x:f>
        <x:v>Нулевой остаток</x:v>
      </x:c>
      <x:c r="D26" s="9" t="n">
        <x:v>46283.045648148145</x:v>
      </x:c>
      <x:c r="E26" s="12"/>
      <x:c r="F26" s="12" t="n">
        <x:f>'Покупки'!H9</x:f>
        <x:v>0.00003289227716026286</x:v>
      </x:c>
      <x:c r="G26" s="14" t="str">
        <x:f>IF(I26="Есть цена",IF(AND(ISNUMBER(E26),E26&gt;0,F26&gt;0),E26/F26-1,NA()),"")</x:f>
      </x:c>
      <x:c r="H26" s="14" t="str">
        <x:f>IF(AND(I26="Есть цена",I18="Есть цена"),IF(AND(E26&gt;0,E18&gt;0),E26/E18-1,NA()),"")</x:f>
      </x:c>
      <x:c r="I26" s="2" t="str">
        <x:v>Ещё рано</x:v>
      </x:c>
      <x:c r="J26" s="2"/>
      <x:c r="K26" s="9"/>
      <x:c r="L26" s="2"/>
      <x:c r="M26" s="2"/>
      <x:c r="N26" s="2"/>
      <x:c r="O26" s="2"/>
      <x:c r="P26" s="2" t="str">
        <x:v>future</x:v>
      </x:c>
      <x:c r="Q26" s="2" t="str"/>
      <x:c r="R26" s="14" t="str">
        <x:f>IF(AND(C26="Нулевой остаток",I26="Есть цена"),G26,"")</x:f>
      </x:c>
      <x:c r="S26" s="14" t="str">
        <x:f>IF(AND(C26="Докупка",I26="Есть цена"),G26,"")</x:f>
      </x:c>
    </x:row>
    <x:row r="27" ht="21" customHeight="1">
      <x:c r="A27" s="2" t="n">
        <x:v>2</x:v>
      </x:c>
      <x:c r="B27" s="2" t="n">
        <x:v>86400</x:v>
      </x:c>
      <x:c r="C27" s="2" t="str">
        <x:f>'Покупки'!C9</x:f>
        <x:v>Нулевой остаток</x:v>
      </x:c>
      <x:c r="D27" s="9" t="n">
        <x:v>46283.795648148145</x:v>
      </x:c>
      <x:c r="E27" s="12"/>
      <x:c r="F27" s="12" t="n">
        <x:f>'Покупки'!H9</x:f>
        <x:v>0.00003289227716026286</x:v>
      </x:c>
      <x:c r="G27" s="14" t="str">
        <x:f>IF(I27="Есть цена",IF(AND(ISNUMBER(E27),E27&gt;0,F27&gt;0),E27/F27-1,NA()),"")</x:f>
      </x:c>
      <x:c r="H27" s="14" t="str">
        <x:f>IF(AND(I27="Есть цена",I18="Есть цена"),IF(AND(E27&gt;0,E18&gt;0),E27/E18-1,NA()),"")</x:f>
      </x:c>
      <x:c r="I27" s="2" t="str">
        <x:v>Ещё рано</x:v>
      </x:c>
      <x:c r="J27" s="2"/>
      <x:c r="K27" s="9"/>
      <x:c r="L27" s="2"/>
      <x:c r="M27" s="2"/>
      <x:c r="N27" s="2"/>
      <x:c r="O27" s="2"/>
      <x:c r="P27" s="2" t="str">
        <x:v>future</x:v>
      </x:c>
      <x:c r="Q27" s="2" t="str"/>
      <x:c r="R27" s="14" t="str">
        <x:f>IF(AND(C27="Нулевой остаток",I27="Есть цена"),G27,"")</x:f>
      </x:c>
      <x:c r="S27" s="14" t="str">
        <x:f>IF(AND(C27="Докупка",I27="Есть цена"),G27,"")</x:f>
      </x:c>
    </x:row>
    <x:row r="28" ht="21" customHeight="1">
      <x:c r="A28" s="2" t="n">
        <x:v>3</x:v>
      </x:c>
      <x:c r="B28" s="2" t="n">
        <x:v>5</x:v>
      </x:c>
      <x:c r="C28" s="2" t="str">
        <x:f>'Покупки'!C10</x:f>
        <x:v>Докупка</x:v>
      </x:c>
      <x:c r="D28" s="9" t="n">
        <x:v>46282.785787037035</x:v>
      </x:c>
      <x:c r="E28" s="12" t="n">
        <x:v>0.0007545829178086849</x:v>
      </x:c>
      <x:c r="F28" s="12" t="n">
        <x:f>'Покупки'!H10</x:f>
        <x:v>0.0007193668038334772</x:v>
      </x:c>
      <x:c r="G28" s="14" t="n">
        <x:f>IF(I28="Есть цена",IF(AND(ISNUMBER(E28),E28&gt;0,F28&gt;0),E28/F28-1,NA()),"")</x:f>
        <x:v>0.048954321755664054</x:v>
      </x:c>
      <x:c r="H28" s="14" t="n">
        <x:f>IF(AND(I28="Есть цена",I28="Есть цена"),IF(AND(E28&gt;0,E28&gt;0),E28/E28-1,NA()),"")</x:f>
        <x:v>0</x:v>
      </x:c>
      <x:c r="I28" s="2" t="str">
        <x:v>Есть цена</x:v>
      </x:c>
      <x:c r="J28" s="2" t="n">
        <x:v>447867722</x:v>
      </x:c>
      <x:c r="K28" s="9" t="n">
        <x:v>46282.785775462966</x:v>
      </x:c>
      <x:c r="L28" s="2" t="n">
        <x:v>1</x:v>
      </x:c>
      <x:c r="M28" s="2" t="n">
        <x:v>2</x:v>
      </x:c>
      <x:c r="N28" s="2" t="str">
        <x:v>GtmPDVPVepVJjENBNharAsBRLwifdD9PktYVj5f1VCWe</x:v>
      </x:c>
      <x:c r="O28" s="2" t="str">
        <x:v>https://solscan.io/tx/6CHXuFN8q3P63gu3wrd1BLZ61m2pjH5MBZAMkmHEoxFDQjPvYmjyBVNNAPivJ76oPRhXXRjvmrY4CzrAAkBwKuG</x:v>
      </x:c>
      <x:c r="P28" s="2" t="str">
        <x:v>ok</x:v>
      </x:c>
      <x:c r="Q28" s="2" t="str">
        <x:v>cPK91ascbHz3pXHVqLbhBbbQs3ztMvu1681w5EfoGyP; slot 447867720; age 2s</x:v>
      </x:c>
      <x:c r="R28" s="14" t="str">
        <x:f>IF(AND(C28="Нулевой остаток",I28="Есть цена"),G28,"")</x:f>
      </x:c>
      <x:c r="S28" s="14" t="n">
        <x:f>IF(AND(C28="Докупка",I28="Есть цена"),G28,"")</x:f>
        <x:v>0.048954321755664054</x:v>
      </x:c>
    </x:row>
    <x:row r="29" ht="21" customHeight="1">
      <x:c r="A29" s="2" t="n">
        <x:v>3</x:v>
      </x:c>
      <x:c r="B29" s="2" t="n">
        <x:v>15</x:v>
      </x:c>
      <x:c r="C29" s="2" t="str">
        <x:f>'Покупки'!C10</x:f>
        <x:v>Докупка</x:v>
      </x:c>
      <x:c r="D29" s="9" t="n">
        <x:v>46282.78590277778</x:v>
      </x:c>
      <x:c r="E29" s="12" t="n">
        <x:v>0.0007835278545996943</x:v>
      </x:c>
      <x:c r="F29" s="12" t="n">
        <x:f>'Покупки'!H10</x:f>
        <x:v>0.0007193668038334772</x:v>
      </x:c>
      <x:c r="G29" s="14" t="n">
        <x:f>IF(I29="Есть цена",IF(AND(ISNUMBER(E29),E29&gt;0,F29&gt;0),E29/F29-1,NA()),"")</x:f>
        <x:v>0.08919100857073925</x:v>
      </x:c>
      <x:c r="H29" s="14" t="n">
        <x:f>IF(AND(I29="Есть цена",I28="Есть цена"),IF(AND(E29&gt;0,E28&gt;0),E29/E28-1,NA()),"")</x:f>
        <x:v>0.03835885508124903</x:v>
      </x:c>
      <x:c r="I29" s="2" t="str">
        <x:v>Есть цена</x:v>
      </x:c>
      <x:c r="J29" s="2" t="n">
        <x:v>447867751</x:v>
      </x:c>
      <x:c r="K29" s="9" t="n">
        <x:v>46282.78587962963</x:v>
      </x:c>
      <x:c r="L29" s="2" t="n">
        <x:v>2</x:v>
      </x:c>
      <x:c r="M29" s="2" t="n">
        <x:v>0</x:v>
      </x:c>
      <x:c r="N29" s="2" t="str">
        <x:v>GtmPDVPVepVJjENBNharAsBRLwifdD9PktYVj5f1VCWe</x:v>
      </x:c>
      <x:c r="O29" s="2" t="str">
        <x:v>https://solscan.io/tx/4VuCeTznbjsPiEJefsDJKrgUd9iKpNBJF1pCtjMsDiticDoYjgbLn3AtAd7tnAZH7caXnzFDFwVqgRWAfw4ZkqrG</x:v>
      </x:c>
      <x:c r="P29" s="2" t="str">
        <x:v>ok</x:v>
      </x:c>
      <x:c r="Q29" s="2" t="str">
        <x:v>cPK91ascbHz3pXHVqLbhBbbQs3ztMvu1681w5EfoGyP; slot 447867756; age 0s</x:v>
      </x:c>
      <x:c r="R29" s="14" t="str">
        <x:f>IF(AND(C29="Нулевой остаток",I29="Есть цена"),G29,"")</x:f>
      </x:c>
      <x:c r="S29" s="14" t="n">
        <x:f>IF(AND(C29="Докупка",I29="Есть цена"),G29,"")</x:f>
        <x:v>0.08919100857073925</x:v>
      </x:c>
    </x:row>
    <x:row r="30" ht="21" customHeight="1">
      <x:c r="A30" s="2" t="n">
        <x:v>3</x:v>
      </x:c>
      <x:c r="B30" s="2" t="n">
        <x:v>30</x:v>
      </x:c>
      <x:c r="C30" s="2" t="str">
        <x:f>'Покупки'!C10</x:f>
        <x:v>Докупка</x:v>
      </x:c>
      <x:c r="D30" s="9" t="n">
        <x:v>46282.78607638889</x:v>
      </x:c>
      <x:c r="E30" s="12" t="n">
        <x:v>0.0007779685216080764</x:v>
      </x:c>
      <x:c r="F30" s="12" t="n">
        <x:f>'Покупки'!H10</x:f>
        <x:v>0.0007193668038334772</x:v>
      </x:c>
      <x:c r="G30" s="14" t="n">
        <x:f>IF(I30="Есть цена",IF(AND(ISNUMBER(E30),E30&gt;0,F30&gt;0),E30/F30-1,NA()),"")</x:f>
        <x:v>0.08146291636243563</x:v>
      </x:c>
      <x:c r="H30" s="14" t="n">
        <x:f>IF(AND(I30="Есть цена",I28="Есть цена"),IF(AND(E30&gt;0,E28&gt;0),E30/E28-1,NA()),"")</x:f>
        <x:v>0.030991430162908395</x:v>
      </x:c>
      <x:c r="I30" s="2" t="str">
        <x:v>Есть цена</x:v>
      </x:c>
      <x:c r="J30" s="2" t="n">
        <x:v>447867805</x:v>
      </x:c>
      <x:c r="K30" s="9" t="n">
        <x:v>46282.78607638889</x:v>
      </x:c>
      <x:c r="L30" s="2" t="n">
        <x:v>0</x:v>
      </x:c>
      <x:c r="M30" s="2" t="n">
        <x:v>0</x:v>
      </x:c>
      <x:c r="N30" s="2" t="str">
        <x:v>GtmPDVPVepVJjENBNharAsBRLwifdD9PktYVj5f1VCWe</x:v>
      </x:c>
      <x:c r="O30" s="2" t="str">
        <x:v>https://solscan.io/tx/FAGFPhoen4d2SuaRVGQobiHiCJZAvGzDum9cQFgitXrCrKPvuuTwqacUb8cxedhxV4HY4iK3sVVfQqtWLh4WxiJ</x:v>
      </x:c>
      <x:c r="P30" s="2" t="str">
        <x:v>ok</x:v>
      </x:c>
      <x:c r="Q30" s="2" t="str">
        <x:v>cPK91ascbHz3pXHVqLbhBbbQs3ztMvu1681w5EfoGyP; slot 447867805; age 0s</x:v>
      </x:c>
      <x:c r="R30" s="14" t="str">
        <x:f>IF(AND(C30="Нулевой остаток",I30="Есть цена"),G30,"")</x:f>
      </x:c>
      <x:c r="S30" s="14" t="n">
        <x:f>IF(AND(C30="Докупка",I30="Есть цена"),G30,"")</x:f>
        <x:v>0.08146291636243563</x:v>
      </x:c>
    </x:row>
    <x:row r="31" ht="21" customHeight="1">
      <x:c r="A31" s="2" t="n">
        <x:v>3</x:v>
      </x:c>
      <x:c r="B31" s="2" t="n">
        <x:v>60</x:v>
      </x:c>
      <x:c r="C31" s="2" t="str">
        <x:f>'Покупки'!C10</x:f>
        <x:v>Докупка</x:v>
      </x:c>
      <x:c r="D31" s="9" t="n">
        <x:v>46282.78642361111</x:v>
      </x:c>
      <x:c r="E31" s="12" t="n">
        <x:v>0.0007490597243561977</x:v>
      </x:c>
      <x:c r="F31" s="12" t="n">
        <x:f>'Покупки'!H10</x:f>
        <x:v>0.0007193668038334772</x:v>
      </x:c>
      <x:c r="G31" s="14" t="n">
        <x:f>IF(I31="Есть цена",IF(AND(ISNUMBER(E31),E31&gt;0,F31&gt;0),E31/F31-1,NA()),"")</x:f>
        <x:v>0.041276467532958216</x:v>
      </x:c>
      <x:c r="H31" s="14" t="n">
        <x:f>IF(AND(I31="Есть цена",I28="Есть цена"),IF(AND(E31&gt;0,E28&gt;0),E31/E28-1,NA()),"")</x:f>
        <x:v>-0.007319531521501443</x:v>
      </x:c>
      <x:c r="I31" s="2" t="str">
        <x:v>Есть цена</x:v>
      </x:c>
      <x:c r="J31" s="2" t="n">
        <x:v>447867884</x:v>
      </x:c>
      <x:c r="K31" s="9" t="n">
        <x:v>46282.78636574074</x:v>
      </x:c>
      <x:c r="L31" s="2" t="n">
        <x:v>5</x:v>
      </x:c>
      <x:c r="M31" s="2" t="n">
        <x:v>3</x:v>
      </x:c>
      <x:c r="N31" s="2" t="str">
        <x:v>GtmPDVPVepVJjENBNharAsBRLwifdD9PktYVj5f1VCWe</x:v>
      </x:c>
      <x:c r="O31" s="2" t="str">
        <x:v>https://solscan.io/tx/4FnGmhGToAQiUn2nm692MxCqHLy1oRJxrwy9dRLkETEbG9Qejn4ipVyxLFTV7tE1yhscXyiJFGJMM1JAsb4nRsEQ</x:v>
      </x:c>
      <x:c r="P31" s="2" t="str">
        <x:v>ok</x:v>
      </x:c>
      <x:c r="Q31" s="2" t="str">
        <x:v>cPK91ascbHz3pXHVqLbhBbbQs3ztMvu1681w5EfoGyP; slot 447867891; age 3s</x:v>
      </x:c>
      <x:c r="R31" s="14" t="str">
        <x:f>IF(AND(C31="Нулевой остаток",I31="Есть цена"),G31,"")</x:f>
      </x:c>
      <x:c r="S31" s="14" t="n">
        <x:f>IF(AND(C31="Докупка",I31="Есть цена"),G31,"")</x:f>
        <x:v>0.041276467532958216</x:v>
      </x:c>
    </x:row>
    <x:row r="32" ht="21" customHeight="1">
      <x:c r="A32" s="2" t="n">
        <x:v>3</x:v>
      </x:c>
      <x:c r="B32" s="2" t="n">
        <x:v>180</x:v>
      </x:c>
      <x:c r="C32" s="2" t="str">
        <x:f>'Покупки'!C10</x:f>
        <x:v>Докупка</x:v>
      </x:c>
      <x:c r="D32" s="9" t="n">
        <x:v>46282.7878125</x:v>
      </x:c>
      <x:c r="E32" s="12" t="n">
        <x:v>0.0007521041759960473</x:v>
      </x:c>
      <x:c r="F32" s="12" t="n">
        <x:f>'Покупки'!H10</x:f>
        <x:v>0.0007193668038334772</x:v>
      </x:c>
      <x:c r="G32" s="14" t="n">
        <x:f>IF(I32="Есть цена",IF(AND(ISNUMBER(E32),E32&gt;0,F32&gt;0),E32/F32-1,NA()),"")</x:f>
        <x:v>0.04550859448630917</x:v>
      </x:c>
      <x:c r="H32" s="14" t="n">
        <x:f>IF(AND(I32="Есть цена",I28="Есть цена"),IF(AND(E32&gt;0,E28&gt;0),E32/E28-1,NA()),"")</x:f>
        <x:v>-0.0032849164142700893</x:v>
      </x:c>
      <x:c r="I32" s="2" t="str">
        <x:v>Есть цена</x:v>
      </x:c>
      <x:c r="J32" s="2" t="n">
        <x:v>447868192</x:v>
      </x:c>
      <x:c r="K32" s="9" t="n">
        <x:v>46282.7875</x:v>
      </x:c>
      <x:c r="L32" s="2" t="n">
        <x:v>27</x:v>
      </x:c>
      <x:c r="M32" s="2" t="n">
        <x:v>3</x:v>
      </x:c>
      <x:c r="N32" s="2" t="str">
        <x:v>GtmPDVPVepVJjENBNharAsBRLwifdD9PktYVj5f1VCWe</x:v>
      </x:c>
      <x:c r="O32" s="2" t="str">
        <x:v>https://solscan.io/tx/5yRBm8GqxoFwMtcRJwHanPJSD6ZQ22UmdpMc3Jh49d2pwDUeYFNCFveb672wc5jchVgv7VrVJfCo9yBLt12BAR7k</x:v>
      </x:c>
      <x:c r="P32" s="2" t="str">
        <x:v>ok</x:v>
      </x:c>
      <x:c r="Q32" s="2" t="str">
        <x:v>cPK91ascbHz3pXHVqLbhBbbQs3ztMvu1681w5EfoGyP; slot 447868268; age 3s</x:v>
      </x:c>
      <x:c r="R32" s="14" t="str">
        <x:f>IF(AND(C32="Нулевой остаток",I32="Есть цена"),G32,"")</x:f>
      </x:c>
      <x:c r="S32" s="14" t="n">
        <x:f>IF(AND(C32="Докупка",I32="Есть цена"),G32,"")</x:f>
        <x:v>0.04550859448630917</x:v>
      </x:c>
    </x:row>
    <x:row r="33" ht="21" customHeight="1">
      <x:c r="A33" s="2" t="n">
        <x:v>3</x:v>
      </x:c>
      <x:c r="B33" s="2" t="n">
        <x:v>300</x:v>
      </x:c>
      <x:c r="C33" s="2" t="str">
        <x:f>'Покупки'!C10</x:f>
        <x:v>Докупка</x:v>
      </x:c>
      <x:c r="D33" s="9" t="n">
        <x:v>46282.78920138889</x:v>
      </x:c>
      <x:c r="E33" s="12" t="n">
        <x:v>0.0007428464126104026</x:v>
      </x:c>
      <x:c r="F33" s="12" t="n">
        <x:f>'Покупки'!H10</x:f>
        <x:v>0.0007193668038334772</x:v>
      </x:c>
      <x:c r="G33" s="14" t="n">
        <x:f>IF(I33="Есть цена",IF(AND(ISNUMBER(E33),E33&gt;0,F33&gt;0),E33/F33-1,NA()),"")</x:f>
        <x:v>0.032639271998378794</x:v>
      </x:c>
      <x:c r="H33" s="14" t="n">
        <x:f>IF(AND(I33="Есть цена",I28="Есть цена"),IF(AND(E33&gt;0,E28&gt;0),E33/E28-1,NA()),"")</x:f>
        <x:v>-0.015553632240132398</x:v>
      </x:c>
      <x:c r="I33" s="2" t="str">
        <x:v>Есть цена</x:v>
      </x:c>
      <x:c r="J33" s="2" t="n">
        <x:v>447868592</x:v>
      </x:c>
      <x:c r="K33" s="9" t="n">
        <x:v>46282.788981481484</x:v>
      </x:c>
      <x:c r="L33" s="2" t="n">
        <x:v>19</x:v>
      </x:c>
      <x:c r="M33" s="2" t="n">
        <x:v>3</x:v>
      </x:c>
      <x:c r="N33" s="2" t="str">
        <x:v>GtmPDVPVepVJjENBNharAsBRLwifdD9PktYVj5f1VCWe</x:v>
      </x:c>
      <x:c r="O33" s="2" t="str">
        <x:v>https://solscan.io/tx/4sBCF2yxU55jQCNhXfGLyFDNJZADy2syxtEWeHW96XkhufHJ4aZ6n3soWs2ApLxNLVHxF1KS9JRdRxocmQW2zwt6</x:v>
      </x:c>
      <x:c r="P33" s="2" t="str">
        <x:v>ok</x:v>
      </x:c>
      <x:c r="Q33" s="2" t="str">
        <x:v>cPK91ascbHz3pXHVqLbhBbbQs3ztMvu1681w5EfoGyP; slot 447868643; age 3s</x:v>
      </x:c>
      <x:c r="R33" s="14" t="str">
        <x:f>IF(AND(C33="Нулевой остаток",I33="Есть цена"),G33,"")</x:f>
      </x:c>
      <x:c r="S33" s="14" t="n">
        <x:f>IF(AND(C33="Докупка",I33="Есть цена"),G33,"")</x:f>
        <x:v>0.032639271998378794</x:v>
      </x:c>
    </x:row>
    <x:row r="34" ht="21" customHeight="1">
      <x:c r="A34" s="2" t="n">
        <x:v>3</x:v>
      </x:c>
      <x:c r="B34" s="2" t="n">
        <x:v>900</x:v>
      </x:c>
      <x:c r="C34" s="2" t="str">
        <x:f>'Покупки'!C10</x:f>
        <x:v>Докупка</x:v>
      </x:c>
      <x:c r="D34" s="9" t="n">
        <x:v>46282.79614583333</x:v>
      </x:c>
      <x:c r="E34" s="12" t="n">
        <x:v>0.0007893515911889423</x:v>
      </x:c>
      <x:c r="F34" s="12" t="n">
        <x:f>'Покупки'!H10</x:f>
        <x:v>0.0007193668038334772</x:v>
      </x:c>
      <x:c r="G34" s="14" t="n">
        <x:f>IF(I34="Есть цена",IF(AND(ISNUMBER(E34),E34&gt;0,F34&gt;0),E34/F34-1,NA()),"")</x:f>
        <x:v>0.09728665123622449</x:v>
      </x:c>
      <x:c r="H34" s="14" t="n">
        <x:f>IF(AND(I34="Есть цена",I28="Есть цена"),IF(AND(E34&gt;0,E28&gt;0),E34/E28-1,NA()),"")</x:f>
        <x:v>0.04607667700883811</x:v>
      </x:c>
      <x:c r="I34" s="2" t="str">
        <x:v>Есть цена</x:v>
      </x:c>
      <x:c r="J34" s="2" t="n">
        <x:v>447870131</x:v>
      </x:c>
      <x:c r="K34" s="9" t="n">
        <x:v>46282.79462962963</x:v>
      </x:c>
      <x:c r="L34" s="2" t="n">
        <x:v>131</x:v>
      </x:c>
      <x:c r="M34" s="2" t="n">
        <x:v>15</x:v>
      </x:c>
      <x:c r="N34" s="2" t="str">
        <x:v>GtmPDVPVepVJjENBNharAsBRLwifdD9PktYVj5f1VCWe</x:v>
      </x:c>
      <x:c r="O34" s="2" t="str">
        <x:v>https://solscan.io/tx/2jL15an6k7QNHn3f3uYRy9nEhLUUj5CZDEkLpyM8JuUsz4MmjwwcwbnSXkUbxf4bm6eRvyz7j3n8e4xAUY9dnWLT</x:v>
      </x:c>
      <x:c r="P34" s="2" t="str">
        <x:v>ok</x:v>
      </x:c>
      <x:c r="Q34" s="2" t="str">
        <x:v>cPK91ascbHz3pXHVqLbhBbbQs3ztMvu1681w5EfoGyP; slot 447870500; age 15s</x:v>
      </x:c>
      <x:c r="R34" s="14" t="str">
        <x:f>IF(AND(C34="Нулевой остаток",I34="Есть цена"),G34,"")</x:f>
      </x:c>
      <x:c r="S34" s="14" t="n">
        <x:f>IF(AND(C34="Докупка",I34="Есть цена"),G34,"")</x:f>
        <x:v>0.09728665123622449</x:v>
      </x:c>
    </x:row>
    <x:row r="35" ht="21" customHeight="1">
      <x:c r="A35" s="2" t="n">
        <x:v>3</x:v>
      </x:c>
      <x:c r="B35" s="2" t="n">
        <x:v>3600</x:v>
      </x:c>
      <x:c r="C35" s="2" t="str">
        <x:f>'Покупки'!C10</x:f>
        <x:v>Докупка</x:v>
      </x:c>
      <x:c r="D35" s="9" t="n">
        <x:v>46282.82739583333</x:v>
      </x:c>
      <x:c r="E35" s="12" t="n">
        <x:v>0.0008078168295967358</x:v>
      </x:c>
      <x:c r="F35" s="12" t="n">
        <x:f>'Покупки'!H10</x:f>
        <x:v>0.0007193668038334772</x:v>
      </x:c>
      <x:c r="G35" s="14" t="n">
        <x:f>IF(I35="Есть цена",IF(AND(ISNUMBER(E35),E35&gt;0,F35&gt;0),E35/F35-1,NA()),"")</x:f>
        <x:v>0.12295538978433784</x:v>
      </x:c>
      <x:c r="H35" s="14" t="n">
        <x:f>IF(AND(I35="Есть цена",I28="Есть цена"),IF(AND(E35&gt;0,E28&gt;0),E35/E28-1,NA()),"")</x:f>
        <x:v>0.07054746474071072</x:v>
      </x:c>
      <x:c r="I35" s="2" t="str">
        <x:v>Есть цена</x:v>
      </x:c>
      <x:c r="J35" s="2" t="n">
        <x:v>447878989</x:v>
      </x:c>
      <x:c r="K35" s="9" t="n">
        <x:v>46282.82730324074</x:v>
      </x:c>
      <x:c r="L35" s="2" t="n">
        <x:v>8</x:v>
      </x:c>
      <x:c r="M35" s="2" t="n">
        <x:v>77</x:v>
      </x:c>
      <x:c r="N35" s="2" t="str">
        <x:v>GtmPDVPVepVJjENBNharAsBRLwifdD9PktYVj5f1VCWe</x:v>
      </x:c>
      <x:c r="O35" s="2" t="str">
        <x:v>https://solscan.io/tx/2uTNFZdNKBaAa4CJgBAyhinyghHHPcZWg7YwfP5wLu8WCp7i17UatPVyNSVtgJgrP83JFaYQgiNv96Z8mcPuydo9</x:v>
      </x:c>
      <x:c r="P35" s="2" t="str">
        <x:v>ok</x:v>
      </x:c>
      <x:c r="Q35" s="2" t="str">
        <x:v>cPK91ascbHz3pXHVqLbhBbbQs3ztMvu1681w5EfoGyP; slot 447878770; age 77s</x:v>
      </x:c>
      <x:c r="R35" s="14" t="str">
        <x:f>IF(AND(C35="Нулевой остаток",I35="Есть цена"),G35,"")</x:f>
      </x:c>
      <x:c r="S35" s="14" t="n">
        <x:f>IF(AND(C35="Докупка",I35="Есть цена"),G35,"")</x:f>
        <x:v>0.12295538978433784</x:v>
      </x:c>
    </x:row>
    <x:row r="36" ht="21" customHeight="1">
      <x:c r="A36" s="2" t="n">
        <x:v>3</x:v>
      </x:c>
      <x:c r="B36" s="2" t="n">
        <x:v>21600</x:v>
      </x:c>
      <x:c r="C36" s="2" t="str">
        <x:f>'Покупки'!C10</x:f>
        <x:v>Докупка</x:v>
      </x:c>
      <x:c r="D36" s="9" t="n">
        <x:v>46283.035729166666</x:v>
      </x:c>
      <x:c r="E36" s="12"/>
      <x:c r="F36" s="12" t="n">
        <x:f>'Покупки'!H10</x:f>
        <x:v>0.0007193668038334772</x:v>
      </x:c>
      <x:c r="G36" s="14" t="str">
        <x:f>IF(I36="Есть цена",IF(AND(ISNUMBER(E36),E36&gt;0,F36&gt;0),E36/F36-1,NA()),"")</x:f>
      </x:c>
      <x:c r="H36" s="14" t="str">
        <x:f>IF(AND(I36="Есть цена",I28="Есть цена"),IF(AND(E36&gt;0,E28&gt;0),E36/E28-1,NA()),"")</x:f>
      </x:c>
      <x:c r="I36" s="2" t="str">
        <x:v>Ещё рано</x:v>
      </x:c>
      <x:c r="J36" s="2"/>
      <x:c r="K36" s="9"/>
      <x:c r="L36" s="2"/>
      <x:c r="M36" s="2"/>
      <x:c r="N36" s="2"/>
      <x:c r="O36" s="2"/>
      <x:c r="P36" s="2" t="str">
        <x:v>future</x:v>
      </x:c>
      <x:c r="Q36" s="2" t="str"/>
      <x:c r="R36" s="14" t="str">
        <x:f>IF(AND(C36="Нулевой остаток",I36="Есть цена"),G36,"")</x:f>
      </x:c>
      <x:c r="S36" s="14" t="str">
        <x:f>IF(AND(C36="Докупка",I36="Есть цена"),G36,"")</x:f>
      </x:c>
    </x:row>
    <x:row r="37" ht="21" customHeight="1">
      <x:c r="A37" s="2" t="n">
        <x:v>3</x:v>
      </x:c>
      <x:c r="B37" s="2" t="n">
        <x:v>86400</x:v>
      </x:c>
      <x:c r="C37" s="2" t="str">
        <x:f>'Покупки'!C10</x:f>
        <x:v>Докупка</x:v>
      </x:c>
      <x:c r="D37" s="9" t="n">
        <x:v>46283.785729166666</x:v>
      </x:c>
      <x:c r="E37" s="12"/>
      <x:c r="F37" s="12" t="n">
        <x:f>'Покупки'!H10</x:f>
        <x:v>0.0007193668038334772</x:v>
      </x:c>
      <x:c r="G37" s="14" t="str">
        <x:f>IF(I37="Есть цена",IF(AND(ISNUMBER(E37),E37&gt;0,F37&gt;0),E37/F37-1,NA()),"")</x:f>
      </x:c>
      <x:c r="H37" s="14" t="str">
        <x:f>IF(AND(I37="Есть цена",I28="Есть цена"),IF(AND(E37&gt;0,E28&gt;0),E37/E28-1,NA()),"")</x:f>
      </x:c>
      <x:c r="I37" s="2" t="str">
        <x:v>Ещё рано</x:v>
      </x:c>
      <x:c r="J37" s="2"/>
      <x:c r="K37" s="9"/>
      <x:c r="L37" s="2"/>
      <x:c r="M37" s="2"/>
      <x:c r="N37" s="2"/>
      <x:c r="O37" s="2"/>
      <x:c r="P37" s="2" t="str">
        <x:v>future</x:v>
      </x:c>
      <x:c r="Q37" s="2" t="str"/>
      <x:c r="R37" s="14" t="str">
        <x:f>IF(AND(C37="Нулевой остаток",I37="Есть цена"),G37,"")</x:f>
      </x:c>
      <x:c r="S37" s="14" t="str">
        <x:f>IF(AND(C37="Докупка",I37="Есть цена"),G37,"")</x:f>
      </x:c>
    </x:row>
    <x:row r="38" ht="21" customHeight="1">
      <x:c r="A38" s="2" t="n">
        <x:v>4</x:v>
      </x:c>
      <x:c r="B38" s="2" t="n">
        <x:v>5</x:v>
      </x:c>
      <x:c r="C38" s="2" t="str">
        <x:f>'Покупки'!C11</x:f>
        <x:v>Докупка</x:v>
      </x:c>
      <x:c r="D38" s="9" t="n">
        <x:v>46282.76359953704</x:v>
      </x:c>
      <x:c r="E38" s="12" t="n">
        <x:v>0.23073956601370274</x:v>
      </x:c>
      <x:c r="F38" s="12" t="n">
        <x:f>'Покупки'!H11</x:f>
        <x:v>0.23255187292884544</x:v>
      </x:c>
      <x:c r="G38" s="14" t="n">
        <x:f>IF(I38="Есть цена",IF(AND(ISNUMBER(E38),E38&gt;0,F38&gt;0),E38/F38-1,NA()),"")</x:f>
        <x:v>-0.007793129731951121</x:v>
      </x:c>
      <x:c r="H38" s="14" t="n">
        <x:f>IF(AND(I38="Есть цена",I38="Есть цена"),IF(AND(E38&gt;0,E38&gt;0),E38/E38-1,NA()),"")</x:f>
        <x:v>0</x:v>
      </x:c>
      <x:c r="I38" s="2" t="str">
        <x:v>Есть цена</x:v>
      </x:c>
      <x:c r="J38" s="2" t="n">
        <x:v>447861681</x:v>
      </x:c>
      <x:c r="K38" s="9" t="n">
        <x:v>46282.76359953704</x:v>
      </x:c>
      <x:c r="L38" s="2" t="n">
        <x:v>0</x:v>
      </x:c>
      <x:c r="M38" s="2"/>
      <x:c r="N38" s="2" t="str">
        <x:v>36SpkkrsnyUgjPC24KU993r8T3whkJaPgoEeAmbBj9uB</x:v>
      </x:c>
      <x:c r="O38" s="2" t="str">
        <x:v>https://solscan.io/tx/36XKYQ1DmHn9GzWw5L3AcsuCapXWoZgmgPFdCPqr8z1qE1tUDCgQcvDVXYYRm7DyoYEoKcppZwfQ4n7sqTBBEmic</x:v>
      </x:c>
      <x:c r="P38" s="2" t="str">
        <x:v>ok</x:v>
      </x:c>
      <x:c r="Q38" s="2" t="str"/>
      <x:c r="R38" s="14" t="str">
        <x:f>IF(AND(C38="Нулевой остаток",I38="Есть цена"),G38,"")</x:f>
      </x:c>
      <x:c r="S38" s="14" t="n">
        <x:f>IF(AND(C38="Докупка",I38="Есть цена"),G38,"")</x:f>
        <x:v>-0.007793129731951121</x:v>
      </x:c>
    </x:row>
    <x:row r="39" ht="21" customHeight="1">
      <x:c r="A39" s="2" t="n">
        <x:v>4</x:v>
      </x:c>
      <x:c r="B39" s="2" t="n">
        <x:v>15</x:v>
      </x:c>
      <x:c r="C39" s="2" t="str">
        <x:f>'Покупки'!C11</x:f>
        <x:v>Докупка</x:v>
      </x:c>
      <x:c r="D39" s="9" t="n">
        <x:v>46282.763715277775</x:v>
      </x:c>
      <x:c r="E39" s="12" t="n">
        <x:v>0.23039397505112605</x:v>
      </x:c>
      <x:c r="F39" s="12" t="n">
        <x:f>'Покупки'!H11</x:f>
        <x:v>0.23255187292884544</x:v>
      </x:c>
      <x:c r="G39" s="14" t="n">
        <x:f>IF(I39="Есть цена",IF(AND(ISNUMBER(E39),E39&gt;0,F39&gt;0),E39/F39-1,NA()),"")</x:f>
        <x:v>-0.009279210915577707</x:v>
      </x:c>
      <x:c r="H39" s="14" t="n">
        <x:f>IF(AND(I39="Есть цена",I38="Есть цена"),IF(AND(E39&gt;0,E38&gt;0),E39/E38-1,NA()),"")</x:f>
        <x:v>-0.0014977533699450651</x:v>
      </x:c>
      <x:c r="I39" s="2" t="str">
        <x:v>Есть цена</x:v>
      </x:c>
      <x:c r="J39" s="2" t="n">
        <x:v>447861712</x:v>
      </x:c>
      <x:c r="K39" s="9" t="n">
        <x:v>46282.763715277775</x:v>
      </x:c>
      <x:c r="L39" s="2" t="n">
        <x:v>0</x:v>
      </x:c>
      <x:c r="M39" s="2"/>
      <x:c r="N39" s="2" t="str">
        <x:v>36SpkkrsnyUgjPC24KU993r8T3whkJaPgoEeAmbBj9uB</x:v>
      </x:c>
      <x:c r="O39" s="2" t="str">
        <x:v>https://solscan.io/tx/6NrtLMSp2SRBMddnUdF4zYQYJQBCmaJSbmqwray19hjxKEEHnyRmEpKCzFQicXJzGb7rVwEVeJ5XtW3pCsXMQrx</x:v>
      </x:c>
      <x:c r="P39" s="2" t="str">
        <x:v>ok</x:v>
      </x:c>
      <x:c r="Q39" s="2" t="str"/>
      <x:c r="R39" s="14" t="str">
        <x:f>IF(AND(C39="Нулевой остаток",I39="Есть цена"),G39,"")</x:f>
      </x:c>
      <x:c r="S39" s="14" t="n">
        <x:f>IF(AND(C39="Докупка",I39="Есть цена"),G39,"")</x:f>
        <x:v>-0.009279210915577707</x:v>
      </x:c>
    </x:row>
    <x:row r="40" ht="21" customHeight="1">
      <x:c r="A40" s="2" t="n">
        <x:v>4</x:v>
      </x:c>
      <x:c r="B40" s="2" t="n">
        <x:v>30</x:v>
      </x:c>
      <x:c r="C40" s="2" t="str">
        <x:f>'Покупки'!C11</x:f>
        <x:v>Докупка</x:v>
      </x:c>
      <x:c r="D40" s="9" t="n">
        <x:v>46282.76388888889</x:v>
      </x:c>
      <x:c r="E40" s="12" t="n">
        <x:v>0.23108567536272331</x:v>
      </x:c>
      <x:c r="F40" s="12" t="n">
        <x:f>'Покупки'!H11</x:f>
        <x:v>0.23255187292884544</x:v>
      </x:c>
      <x:c r="G40" s="14" t="n">
        <x:f>IF(I40="Есть цена",IF(AND(ISNUMBER(E40),E40&gt;0,F40&gt;0),E40/F40-1,NA()),"")</x:f>
        <x:v>-0.006304819426548924</x:v>
      </x:c>
      <x:c r="H40" s="14" t="n">
        <x:f>IF(AND(I40="Есть цена",I38="Есть цена"),IF(AND(E40&gt;0,E38&gt;0),E40/E38-1,NA()),"")</x:f>
        <x:v>0.0015000000000000568</x:v>
      </x:c>
      <x:c r="I40" s="2" t="str">
        <x:v>Есть цена</x:v>
      </x:c>
      <x:c r="J40" s="2" t="n">
        <x:v>447861758</x:v>
      </x:c>
      <x:c r="K40" s="9" t="n">
        <x:v>46282.76388888889</x:v>
      </x:c>
      <x:c r="L40" s="2" t="n">
        <x:v>0</x:v>
      </x:c>
      <x:c r="M40" s="2"/>
      <x:c r="N40" s="2" t="str">
        <x:v>36SpkkrsnyUgjPC24KU993r8T3whkJaPgoEeAmbBj9uB</x:v>
      </x:c>
      <x:c r="O40" s="2" t="str">
        <x:v>https://solscan.io/tx/47w7z4AhcU2CqYywaTKFx8wciBMhKpv1vQ9AiMngLJEdE144ribTCHkrgSjprj3yZUePRbJmhkWyNULR9AeZ8KP8</x:v>
      </x:c>
      <x:c r="P40" s="2" t="str">
        <x:v>ok</x:v>
      </x:c>
      <x:c r="Q40" s="2" t="str"/>
      <x:c r="R40" s="14" t="str">
        <x:f>IF(AND(C40="Нулевой остаток",I40="Есть цена"),G40,"")</x:f>
      </x:c>
      <x:c r="S40" s="14" t="n">
        <x:f>IF(AND(C40="Докупка",I40="Есть цена"),G40,"")</x:f>
        <x:v>-0.006304819426548924</x:v>
      </x:c>
    </x:row>
    <x:row r="41" ht="21" customHeight="1">
      <x:c r="A41" s="2" t="n">
        <x:v>4</x:v>
      </x:c>
      <x:c r="B41" s="2" t="n">
        <x:v>60</x:v>
      </x:c>
      <x:c r="C41" s="2" t="str">
        <x:f>'Покупки'!C11</x:f>
        <x:v>Докупка</x:v>
      </x:c>
      <x:c r="D41" s="9" t="n">
        <x:v>46282.764236111114</x:v>
      </x:c>
      <x:c r="E41" s="12" t="n">
        <x:v>0.23108567536272331</x:v>
      </x:c>
      <x:c r="F41" s="12" t="n">
        <x:f>'Покупки'!H11</x:f>
        <x:v>0.23255187292884544</x:v>
      </x:c>
      <x:c r="G41" s="14" t="n">
        <x:f>IF(I41="Есть цена",IF(AND(ISNUMBER(E41),E41&gt;0,F41&gt;0),E41/F41-1,NA()),"")</x:f>
        <x:v>-0.006304819426548924</x:v>
      </x:c>
      <x:c r="H41" s="14" t="n">
        <x:f>IF(AND(I41="Есть цена",I38="Есть цена"),IF(AND(E41&gt;0,E38&gt;0),E41/E38-1,NA()),"")</x:f>
        <x:v>0.0015000000000000568</x:v>
      </x:c>
      <x:c r="I41" s="2" t="str">
        <x:v>Есть цена</x:v>
      </x:c>
      <x:c r="J41" s="2" t="n">
        <x:v>447861846</x:v>
      </x:c>
      <x:c r="K41" s="9" t="n">
        <x:v>46282.76421296296</x:v>
      </x:c>
      <x:c r="L41" s="2" t="n">
        <x:v>2</x:v>
      </x:c>
      <x:c r="M41" s="2"/>
      <x:c r="N41" s="2" t="str">
        <x:v>36SpkkrsnyUgjPC24KU993r8T3whkJaPgoEeAmbBj9uB</x:v>
      </x:c>
      <x:c r="O41" s="2" t="str">
        <x:v>https://solscan.io/tx/5ZPdp7g9Gifp5jLggYKVDdSb5omFNB6yJLpSMiWr6VqBb8nMp8EPRHgHnq5gcoexu313dQdY8ciCHTJPF8arBcAL</x:v>
      </x:c>
      <x:c r="P41" s="2" t="str">
        <x:v>ok</x:v>
      </x:c>
      <x:c r="Q41" s="2" t="str"/>
      <x:c r="R41" s="14" t="str">
        <x:f>IF(AND(C41="Нулевой остаток",I41="Есть цена"),G41,"")</x:f>
      </x:c>
      <x:c r="S41" s="14" t="n">
        <x:f>IF(AND(C41="Докупка",I41="Есть цена"),G41,"")</x:f>
        <x:v>-0.006304819426548924</x:v>
      </x:c>
    </x:row>
    <x:row r="42" ht="21" customHeight="1">
      <x:c r="A42" s="2" t="n">
        <x:v>4</x:v>
      </x:c>
      <x:c r="B42" s="2" t="n">
        <x:v>180</x:v>
      </x:c>
      <x:c r="C42" s="2" t="str">
        <x:f>'Покупки'!C11</x:f>
        <x:v>Докупка</x:v>
      </x:c>
      <x:c r="D42" s="9" t="n">
        <x:v>46282.765625</x:v>
      </x:c>
      <x:c r="E42" s="12" t="n">
        <x:v>0.2300489016985782</x:v>
      </x:c>
      <x:c r="F42" s="12" t="n">
        <x:f>'Покупки'!H11</x:f>
        <x:v>0.23255187292884544</x:v>
      </x:c>
      <x:c r="G42" s="14" t="n">
        <x:f>IF(I42="Есть цена",IF(AND(ISNUMBER(E42),E42&gt;0,F42&gt;0),E42/F42-1,NA()),"")</x:f>
        <x:v>-0.010763066316103576</x:v>
      </x:c>
      <x:c r="H42" s="14" t="n">
        <x:f>IF(AND(I42="Есть цена",I38="Есть цена"),IF(AND(E42&gt;0,E38&gt;0),E42/E38-1,NA()),"")</x:f>
        <x:v>-0.0029932634747329434</x:v>
      </x:c>
      <x:c r="I42" s="2" t="str">
        <x:v>Есть цена</x:v>
      </x:c>
      <x:c r="J42" s="2" t="n">
        <x:v>447862230</x:v>
      </x:c>
      <x:c r="K42" s="9" t="n">
        <x:v>46282.76561342592</x:v>
      </x:c>
      <x:c r="L42" s="2" t="n">
        <x:v>1</x:v>
      </x:c>
      <x:c r="M42" s="2"/>
      <x:c r="N42" s="2" t="str">
        <x:v>36SpkkrsnyUgjPC24KU993r8T3whkJaPgoEeAmbBj9uB</x:v>
      </x:c>
      <x:c r="O42" s="2" t="str">
        <x:v>https://solscan.io/tx/5AXJYToqyBxzkMPDcGwhf249DWERSqmiBL7rHkWzhuZgzdCg98JxUtGfjFzUevNtXet6PHct9ncta5NpLCQkV8nm</x:v>
      </x:c>
      <x:c r="P42" s="2" t="str">
        <x:v>ok</x:v>
      </x:c>
      <x:c r="Q42" s="2" t="str"/>
      <x:c r="R42" s="14" t="str">
        <x:f>IF(AND(C42="Нулевой остаток",I42="Есть цена"),G42,"")</x:f>
      </x:c>
      <x:c r="S42" s="14" t="n">
        <x:f>IF(AND(C42="Докупка",I42="Есть цена"),G42,"")</x:f>
        <x:v>-0.010763066316103576</x:v>
      </x:c>
    </x:row>
    <x:row r="43" ht="21" customHeight="1">
      <x:c r="A43" s="2" t="n">
        <x:v>4</x:v>
      </x:c>
      <x:c r="B43" s="2" t="n">
        <x:v>300</x:v>
      </x:c>
      <x:c r="C43" s="2" t="str">
        <x:f>'Покупки'!C11</x:f>
        <x:v>Докупка</x:v>
      </x:c>
      <x:c r="D43" s="9" t="n">
        <x:v>46282.767013888886</x:v>
      </x:c>
      <x:c r="E43" s="12" t="n">
        <x:v>0.23143230387576738</x:v>
      </x:c>
      <x:c r="F43" s="12" t="n">
        <x:f>'Покупки'!H11</x:f>
        <x:v>0.23255187292884544</x:v>
      </x:c>
      <x:c r="G43" s="14" t="n">
        <x:f>IF(I43="Есть цена",IF(AND(ISNUMBER(E43),E43&gt;0,F43&gt;0),E43/F43-1,NA()),"")</x:f>
        <x:v>-0.004814276655688787</x:v>
      </x:c>
      <x:c r="H43" s="14" t="n">
        <x:f>IF(AND(I43="Есть цена",I38="Есть цена"),IF(AND(E43&gt;0,E38&gt;0),E43/E38-1,NA()),"")</x:f>
        <x:v>0.003002249999999984</x:v>
      </x:c>
      <x:c r="I43" s="2" t="str">
        <x:v>Есть цена</x:v>
      </x:c>
      <x:c r="J43" s="2" t="n">
        <x:v>447862610</x:v>
      </x:c>
      <x:c r="K43" s="9" t="n">
        <x:v>46282.76700231482</x:v>
      </x:c>
      <x:c r="L43" s="2" t="n">
        <x:v>1</x:v>
      </x:c>
      <x:c r="M43" s="2"/>
      <x:c r="N43" s="2" t="str">
        <x:v>36SpkkrsnyUgjPC24KU993r8T3whkJaPgoEeAmbBj9uB</x:v>
      </x:c>
      <x:c r="O43" s="2" t="str">
        <x:v>https://solscan.io/tx/4NHhJvjhfTDL6vpuXBBgRHuQgUbpuj3Ee1xBBWeZT1ygrNC9Ht9QieD7LhH66g4v6W9yUKarm6QnfKtvcssZZtWH</x:v>
      </x:c>
      <x:c r="P43" s="2" t="str">
        <x:v>ok</x:v>
      </x:c>
      <x:c r="Q43" s="2" t="str"/>
      <x:c r="R43" s="14" t="str">
        <x:f>IF(AND(C43="Нулевой остаток",I43="Есть цена"),G43,"")</x:f>
      </x:c>
      <x:c r="S43" s="14" t="n">
        <x:f>IF(AND(C43="Докупка",I43="Есть цена"),G43,"")</x:f>
        <x:v>-0.004814276655688787</x:v>
      </x:c>
    </x:row>
    <x:row r="44" ht="21" customHeight="1">
      <x:c r="A44" s="2" t="n">
        <x:v>4</x:v>
      </x:c>
      <x:c r="B44" s="2" t="n">
        <x:v>900</x:v>
      </x:c>
      <x:c r="C44" s="2" t="str">
        <x:f>'Покупки'!C11</x:f>
        <x:v>Докупка</x:v>
      </x:c>
      <x:c r="D44" s="9" t="n">
        <x:v>46282.77395833333</x:v>
      </x:c>
      <x:c r="E44" s="12" t="n">
        <x:v>0.23143230387576738</x:v>
      </x:c>
      <x:c r="F44" s="12" t="n">
        <x:f>'Покупки'!H11</x:f>
        <x:v>0.23255187292884544</x:v>
      </x:c>
      <x:c r="G44" s="14" t="n">
        <x:f>IF(I44="Есть цена",IF(AND(ISNUMBER(E44),E44&gt;0,F44&gt;0),E44/F44-1,NA()),"")</x:f>
        <x:v>-0.004814276655688787</x:v>
      </x:c>
      <x:c r="H44" s="14" t="n">
        <x:f>IF(AND(I44="Есть цена",I38="Есть цена"),IF(AND(E44&gt;0,E38&gt;0),E44/E38-1,NA()),"")</x:f>
        <x:v>0.003002249999999984</x:v>
      </x:c>
      <x:c r="I44" s="2" t="str">
        <x:v>Есть цена</x:v>
      </x:c>
      <x:c r="J44" s="2" t="n">
        <x:v>447864511</x:v>
      </x:c>
      <x:c r="K44" s="9" t="n">
        <x:v>46282.77395833333</x:v>
      </x:c>
      <x:c r="L44" s="2" t="n">
        <x:v>0</x:v>
      </x:c>
      <x:c r="M44" s="2"/>
      <x:c r="N44" s="2" t="str">
        <x:v>36SpkkrsnyUgjPC24KU993r8T3whkJaPgoEeAmbBj9uB</x:v>
      </x:c>
      <x:c r="O44" s="2" t="str">
        <x:v>https://solscan.io/tx/5c8H2v4RmHAwgJ8jJvXBPSLEZvhdm11LHALPrsGotyqRETFAUPacdBs8XBGbQQWm773eWqa2Dpj4aAv1etoQ53y8</x:v>
      </x:c>
      <x:c r="P44" s="2" t="str">
        <x:v>ok</x:v>
      </x:c>
      <x:c r="Q44" s="2" t="str"/>
      <x:c r="R44" s="14" t="str">
        <x:f>IF(AND(C44="Нулевой остаток",I44="Есть цена"),G44,"")</x:f>
      </x:c>
      <x:c r="S44" s="14" t="n">
        <x:f>IF(AND(C44="Докупка",I44="Есть цена"),G44,"")</x:f>
        <x:v>-0.004814276655688787</x:v>
      </x:c>
    </x:row>
    <x:row r="45" ht="21" customHeight="1">
      <x:c r="A45" s="2" t="n">
        <x:v>4</x:v>
      </x:c>
      <x:c r="B45" s="2" t="n">
        <x:v>3600</x:v>
      </x:c>
      <x:c r="C45" s="2" t="str">
        <x:f>'Покупки'!C11</x:f>
        <x:v>Докупка</x:v>
      </x:c>
      <x:c r="D45" s="9" t="n">
        <x:v>46282.80520833333</x:v>
      </x:c>
      <x:c r="E45" s="12" t="n">
        <x:v>0.23108567536272331</x:v>
      </x:c>
      <x:c r="F45" s="12" t="n">
        <x:f>'Покупки'!H11</x:f>
        <x:v>0.23255187292884544</x:v>
      </x:c>
      <x:c r="G45" s="14" t="n">
        <x:f>IF(I45="Есть цена",IF(AND(ISNUMBER(E45),E45&gt;0,F45&gt;0),E45/F45-1,NA()),"")</x:f>
        <x:v>-0.006304819426548924</x:v>
      </x:c>
      <x:c r="H45" s="14" t="n">
        <x:f>IF(AND(I45="Есть цена",I38="Есть цена"),IF(AND(E45&gt;0,E38&gt;0),E45/E38-1,NA()),"")</x:f>
        <x:v>0.0015000000000000568</x:v>
      </x:c>
      <x:c r="I45" s="2" t="str">
        <x:v>Есть цена</x:v>
      </x:c>
      <x:c r="J45" s="2" t="n">
        <x:v>447872934</x:v>
      </x:c>
      <x:c r="K45" s="9" t="n">
        <x:v>46282.804918981485</x:v>
      </x:c>
      <x:c r="L45" s="2" t="n">
        <x:v>25</x:v>
      </x:c>
      <x:c r="M45" s="2"/>
      <x:c r="N45" s="2" t="str">
        <x:v>36SpkkrsnyUgjPC24KU993r8T3whkJaPgoEeAmbBj9uB</x:v>
      </x:c>
      <x:c r="O45" s="2" t="str">
        <x:v>https://solscan.io/tx/caedU9V3t9yj7kTvdbmRdv2jRvyuwKMEWA1LNBVNk2LKPNd3uCBx3zm9bx2TXqs9bn1GJwkEppUcK6DakjoQaiV</x:v>
      </x:c>
      <x:c r="P45" s="2" t="str">
        <x:v>ok</x:v>
      </x:c>
      <x:c r="Q45" s="2" t="str"/>
      <x:c r="R45" s="14" t="str">
        <x:f>IF(AND(C45="Нулевой остаток",I45="Есть цена"),G45,"")</x:f>
      </x:c>
      <x:c r="S45" s="14" t="n">
        <x:f>IF(AND(C45="Докупка",I45="Есть цена"),G45,"")</x:f>
        <x:v>-0.006304819426548924</x:v>
      </x:c>
    </x:row>
    <x:row r="46" ht="21" customHeight="1">
      <x:c r="A46" s="2" t="n">
        <x:v>4</x:v>
      </x:c>
      <x:c r="B46" s="2" t="n">
        <x:v>21600</x:v>
      </x:c>
      <x:c r="C46" s="2" t="str">
        <x:f>'Покупки'!C11</x:f>
        <x:v>Докупка</x:v>
      </x:c>
      <x:c r="D46" s="9" t="n">
        <x:v>46283.01354166667</x:v>
      </x:c>
      <x:c r="E46" s="12"/>
      <x:c r="F46" s="12" t="n">
        <x:f>'Покупки'!H11</x:f>
        <x:v>0.23255187292884544</x:v>
      </x:c>
      <x:c r="G46" s="14" t="str">
        <x:f>IF(I46="Есть цена",IF(AND(ISNUMBER(E46),E46&gt;0,F46&gt;0),E46/F46-1,NA()),"")</x:f>
      </x:c>
      <x:c r="H46" s="14" t="str">
        <x:f>IF(AND(I46="Есть цена",I38="Есть цена"),IF(AND(E46&gt;0,E38&gt;0),E46/E38-1,NA()),"")</x:f>
      </x:c>
      <x:c r="I46" s="2" t="str">
        <x:v>Ещё рано</x:v>
      </x:c>
      <x:c r="J46" s="2"/>
      <x:c r="K46" s="9"/>
      <x:c r="L46" s="2"/>
      <x:c r="M46" s="2"/>
      <x:c r="N46" s="2"/>
      <x:c r="O46" s="2"/>
      <x:c r="P46" s="2" t="str">
        <x:v>future</x:v>
      </x:c>
      <x:c r="Q46" s="2" t="str"/>
      <x:c r="R46" s="14" t="str">
        <x:f>IF(AND(C46="Нулевой остаток",I46="Есть цена"),G46,"")</x:f>
      </x:c>
      <x:c r="S46" s="14" t="str">
        <x:f>IF(AND(C46="Докупка",I46="Есть цена"),G46,"")</x:f>
      </x:c>
    </x:row>
    <x:row r="47" ht="21" customHeight="1">
      <x:c r="A47" s="2" t="n">
        <x:v>4</x:v>
      </x:c>
      <x:c r="B47" s="2" t="n">
        <x:v>86400</x:v>
      </x:c>
      <x:c r="C47" s="2" t="str">
        <x:f>'Покупки'!C11</x:f>
        <x:v>Докупка</x:v>
      </x:c>
      <x:c r="D47" s="9" t="n">
        <x:v>46283.76354166667</x:v>
      </x:c>
      <x:c r="E47" s="12"/>
      <x:c r="F47" s="12" t="n">
        <x:f>'Покупки'!H11</x:f>
        <x:v>0.23255187292884544</x:v>
      </x:c>
      <x:c r="G47" s="14" t="str">
        <x:f>IF(I47="Есть цена",IF(AND(ISNUMBER(E47),E47&gt;0,F47&gt;0),E47/F47-1,NA()),"")</x:f>
      </x:c>
      <x:c r="H47" s="14" t="str">
        <x:f>IF(AND(I47="Есть цена",I38="Есть цена"),IF(AND(E47&gt;0,E38&gt;0),E47/E38-1,NA()),"")</x:f>
      </x:c>
      <x:c r="I47" s="2" t="str">
        <x:v>Ещё рано</x:v>
      </x:c>
      <x:c r="J47" s="2"/>
      <x:c r="K47" s="9"/>
      <x:c r="L47" s="2"/>
      <x:c r="M47" s="2"/>
      <x:c r="N47" s="2"/>
      <x:c r="O47" s="2"/>
      <x:c r="P47" s="2" t="str">
        <x:v>future</x:v>
      </x:c>
      <x:c r="Q47" s="2" t="str"/>
      <x:c r="R47" s="14" t="str">
        <x:f>IF(AND(C47="Нулевой остаток",I47="Есть цена"),G47,"")</x:f>
      </x:c>
      <x:c r="S47" s="14" t="str">
        <x:f>IF(AND(C47="Докупка",I47="Есть цена"),G47,"")</x:f>
      </x:c>
    </x:row>
    <x:row r="48" ht="21" customHeight="1">
      <x:c r="A48" s="2" t="n">
        <x:v>5</x:v>
      </x:c>
      <x:c r="B48" s="2" t="n">
        <x:v>5</x:v>
      </x:c>
      <x:c r="C48" s="2" t="str">
        <x:f>'Покупки'!C12</x:f>
        <x:v>Докупка</x:v>
      </x:c>
      <x:c r="D48" s="9" t="n">
        <x:v>46282.76012731482</x:v>
      </x:c>
      <x:c r="E48" s="12" t="n">
        <x:v>0.00009870796821585439</x:v>
      </x:c>
      <x:c r="F48" s="12" t="n">
        <x:f>'Покупки'!H12</x:f>
        <x:v>0.00014718240074555958</x:v>
      </x:c>
      <x:c r="G48" s="14" t="n">
        <x:f>IF(I48="Есть цена",IF(AND(ISNUMBER(E48),E48&gt;0,F48&gt;0),E48/F48-1,NA()),"")</x:f>
        <x:v>-0.3293493806607013</x:v>
      </x:c>
      <x:c r="H48" s="14" t="n">
        <x:f>IF(AND(I48="Есть цена",I48="Есть цена"),IF(AND(E48&gt;0,E48&gt;0),E48/E48-1,NA()),"")</x:f>
        <x:v>0</x:v>
      </x:c>
      <x:c r="I48" s="2" t="str">
        <x:v>Есть цена</x:v>
      </x:c>
      <x:c r="J48" s="2" t="n">
        <x:v>447860734</x:v>
      </x:c>
      <x:c r="K48" s="9" t="n">
        <x:v>46282.76011574074</x:v>
      </x:c>
      <x:c r="L48" s="2" t="n">
        <x:v>1</x:v>
      </x:c>
      <x:c r="M48" s="2" t="n">
        <x:v>4</x:v>
      </x:c>
      <x:c r="N48" s="2" t="str">
        <x:v>DCivQfRN6jy4LUHjgsoX16tkQtGJtLQdwmHYHPFDZmX</x:v>
      </x:c>
      <x:c r="O48" s="2" t="str">
        <x:v>https://solscan.io/tx/4JKj9H9wRPpDdCy7gxpU6cPs5xtJgnhfsZ4nhUT9UuCcUHjH8byfe3NhaGt315k9QtF6qppnnVdwUJs7uPg5fDhu</x:v>
      </x:c>
      <x:c r="P48" s="2" t="str">
        <x:v>ok</x:v>
      </x:c>
      <x:c r="Q48" s="2" t="str">
        <x:v>5QpDQ6ddkv1ArytJQ991kh8doeXPrt9hHFWK2HmEToDm; slot 447860723; age 4s | 3ucNos4NbumPLZNWztqGHNFFgkHeRMBQAVemeeomsUxv; slot 447860733; age 1s</x:v>
      </x:c>
      <x:c r="R48" s="14" t="str">
        <x:f>IF(AND(C48="Нулевой остаток",I48="Есть цена"),G48,"")</x:f>
      </x:c>
      <x:c r="S48" s="14" t="n">
        <x:f>IF(AND(C48="Докупка",I48="Есть цена"),G48,"")</x:f>
        <x:v>-0.3293493806607013</x:v>
      </x:c>
    </x:row>
    <x:row r="49" ht="21" customHeight="1">
      <x:c r="A49" s="2" t="n">
        <x:v>5</x:v>
      </x:c>
      <x:c r="B49" s="2" t="n">
        <x:v>15</x:v>
      </x:c>
      <x:c r="C49" s="2" t="str">
        <x:f>'Покупки'!C12</x:f>
        <x:v>Докупка</x:v>
      </x:c>
      <x:c r="D49" s="9" t="n">
        <x:v>46282.760243055556</x:v>
      </x:c>
      <x:c r="E49" s="12" t="n">
        <x:v>0.0001006384068160056</x:v>
      </x:c>
      <x:c r="F49" s="12" t="n">
        <x:f>'Покупки'!H12</x:f>
        <x:v>0.00014718240074555958</x:v>
      </x:c>
      <x:c r="G49" s="14" t="n">
        <x:f>IF(I49="Есть цена",IF(AND(ISNUMBER(E49),E49&gt;0,F49&gt;0),E49/F49-1,NA()),"")</x:f>
        <x:v>-0.3162334198503566</x:v>
      </x:c>
      <x:c r="H49" s="14" t="n">
        <x:f>IF(AND(I49="Есть цена",I48="Есть цена"),IF(AND(E49&gt;0,E48&gt;0),E49/E48-1,NA()),"")</x:f>
        <x:v>0.019557069556225937</x:v>
      </x:c>
      <x:c r="I49" s="2" t="str">
        <x:v>Есть цена</x:v>
      </x:c>
      <x:c r="J49" s="2" t="n">
        <x:v>447860760</x:v>
      </x:c>
      <x:c r="K49" s="9" t="n">
        <x:v>46282.76020833333</x:v>
      </x:c>
      <x:c r="L49" s="2" t="n">
        <x:v>3</x:v>
      </x:c>
      <x:c r="M49" s="2" t="n">
        <x:v>3</x:v>
      </x:c>
      <x:c r="N49" s="2" t="str">
        <x:v>DCivQfRN6jy4LUHjgsoX16tkQtGJtLQdwmHYHPFDZmX</x:v>
      </x:c>
      <x:c r="O49" s="2" t="str">
        <x:v>https://solscan.io/tx/66o33vcHrmEUYUS8jt6e3oym9k5C9cKjzmJHg8UcbbV9vBMe6g4SQLnDwQCBdTNW5LBAk5UEbT9aZ1XggXcjTGsD</x:v>
      </x:c>
      <x:c r="P49" s="2" t="str">
        <x:v>ok</x:v>
      </x:c>
      <x:c r="Q49" s="2" t="str">
        <x:v>5QpDQ6ddkv1ArytJQ991kh8doeXPrt9hHFWK2HmEToDm; slot 447860768; age 0s | 3ucNos4NbumPLZNWztqGHNFFgkHeRMBQAVemeeomsUxv; slot 447860758; age 3s</x:v>
      </x:c>
      <x:c r="R49" s="14" t="str">
        <x:f>IF(AND(C49="Нулевой остаток",I49="Есть цена"),G49,"")</x:f>
      </x:c>
      <x:c r="S49" s="14" t="n">
        <x:f>IF(AND(C49="Докупка",I49="Есть цена"),G49,"")</x:f>
        <x:v>-0.3162334198503566</x:v>
      </x:c>
    </x:row>
    <x:row r="50" ht="21" customHeight="1">
      <x:c r="A50" s="2" t="n">
        <x:v>5</x:v>
      </x:c>
      <x:c r="B50" s="2" t="n">
        <x:v>30</x:v>
      </x:c>
      <x:c r="C50" s="2" t="str">
        <x:f>'Покупки'!C12</x:f>
        <x:v>Докупка</x:v>
      </x:c>
      <x:c r="D50" s="9" t="n">
        <x:v>46282.760416666664</x:v>
      </x:c>
      <x:c r="E50" s="12" t="n">
        <x:v>0.00010343763500321264</x:v>
      </x:c>
      <x:c r="F50" s="12" t="n">
        <x:f>'Покупки'!H12</x:f>
        <x:v>0.00014718240074555958</x:v>
      </x:c>
      <x:c r="G50" s="14" t="n">
        <x:f>IF(I50="Есть цена",IF(AND(ISNUMBER(E50),E50&gt;0,F50&gt;0),E50/F50-1,NA()),"")</x:f>
        <x:v>-0.2972146501263446</x:v>
      </x:c>
      <x:c r="H50" s="14" t="n">
        <x:f>IF(AND(I50="Есть цена",I48="Есть цена"),IF(AND(E50&gt;0,E48&gt;0),E50/E48-1,NA()),"")</x:f>
        <x:v>0.047915754653316656</x:v>
      </x:c>
      <x:c r="I50" s="2" t="str">
        <x:v>Есть цена</x:v>
      </x:c>
      <x:c r="J50" s="2" t="n">
        <x:v>447860806</x:v>
      </x:c>
      <x:c r="K50" s="9" t="n">
        <x:v>46282.76038194444</x:v>
      </x:c>
      <x:c r="L50" s="2" t="n">
        <x:v>3</x:v>
      </x:c>
      <x:c r="M50" s="2" t="n">
        <x:v>6</x:v>
      </x:c>
      <x:c r="N50" s="2" t="str">
        <x:v>DCivQfRN6jy4LUHjgsoX16tkQtGJtLQdwmHYHPFDZmX</x:v>
      </x:c>
      <x:c r="O50" s="2" t="str">
        <x:v>https://solscan.io/tx/HNo7gSbsSeorskUeSmso82rmQ65HpAeFWq7sXdQuMe6EYdrD8ALZhUKPnkiDpzqv3y2bH7Nnrwj1PYXfhK1Cs5X</x:v>
      </x:c>
      <x:c r="P50" s="2" t="str">
        <x:v>ok</x:v>
      </x:c>
      <x:c r="Q50" s="2" t="str">
        <x:v>5QpDQ6ddkv1ArytJQ991kh8doeXPrt9hHFWK2HmEToDm; slot 447860798; age 6s | 3ucNos4NbumPLZNWztqGHNFFgkHeRMBQAVemeeomsUxv; slot 447860814; age 1s</x:v>
      </x:c>
      <x:c r="R50" s="14" t="str">
        <x:f>IF(AND(C50="Нулевой остаток",I50="Есть цена"),G50,"")</x:f>
      </x:c>
      <x:c r="S50" s="14" t="n">
        <x:f>IF(AND(C50="Докупка",I50="Есть цена"),G50,"")</x:f>
        <x:v>-0.2972146501263446</x:v>
      </x:c>
    </x:row>
    <x:row r="51" ht="21" customHeight="1">
      <x:c r="A51" s="2" t="n">
        <x:v>5</x:v>
      </x:c>
      <x:c r="B51" s="2" t="n">
        <x:v>60</x:v>
      </x:c>
      <x:c r="C51" s="2" t="str">
        <x:f>'Покупки'!C12</x:f>
        <x:v>Докупка</x:v>
      </x:c>
      <x:c r="D51" s="9" t="n">
        <x:v>46282.76076388889</x:v>
      </x:c>
      <x:c r="E51" s="12" t="n">
        <x:v>0.00010378471654019948</x:v>
      </x:c>
      <x:c r="F51" s="12" t="n">
        <x:f>'Покупки'!H12</x:f>
        <x:v>0.00014718240074555958</x:v>
      </x:c>
      <x:c r="G51" s="14" t="n">
        <x:f>IF(I51="Есть цена",IF(AND(ISNUMBER(E51),E51&gt;0,F51&gt;0),E51/F51-1,NA()),"")</x:f>
        <x:v>-0.2948564773065735</x:v>
      </x:c>
      <x:c r="H51" s="14" t="n">
        <x:f>IF(AND(I51="Есть цена",I48="Есть цена"),IF(AND(E51&gt;0,E48&gt;0),E51/E48-1,NA()),"")</x:f>
        <x:v>0.05143200104416357</x:v>
      </x:c>
      <x:c r="I51" s="2" t="str">
        <x:v>Есть цена</x:v>
      </x:c>
      <x:c r="J51" s="2" t="n">
        <x:v>447860910</x:v>
      </x:c>
      <x:c r="K51" s="9" t="n">
        <x:v>46282.76076388889</x:v>
      </x:c>
      <x:c r="L51" s="2" t="n">
        <x:v>0</x:v>
      </x:c>
      <x:c r="M51" s="2" t="n">
        <x:v>1</x:v>
      </x:c>
      <x:c r="N51" s="2" t="str">
        <x:v>DCivQfRN6jy4LUHjgsoX16tkQtGJtLQdwmHYHPFDZmX</x:v>
      </x:c>
      <x:c r="O51" s="2" t="str">
        <x:v>https://solscan.io/tx/5UfRFtKTV4E5RNWKNbnLaMemZZxM5bkTvFtPQ8VJT2DNSdUKaLfHoY5cxpNALoHbCtLqimmfj4quURnf5ff7sdoa</x:v>
      </x:c>
      <x:c r="P51" s="2" t="str">
        <x:v>ok</x:v>
      </x:c>
      <x:c r="Q51" s="2" t="str">
        <x:v>5QpDQ6ddkv1ArytJQ991kh8doeXPrt9hHFWK2HmEToDm; slot 447860907; age 1s | 3ucNos4NbumPLZNWztqGHNFFgkHeRMBQAVemeeomsUxv; slot 447860909; age 0s</x:v>
      </x:c>
      <x:c r="R51" s="14" t="str">
        <x:f>IF(AND(C51="Нулевой остаток",I51="Есть цена"),G51,"")</x:f>
      </x:c>
      <x:c r="S51" s="14" t="n">
        <x:f>IF(AND(C51="Докупка",I51="Есть цена"),G51,"")</x:f>
        <x:v>-0.2948564773065735</x:v>
      </x:c>
    </x:row>
    <x:row r="52" ht="21" customHeight="1">
      <x:c r="A52" s="2" t="n">
        <x:v>5</x:v>
      </x:c>
      <x:c r="B52" s="2" t="n">
        <x:v>180</x:v>
      </x:c>
      <x:c r="C52" s="2" t="str">
        <x:f>'Покупки'!C12</x:f>
        <x:v>Докупка</x:v>
      </x:c>
      <x:c r="D52" s="9" t="n">
        <x:v>46282.76215277778</x:v>
      </x:c>
      <x:c r="E52" s="12" t="n">
        <x:v>0.00010582277713082966</x:v>
      </x:c>
      <x:c r="F52" s="12" t="n">
        <x:f>'Покупки'!H12</x:f>
        <x:v>0.00014718240074555958</x:v>
      </x:c>
      <x:c r="G52" s="14" t="n">
        <x:f>IF(I52="Есть цена",IF(AND(ISNUMBER(E52),E52&gt;0,F52&gt;0),E52/F52-1,NA()),"")</x:f>
        <x:v>-0.28100930141933234</x:v>
      </x:c>
      <x:c r="H52" s="14" t="n">
        <x:f>IF(AND(I52="Есть цена",I48="Есть цена"),IF(AND(E52&gt;0,E48&gt;0),E52/E48-1,NA()),"")</x:f>
        <x:v>0.07207937761839678</x:v>
      </x:c>
      <x:c r="I52" s="2" t="str">
        <x:v>Есть цена</x:v>
      </x:c>
      <x:c r="J52" s="2" t="n">
        <x:v>447861276</x:v>
      </x:c>
      <x:c r="K52" s="9" t="n">
        <x:v>46282.762094907404</x:v>
      </x:c>
      <x:c r="L52" s="2" t="n">
        <x:v>5</x:v>
      </x:c>
      <x:c r="M52" s="2" t="n">
        <x:v>16</x:v>
      </x:c>
      <x:c r="N52" s="2" t="str">
        <x:v>DCivQfRN6jy4LUHjgsoX16tkQtGJtLQdwmHYHPFDZmX</x:v>
      </x:c>
      <x:c r="O52" s="2" t="str">
        <x:v>https://solscan.io/tx/5C5e1R8Sfxh4AB69xNVgc1F53yMRz1tNy9AnC5xwcfDXRTMZhQPXzbPS5xH5yZDNvi1F7urErVcKLE1ZSZwvNq2r</x:v>
      </x:c>
      <x:c r="P52" s="2" t="str">
        <x:v>ok</x:v>
      </x:c>
      <x:c r="Q52" s="2" t="str">
        <x:v>5QpDQ6ddkv1ArytJQ991kh8doeXPrt9hHFWK2HmEToDm; slot 447861240; age 16s | 3ucNos4NbumPLZNWztqGHNFFgkHeRMBQAVemeeomsUxv; slot 447861277; age 4s</x:v>
      </x:c>
      <x:c r="R52" s="14" t="str">
        <x:f>IF(AND(C52="Нулевой остаток",I52="Есть цена"),G52,"")</x:f>
      </x:c>
      <x:c r="S52" s="14" t="n">
        <x:f>IF(AND(C52="Докупка",I52="Есть цена"),G52,"")</x:f>
        <x:v>-0.28100930141933234</x:v>
      </x:c>
    </x:row>
    <x:row r="53" ht="21" customHeight="1">
      <x:c r="A53" s="2" t="n">
        <x:v>5</x:v>
      </x:c>
      <x:c r="B53" s="2" t="n">
        <x:v>300</x:v>
      </x:c>
      <x:c r="C53" s="2" t="str">
        <x:f>'Покупки'!C12</x:f>
        <x:v>Докупка</x:v>
      </x:c>
      <x:c r="D53" s="9" t="n">
        <x:v>46282.76354166667</x:v>
      </x:c>
      <x:c r="E53" s="12" t="n">
        <x:v>0.00010324390150519156</x:v>
      </x:c>
      <x:c r="F53" s="12" t="n">
        <x:f>'Покупки'!H12</x:f>
        <x:v>0.00014718240074555958</x:v>
      </x:c>
      <x:c r="G53" s="14" t="n">
        <x:f>IF(I53="Есть цена",IF(AND(ISNUMBER(E53),E53&gt;0,F53&gt;0),E53/F53-1,NA()),"")</x:f>
        <x:v>-0.29853093180839163</x:v>
      </x:c>
      <x:c r="H53" s="14" t="n">
        <x:f>IF(AND(I53="Есть цена",I48="Есть цена"),IF(AND(E53&gt;0,E48&gt;0),E53/E48-1,NA()),"")</x:f>
        <x:v>0.045953061047898425</x:v>
      </x:c>
      <x:c r="I53" s="2" t="str">
        <x:v>Есть цена</x:v>
      </x:c>
      <x:c r="J53" s="2" t="n">
        <x:v>447861622</x:v>
      </x:c>
      <x:c r="K53" s="9" t="n">
        <x:v>46282.76336805556</x:v>
      </x:c>
      <x:c r="L53" s="2" t="n">
        <x:v>15</x:v>
      </x:c>
      <x:c r="M53" s="2" t="n">
        <x:v>6</x:v>
      </x:c>
      <x:c r="N53" s="2" t="str">
        <x:v>DCivQfRN6jy4LUHjgsoX16tkQtGJtLQdwmHYHPFDZmX</x:v>
      </x:c>
      <x:c r="O53" s="2" t="str">
        <x:v>https://solscan.io/tx/3HumetZGppHYkY8gY4PWDFdRTjLuvLrR7ZjaxtsbkxGESt9WrqVpLK9nEvS3kU4T1aC5PUi1UGnzTXCWnnkshm9D</x:v>
      </x:c>
      <x:c r="P53" s="2" t="str">
        <x:v>ok</x:v>
      </x:c>
      <x:c r="Q53" s="2" t="str">
        <x:v>5QpDQ6ddkv1ArytJQ991kh8doeXPrt9hHFWK2HmEToDm; slot 447861646; age 6s | 3ucNos4NbumPLZNWztqGHNFFgkHeRMBQAVemeeomsUxv; slot 447861665; age 0s</x:v>
      </x:c>
      <x:c r="R53" s="14" t="str">
        <x:f>IF(AND(C53="Нулевой остаток",I53="Есть цена"),G53,"")</x:f>
      </x:c>
      <x:c r="S53" s="14" t="n">
        <x:f>IF(AND(C53="Докупка",I53="Есть цена"),G53,"")</x:f>
        <x:v>-0.29853093180839163</x:v>
      </x:c>
    </x:row>
    <x:row r="54" ht="21" customHeight="1">
      <x:c r="A54" s="2" t="n">
        <x:v>5</x:v>
      </x:c>
      <x:c r="B54" s="2" t="n">
        <x:v>900</x:v>
      </x:c>
      <x:c r="C54" s="2" t="str">
        <x:f>'Покупки'!C12</x:f>
        <x:v>Докупка</x:v>
      </x:c>
      <x:c r="D54" s="9" t="n">
        <x:v>46282.77048611111</x:v>
      </x:c>
      <x:c r="E54" s="12"/>
      <x:c r="F54" s="12" t="n">
        <x:f>'Покупки'!H12</x:f>
        <x:v>0.00014718240074555958</x:v>
      </x:c>
      <x:c r="G54" s="14" t="str">
        <x:f>IF(I54="Есть цена",IF(AND(ISNUMBER(E54),E54&gt;0,F54&gt;0),E54/F54-1,NA()),"")</x:f>
      </x:c>
      <x:c r="H54" s="14" t="str">
        <x:f>IF(AND(I54="Есть цена",I48="Есть цена"),IF(AND(E54&gt;0,E48&gt;0),E54/E48-1,NA()),"")</x:f>
      </x:c>
      <x:c r="I54" s="2" t="str">
        <x:v>RPC: данные не загружены</x:v>
      </x:c>
      <x:c r="J54" s="2"/>
      <x:c r="K54" s="9"/>
      <x:c r="L54" s="2"/>
      <x:c r="M54" s="2"/>
      <x:c r="N54" s="2"/>
      <x:c r="O54" s="2"/>
      <x:c r="P54" s="2" t="str">
        <x:v>Expecting value: line 1 column 1 (char 0)</x:v>
      </x:c>
      <x:c r="Q54" s="2" t="str"/>
      <x:c r="R54" s="14" t="str">
        <x:f>IF(AND(C54="Нулевой остаток",I54="Есть цена"),G54,"")</x:f>
      </x:c>
      <x:c r="S54" s="14" t="str">
        <x:f>IF(AND(C54="Докупка",I54="Есть цена"),G54,"")</x:f>
      </x:c>
    </x:row>
    <x:row r="55" ht="21" customHeight="1">
      <x:c r="A55" s="2" t="n">
        <x:v>5</x:v>
      </x:c>
      <x:c r="B55" s="2" t="n">
        <x:v>3600</x:v>
      </x:c>
      <x:c r="C55" s="2" t="str">
        <x:f>'Покупки'!C12</x:f>
        <x:v>Докупка</x:v>
      </x:c>
      <x:c r="D55" s="9" t="n">
        <x:v>46282.80173611111</x:v>
      </x:c>
      <x:c r="E55" s="12" t="n">
        <x:v>0.00019033816388999377</x:v>
      </x:c>
      <x:c r="F55" s="12" t="n">
        <x:f>'Покупки'!H12</x:f>
        <x:v>0.00014718240074555958</x:v>
      </x:c>
      <x:c r="G55" s="14" t="n">
        <x:f>IF(I55="Есть цена",IF(AND(ISNUMBER(E55),E55&gt;0,F55&gt;0),E55/F55-1,NA()),"")</x:f>
        <x:v>0.2932127953194579</x:v>
      </x:c>
      <x:c r="H55" s="14" t="n">
        <x:f>IF(AND(I55="Есть цена",I48="Есть цена"),IF(AND(E55&gt;0,E48&gt;0),E55/E48-1,NA()),"")</x:f>
        <x:v>0.928295833967149</x:v>
      </x:c>
      <x:c r="I55" s="2" t="str">
        <x:v>Есть цена</x:v>
      </x:c>
      <x:c r="J55" s="2" t="n">
        <x:v>447872060</x:v>
      </x:c>
      <x:c r="K55" s="9" t="n">
        <x:v>46282.801724537036</x:v>
      </x:c>
      <x:c r="L55" s="2" t="n">
        <x:v>1</x:v>
      </x:c>
      <x:c r="M55" s="2" t="n">
        <x:v>7</x:v>
      </x:c>
      <x:c r="N55" s="2" t="str">
        <x:v>DCivQfRN6jy4LUHjgsoX16tkQtGJtLQdwmHYHPFDZmX</x:v>
      </x:c>
      <x:c r="O55" s="2" t="str">
        <x:v>https://solscan.io/tx/8bp7j46jeSSdePDaKnEGjpcicyvhAUF9AfS2SktU3DZF79MBmU9FA6EcfPjMZUco9kBSjTUuvKrHrgbC2uCafaZ</x:v>
      </x:c>
      <x:c r="P55" s="2" t="str">
        <x:v>ok</x:v>
      </x:c>
      <x:c r="Q55" s="2" t="str">
        <x:v>5QpDQ6ddkv1ArytJQ991kh8doeXPrt9hHFWK2HmEToDm; slot 447872060; age 1s | 3ucNos4NbumPLZNWztqGHNFFgkHeRMBQAVemeeomsUxv; slot 447872041; age 7s</x:v>
      </x:c>
      <x:c r="R55" s="14" t="str">
        <x:f>IF(AND(C55="Нулевой остаток",I55="Есть цена"),G55,"")</x:f>
      </x:c>
      <x:c r="S55" s="14" t="n">
        <x:f>IF(AND(C55="Докупка",I55="Есть цена"),G55,"")</x:f>
        <x:v>0.2932127953194579</x:v>
      </x:c>
    </x:row>
    <x:row r="56" ht="21" customHeight="1">
      <x:c r="A56" s="2" t="n">
        <x:v>5</x:v>
      </x:c>
      <x:c r="B56" s="2" t="n">
        <x:v>21600</x:v>
      </x:c>
      <x:c r="C56" s="2" t="str">
        <x:f>'Покупки'!C12</x:f>
        <x:v>Докупка</x:v>
      </x:c>
      <x:c r="D56" s="9" t="n">
        <x:v>46283.01006944444</x:v>
      </x:c>
      <x:c r="E56" s="12"/>
      <x:c r="F56" s="12" t="n">
        <x:f>'Покупки'!H12</x:f>
        <x:v>0.00014718240074555958</x:v>
      </x:c>
      <x:c r="G56" s="14" t="str">
        <x:f>IF(I56="Есть цена",IF(AND(ISNUMBER(E56),E56&gt;0,F56&gt;0),E56/F56-1,NA()),"")</x:f>
      </x:c>
      <x:c r="H56" s="14" t="str">
        <x:f>IF(AND(I56="Есть цена",I48="Есть цена"),IF(AND(E56&gt;0,E48&gt;0),E56/E48-1,NA()),"")</x:f>
      </x:c>
      <x:c r="I56" s="2" t="str">
        <x:v>Ещё рано</x:v>
      </x:c>
      <x:c r="J56" s="2"/>
      <x:c r="K56" s="9"/>
      <x:c r="L56" s="2"/>
      <x:c r="M56" s="2"/>
      <x:c r="N56" s="2"/>
      <x:c r="O56" s="2"/>
      <x:c r="P56" s="2" t="str">
        <x:v>future</x:v>
      </x:c>
      <x:c r="Q56" s="2" t="str"/>
      <x:c r="R56" s="14" t="str">
        <x:f>IF(AND(C56="Нулевой остаток",I56="Есть цена"),G56,"")</x:f>
      </x:c>
      <x:c r="S56" s="14" t="str">
        <x:f>IF(AND(C56="Докупка",I56="Есть цена"),G56,"")</x:f>
      </x:c>
    </x:row>
    <x:row r="57" ht="21" customHeight="1">
      <x:c r="A57" s="2" t="n">
        <x:v>5</x:v>
      </x:c>
      <x:c r="B57" s="2" t="n">
        <x:v>86400</x:v>
      </x:c>
      <x:c r="C57" s="2" t="str">
        <x:f>'Покупки'!C12</x:f>
        <x:v>Докупка</x:v>
      </x:c>
      <x:c r="D57" s="9" t="n">
        <x:v>46283.76006944444</x:v>
      </x:c>
      <x:c r="E57" s="12"/>
      <x:c r="F57" s="12" t="n">
        <x:f>'Покупки'!H12</x:f>
        <x:v>0.00014718240074555958</x:v>
      </x:c>
      <x:c r="G57" s="14" t="str">
        <x:f>IF(I57="Есть цена",IF(AND(ISNUMBER(E57),E57&gt;0,F57&gt;0),E57/F57-1,NA()),"")</x:f>
      </x:c>
      <x:c r="H57" s="14" t="str">
        <x:f>IF(AND(I57="Есть цена",I48="Есть цена"),IF(AND(E57&gt;0,E48&gt;0),E57/E48-1,NA()),"")</x:f>
      </x:c>
      <x:c r="I57" s="2" t="str">
        <x:v>Ещё рано</x:v>
      </x:c>
      <x:c r="J57" s="2"/>
      <x:c r="K57" s="9"/>
      <x:c r="L57" s="2"/>
      <x:c r="M57" s="2"/>
      <x:c r="N57" s="2"/>
      <x:c r="O57" s="2"/>
      <x:c r="P57" s="2" t="str">
        <x:v>future</x:v>
      </x:c>
      <x:c r="Q57" s="2" t="str"/>
      <x:c r="R57" s="14" t="str">
        <x:f>IF(AND(C57="Нулевой остаток",I57="Есть цена"),G57,"")</x:f>
      </x:c>
      <x:c r="S57" s="14" t="str">
        <x:f>IF(AND(C57="Докупка",I57="Есть цена"),G57,"")</x:f>
      </x:c>
    </x:row>
    <x:row r="58" ht="21" customHeight="1">
      <x:c r="A58" s="2" t="n">
        <x:v>6</x:v>
      </x:c>
      <x:c r="B58" s="2" t="n">
        <x:v>5</x:v>
      </x:c>
      <x:c r="C58" s="2" t="str">
        <x:f>'Покупки'!C13</x:f>
        <x:v>Нулевой остаток</x:v>
      </x:c>
      <x:c r="D58" s="9" t="n">
        <x:v>46282.75829861111</x:v>
      </x:c>
      <x:c r="E58" s="12" t="n">
        <x:v>0.0006398561899036223</x:v>
      </x:c>
      <x:c r="F58" s="12" t="n">
        <x:f>'Покупки'!H13</x:f>
        <x:v>0.000594661968099798</x:v>
      </x:c>
      <x:c r="G58" s="14" t="n">
        <x:f>IF(I58="Есть цена",IF(AND(ISNUMBER(E58),E58&gt;0,F58&gt;0),E58/F58-1,NA()),"")</x:f>
        <x:v>0.07599985240058205</x:v>
      </x:c>
      <x:c r="H58" s="14" t="n">
        <x:f>IF(AND(I58="Есть цена",I58="Есть цена"),IF(AND(E58&gt;0,E58&gt;0),E58/E58-1,NA()),"")</x:f>
        <x:v>0</x:v>
      </x:c>
      <x:c r="I58" s="2" t="str">
        <x:v>Есть цена</x:v>
      </x:c>
      <x:c r="J58" s="2" t="n">
        <x:v>447860232</x:v>
      </x:c>
      <x:c r="K58" s="9" t="n">
        <x:v>46282.75829861111</x:v>
      </x:c>
      <x:c r="L58" s="2" t="n">
        <x:v>0</x:v>
      </x:c>
      <x:c r="M58" s="2" t="n">
        <x:v>4</x:v>
      </x:c>
      <x:c r="N58" s="2" t="str">
        <x:v>6HqstnfN8RN5sAdRZMCr88tD2GKpuWBjRntwyKxLG75V</x:v>
      </x:c>
      <x:c r="O58" s="2" t="str">
        <x:v>https://solscan.io/tx/3xiJga3FrkGmW9y8NcUTVS2cZZccUuf1W2KkN5gi1MHRDeCuYQwaHt2rE26aq1he3ksiCaa4oBAz3Wsc3BCm9bgC</x:v>
      </x:c>
      <x:c r="P58" s="2" t="str">
        <x:v>ok</x:v>
      </x:c>
      <x:c r="Q58" s="2" t="str">
        <x:v>3AoTmvEZxkRWRbT9tmrKWeD2kBaGXUrYHuHdx79zKXSe; slot 447860219; age 4s | 3ucNos4NbumPLZNWztqGHNFFgkHeRMBQAVemeeomsUxv; slot 447860229; age 1s</x:v>
      </x:c>
      <x:c r="R58" s="14" t="n">
        <x:f>IF(AND(C58="Нулевой остаток",I58="Есть цена"),G58,"")</x:f>
        <x:v>0.07599985240058205</x:v>
      </x:c>
      <x:c r="S58" s="14" t="str">
        <x:f>IF(AND(C58="Докупка",I58="Есть цена"),G58,"")</x:f>
      </x:c>
    </x:row>
    <x:row r="59" ht="21" customHeight="1">
      <x:c r="A59" s="2" t="n">
        <x:v>6</x:v>
      </x:c>
      <x:c r="B59" s="2" t="n">
        <x:v>15</x:v>
      </x:c>
      <x:c r="C59" s="2" t="str">
        <x:f>'Покупки'!C13</x:f>
        <x:v>Нулевой остаток</x:v>
      </x:c>
      <x:c r="D59" s="9" t="n">
        <x:v>46282.758414351854</x:v>
      </x:c>
      <x:c r="E59" s="12" t="n">
        <x:v>0.000734771393172438</x:v>
      </x:c>
      <x:c r="F59" s="12" t="n">
        <x:f>'Покупки'!H13</x:f>
        <x:v>0.000594661968099798</x:v>
      </x:c>
      <x:c r="G59" s="14" t="n">
        <x:f>IF(I59="Есть цена",IF(AND(ISNUMBER(E59),E59&gt;0,F59&gt;0),E59/F59-1,NA()),"")</x:f>
        <x:v>0.23561188135227495</x:v>
      </x:c>
      <x:c r="H59" s="14" t="n">
        <x:f>IF(AND(I59="Есть цена",I58="Есть цена"),IF(AND(E59&gt;0,E58&gt;0),E59/E58-1,NA()),"")</x:f>
        <x:v>0.1483383372177931</x:v>
      </x:c>
      <x:c r="I59" s="2" t="str">
        <x:v>Есть цена</x:v>
      </x:c>
      <x:c r="J59" s="2" t="n">
        <x:v>447860264</x:v>
      </x:c>
      <x:c r="K59" s="9" t="n">
        <x:v>46282.758414351854</x:v>
      </x:c>
      <x:c r="L59" s="2" t="n">
        <x:v>0</x:v>
      </x:c>
      <x:c r="M59" s="2" t="n">
        <x:v>4</x:v>
      </x:c>
      <x:c r="N59" s="2" t="str">
        <x:v>6HqstnfN8RN5sAdRZMCr88tD2GKpuWBjRntwyKxLG75V</x:v>
      </x:c>
      <x:c r="O59" s="2" t="str">
        <x:v>https://solscan.io/tx/YUZvMSAfay4v4CQqJ6QTspMbDkAZEHiYuuUAMAWBCykzkVCKpYqB67mdi4PLAZ5mWvsaAUQKnQT4gRWmpnDPErB</x:v>
      </x:c>
      <x:c r="P59" s="2" t="str">
        <x:v>ok</x:v>
      </x:c>
      <x:c r="Q59" s="2" t="str">
        <x:v>3AoTmvEZxkRWRbT9tmrKWeD2kBaGXUrYHuHdx79zKXSe; slot 447860253; age 3s | 3ucNos4NbumPLZNWztqGHNFFgkHeRMBQAVemeeomsUxv; slot 447860252; age 4s</x:v>
      </x:c>
      <x:c r="R59" s="14" t="n">
        <x:f>IF(AND(C59="Нулевой остаток",I59="Есть цена"),G59,"")</x:f>
        <x:v>0.23561188135227495</x:v>
      </x:c>
      <x:c r="S59" s="14" t="str">
        <x:f>IF(AND(C59="Докупка",I59="Есть цена"),G59,"")</x:f>
      </x:c>
    </x:row>
    <x:row r="60" ht="21" customHeight="1">
      <x:c r="A60" s="2" t="n">
        <x:v>6</x:v>
      </x:c>
      <x:c r="B60" s="2" t="n">
        <x:v>30</x:v>
      </x:c>
      <x:c r="C60" s="2" t="str">
        <x:f>'Покупки'!C13</x:f>
        <x:v>Нулевой остаток</x:v>
      </x:c>
      <x:c r="D60" s="9" t="n">
        <x:v>46282.75858796296</x:v>
      </x:c>
      <x:c r="E60" s="12" t="n">
        <x:v>0.0007740713245031021</x:v>
      </x:c>
      <x:c r="F60" s="12" t="n">
        <x:f>'Покупки'!H13</x:f>
        <x:v>0.000594661968099798</x:v>
      </x:c>
      <x:c r="G60" s="14" t="n">
        <x:f>IF(I60="Есть цена",IF(AND(ISNUMBER(E60),E60&gt;0,F60&gt;0),E60/F60-1,NA()),"")</x:f>
        <x:v>0.30169973199495925</x:v>
      </x:c>
      <x:c r="H60" s="14" t="n">
        <x:f>IF(AND(I60="Есть цена",I58="Есть цена"),IF(AND(E60&gt;0,E58&gt;0),E60/E58-1,NA()),"")</x:f>
        <x:v>0.20975828118455153</x:v>
      </x:c>
      <x:c r="I60" s="2" t="str">
        <x:v>Есть цена</x:v>
      </x:c>
      <x:c r="J60" s="2" t="n">
        <x:v>447860311</x:v>
      </x:c>
      <x:c r="K60" s="9" t="n">
        <x:v>46282.75858796296</x:v>
      </x:c>
      <x:c r="L60" s="2" t="n">
        <x:v>0</x:v>
      </x:c>
      <x:c r="M60" s="2" t="n">
        <x:v>10</x:v>
      </x:c>
      <x:c r="N60" s="2" t="str">
        <x:v>6HqstnfN8RN5sAdRZMCr88tD2GKpuWBjRntwyKxLG75V</x:v>
      </x:c>
      <x:c r="O60" s="2" t="str">
        <x:v>https://solscan.io/tx/5vCqwuMHi858yxUBd2uKjcA8Dzp2ZuTj4mXDZfJ3pHXwVS9UTEdg3z6c68jpZWJUb5QBShknAx3FRYZ9WRNnyv2r</x:v>
      </x:c>
      <x:c r="P60" s="2" t="str">
        <x:v>ok</x:v>
      </x:c>
      <x:c r="Q60" s="2" t="str">
        <x:v>3AoTmvEZxkRWRbT9tmrKWeD2kBaGXUrYHuHdx79zKXSe; slot 447860308; age 1s | 3ucNos4NbumPLZNWztqGHNFFgkHeRMBQAVemeeomsUxv; slot 447860280; age 10s</x:v>
      </x:c>
      <x:c r="R60" s="14" t="n">
        <x:f>IF(AND(C60="Нулевой остаток",I60="Есть цена"),G60,"")</x:f>
        <x:v>0.30169973199495925</x:v>
      </x:c>
      <x:c r="S60" s="14" t="str">
        <x:f>IF(AND(C60="Докупка",I60="Есть цена"),G60,"")</x:f>
      </x:c>
    </x:row>
    <x:row r="61" ht="21" customHeight="1">
      <x:c r="A61" s="2" t="n">
        <x:v>6</x:v>
      </x:c>
      <x:c r="B61" s="2" t="n">
        <x:v>60</x:v>
      </x:c>
      <x:c r="C61" s="2" t="str">
        <x:f>'Покупки'!C13</x:f>
        <x:v>Нулевой остаток</x:v>
      </x:c>
      <x:c r="D61" s="9" t="n">
        <x:v>46282.758935185186</x:v>
      </x:c>
      <x:c r="E61" s="12" t="n">
        <x:v>0.0007485044288462699</x:v>
      </x:c>
      <x:c r="F61" s="12" t="n">
        <x:f>'Покупки'!H13</x:f>
        <x:v>0.000594661968099798</x:v>
      </x:c>
      <x:c r="G61" s="14" t="n">
        <x:f>IF(I61="Есть цена",IF(AND(ISNUMBER(E61),E61&gt;0,F61&gt;0),E61/F61-1,NA()),"")</x:f>
        <x:v>0.25870573367599925</x:v>
      </x:c>
      <x:c r="H61" s="14" t="n">
        <x:f>IF(AND(I61="Есть цена",I58="Есть цена"),IF(AND(E61&gt;0,E58&gt;0),E61/E58-1,NA()),"")</x:f>
        <x:v>0.169801028195121</x:v>
      </x:c>
      <x:c r="I61" s="2" t="str">
        <x:v>Есть цена</x:v>
      </x:c>
      <x:c r="J61" s="2" t="n">
        <x:v>447860407</x:v>
      </x:c>
      <x:c r="K61" s="9" t="n">
        <x:v>46282.758935185186</x:v>
      </x:c>
      <x:c r="L61" s="2" t="n">
        <x:v>0</x:v>
      </x:c>
      <x:c r="M61" s="2" t="n">
        <x:v>6</x:v>
      </x:c>
      <x:c r="N61" s="2" t="str">
        <x:v>6HqstnfN8RN5sAdRZMCr88tD2GKpuWBjRntwyKxLG75V</x:v>
      </x:c>
      <x:c r="O61" s="2" t="str">
        <x:v>https://solscan.io/tx/21KAyBXH5PUmmNs6GFbEio3gcxAoS1XzHzvUpBH6yfzJyaV1oatDMgHvavcYXGgKgxKybWVZSWP6r27kBLWXwLvg</x:v>
      </x:c>
      <x:c r="P61" s="2" t="str">
        <x:v>ok</x:v>
      </x:c>
      <x:c r="Q61" s="2" t="str">
        <x:v>3AoTmvEZxkRWRbT9tmrKWeD2kBaGXUrYHuHdx79zKXSe; slot 447860406; age 0s | 3ucNos4NbumPLZNWztqGHNFFgkHeRMBQAVemeeomsUxv; slot 447860387; age 6s</x:v>
      </x:c>
      <x:c r="R61" s="14" t="n">
        <x:f>IF(AND(C61="Нулевой остаток",I61="Есть цена"),G61,"")</x:f>
        <x:v>0.25870573367599925</x:v>
      </x:c>
      <x:c r="S61" s="14" t="str">
        <x:f>IF(AND(C61="Докупка",I61="Есть цена"),G61,"")</x:f>
      </x:c>
    </x:row>
    <x:row r="62" ht="21" customHeight="1">
      <x:c r="A62" s="2" t="n">
        <x:v>6</x:v>
      </x:c>
      <x:c r="B62" s="2" t="n">
        <x:v>180</x:v>
      </x:c>
      <x:c r="C62" s="2" t="str">
        <x:f>'Покупки'!C13</x:f>
        <x:v>Нулевой остаток</x:v>
      </x:c>
      <x:c r="D62" s="9" t="n">
        <x:v>46282.76032407407</x:v>
      </x:c>
      <x:c r="E62" s="12" t="n">
        <x:v>0.00080240503291237</x:v>
      </x:c>
      <x:c r="F62" s="12" t="n">
        <x:f>'Покупки'!H13</x:f>
        <x:v>0.000594661968099798</x:v>
      </x:c>
      <x:c r="G62" s="14" t="n">
        <x:f>IF(I62="Есть цена",IF(AND(ISNUMBER(E62),E62&gt;0,F62&gt;0),E62/F62-1,NA()),"")</x:f>
        <x:v>0.3493464791037517</x:v>
      </x:c>
      <x:c r="H62" s="14" t="n">
        <x:f>IF(AND(I62="Есть цена",I58="Есть цена"),IF(AND(E62&gt;0,E58&gt;0),E62/E58-1,NA()),"")</x:f>
        <x:v>0.25403965074282</x:v>
      </x:c>
      <x:c r="I62" s="2" t="str">
        <x:v>Есть цена</x:v>
      </x:c>
      <x:c r="J62" s="2" t="n">
        <x:v>447860777</x:v>
      </x:c>
      <x:c r="K62" s="9" t="n">
        <x:v>46282.76027777778</x:v>
      </x:c>
      <x:c r="L62" s="2" t="n">
        <x:v>4</x:v>
      </x:c>
      <x:c r="M62" s="2" t="n">
        <x:v>6</x:v>
      </x:c>
      <x:c r="N62" s="2" t="str">
        <x:v>6HqstnfN8RN5sAdRZMCr88tD2GKpuWBjRntwyKxLG75V</x:v>
      </x:c>
      <x:c r="O62" s="2" t="str">
        <x:v>https://solscan.io/tx/KdK9HXcwMTgqA6fX3k4FoqqX93kmuCYFyUmzSnvouBjPvwCSq4b9RfcNTEmLt368LzsZLTH3rWNtz3aDMdNWteT</x:v>
      </x:c>
      <x:c r="P62" s="2" t="str">
        <x:v>ok</x:v>
      </x:c>
      <x:c r="Q62" s="2" t="str">
        <x:v>3AoTmvEZxkRWRbT9tmrKWeD2kBaGXUrYHuHdx79zKXSe; slot 447860772; age 6s | 3ucNos4NbumPLZNWztqGHNFFgkHeRMBQAVemeeomsUxv; slot 447860792; age 0s</x:v>
      </x:c>
      <x:c r="R62" s="14" t="n">
        <x:f>IF(AND(C62="Нулевой остаток",I62="Есть цена"),G62,"")</x:f>
        <x:v>0.3493464791037517</x:v>
      </x:c>
      <x:c r="S62" s="14" t="str">
        <x:f>IF(AND(C62="Докупка",I62="Есть цена"),G62,"")</x:f>
      </x:c>
    </x:row>
    <x:row r="63" ht="21" customHeight="1">
      <x:c r="A63" s="2" t="n">
        <x:v>6</x:v>
      </x:c>
      <x:c r="B63" s="2" t="n">
        <x:v>300</x:v>
      </x:c>
      <x:c r="C63" s="2" t="str">
        <x:f>'Покупки'!C13</x:f>
        <x:v>Нулевой остаток</x:v>
      </x:c>
      <x:c r="D63" s="9" t="n">
        <x:v>46282.761712962965</x:v>
      </x:c>
      <x:c r="E63" s="12" t="n">
        <x:v>0.000873077154221549</x:v>
      </x:c>
      <x:c r="F63" s="12" t="n">
        <x:f>'Покупки'!H13</x:f>
        <x:v>0.000594661968099798</x:v>
      </x:c>
      <x:c r="G63" s="14" t="n">
        <x:f>IF(I63="Есть цена",IF(AND(ISNUMBER(E63),E63&gt;0,F63&gt;0),E63/F63-1,NA()),"")</x:f>
        <x:v>0.46819067143541715</x:v>
      </x:c>
      <x:c r="H63" s="14" t="n">
        <x:f>IF(AND(I63="Есть цена",I58="Есть цена"),IF(AND(E63&gt;0,E58&gt;0),E63/E58-1,NA()),"")</x:f>
        <x:v>0.3644896587670041</x:v>
      </x:c>
      <x:c r="I63" s="2" t="str">
        <x:v>Есть цена</x:v>
      </x:c>
      <x:c r="J63" s="2" t="n">
        <x:v>447861166</x:v>
      </x:c>
      <x:c r="K63" s="9" t="n">
        <x:v>46282.76168981481</x:v>
      </x:c>
      <x:c r="L63" s="2" t="n">
        <x:v>2</x:v>
      </x:c>
      <x:c r="M63" s="2" t="n">
        <x:v>12</x:v>
      </x:c>
      <x:c r="N63" s="2" t="str">
        <x:v>6HqstnfN8RN5sAdRZMCr88tD2GKpuWBjRntwyKxLG75V</x:v>
      </x:c>
      <x:c r="O63" s="2" t="str">
        <x:v>https://solscan.io/tx/3vxLW3Ci4Xh9a7hJj4RKLQYdUNSRTtqXaFPu5yN87U7YPoSR4Bdk4zy3mQZqzCC59BdN1qLmcweUX5hF9qGTvLJv</x:v>
      </x:c>
      <x:c r="P63" s="2" t="str">
        <x:v>ok</x:v>
      </x:c>
      <x:c r="Q63" s="2" t="str">
        <x:v>3AoTmvEZxkRWRbT9tmrKWeD2kBaGXUrYHuHdx79zKXSe; slot 447861133; age 12s | 3ucNos4NbumPLZNWztqGHNFFgkHeRMBQAVemeeomsUxv; slot 447861168; age 1s</x:v>
      </x:c>
      <x:c r="R63" s="14" t="n">
        <x:f>IF(AND(C63="Нулевой остаток",I63="Есть цена"),G63,"")</x:f>
        <x:v>0.46819067143541715</x:v>
      </x:c>
      <x:c r="S63" s="14" t="str">
        <x:f>IF(AND(C63="Докупка",I63="Есть цена"),G63,"")</x:f>
      </x:c>
    </x:row>
    <x:row r="64" ht="21" customHeight="1">
      <x:c r="A64" s="2" t="n">
        <x:v>6</x:v>
      </x:c>
      <x:c r="B64" s="2" t="n">
        <x:v>900</x:v>
      </x:c>
      <x:c r="C64" s="2" t="str">
        <x:f>'Покупки'!C13</x:f>
        <x:v>Нулевой остаток</x:v>
      </x:c>
      <x:c r="D64" s="9" t="n">
        <x:v>46282.76865740741</x:v>
      </x:c>
      <x:c r="E64" s="12" t="n">
        <x:v>0.0007568919705731849</x:v>
      </x:c>
      <x:c r="F64" s="12" t="n">
        <x:f>'Покупки'!H13</x:f>
        <x:v>0.000594661968099798</x:v>
      </x:c>
      <x:c r="G64" s="14" t="n">
        <x:f>IF(I64="Есть цена",IF(AND(ISNUMBER(E64),E64&gt;0,F64&gt;0),E64/F64-1,NA()),"")</x:f>
        <x:v>0.27281045564723394</x:v>
      </x:c>
      <x:c r="H64" s="14" t="n">
        <x:f>IF(AND(I64="Есть цена",I58="Есть цена"),IF(AND(E64&gt;0,E58&gt;0),E64/E58-1,NA()),"")</x:f>
        <x:v>0.18290950766169956</x:v>
      </x:c>
      <x:c r="I64" s="2" t="str">
        <x:v>Есть цена</x:v>
      </x:c>
      <x:c r="J64" s="2" t="n">
        <x:v>447863001</x:v>
      </x:c>
      <x:c r="K64" s="9" t="n">
        <x:v>46282.7684375</x:v>
      </x:c>
      <x:c r="L64" s="2" t="n">
        <x:v>19</x:v>
      </x:c>
      <x:c r="M64" s="2" t="n">
        <x:v>19</x:v>
      </x:c>
      <x:c r="N64" s="2" t="str">
        <x:v>6HqstnfN8RN5sAdRZMCr88tD2GKpuWBjRntwyKxLG75V</x:v>
      </x:c>
      <x:c r="O64" s="2" t="str">
        <x:v>https://solscan.io/tx/P2476ZUAYichbDrmeDAaqC3UYYTNN2zH2yNJtHs2budP9nxcAaKPSxkKeijNJBk8nkp88TRNA9gkGDhByCxkZRJ</x:v>
      </x:c>
      <x:c r="P64" s="2" t="str">
        <x:v>ok</x:v>
      </x:c>
      <x:c r="Q64" s="2" t="str">
        <x:v>3AoTmvEZxkRWRbT9tmrKWeD2kBaGXUrYHuHdx79zKXSe; slot 447863001; age 19s | 3ucNos4NbumPLZNWztqGHNFFgkHeRMBQAVemeeomsUxv; slot 447863053; age 3s</x:v>
      </x:c>
      <x:c r="R64" s="14" t="n">
        <x:f>IF(AND(C64="Нулевой остаток",I64="Есть цена"),G64,"")</x:f>
        <x:v>0.27281045564723394</x:v>
      </x:c>
      <x:c r="S64" s="14" t="str">
        <x:f>IF(AND(C64="Докупка",I64="Есть цена"),G64,"")</x:f>
      </x:c>
    </x:row>
    <x:row r="65" ht="21" customHeight="1">
      <x:c r="A65" s="2" t="n">
        <x:v>6</x:v>
      </x:c>
      <x:c r="B65" s="2" t="n">
        <x:v>3600</x:v>
      </x:c>
      <x:c r="C65" s="2" t="str">
        <x:f>'Покупки'!C13</x:f>
        <x:v>Нулевой остаток</x:v>
      </x:c>
      <x:c r="D65" s="9" t="n">
        <x:v>46282.79990740741</x:v>
      </x:c>
      <x:c r="E65" s="12" t="n">
        <x:v>0.0012766365685510392</x:v>
      </x:c>
      <x:c r="F65" s="12" t="n">
        <x:f>'Покупки'!H13</x:f>
        <x:v>0.000594661968099798</x:v>
      </x:c>
      <x:c r="G65" s="14" t="n">
        <x:f>IF(I65="Есть цена",IF(AND(ISNUMBER(E65),E65&gt;0,F65&gt;0),E65/F65-1,NA()),"")</x:f>
        <x:v>1.1468273355877199</x:v>
      </x:c>
      <x:c r="H65" s="14" t="n">
        <x:f>IF(AND(I65="Есть цена",I58="Есть цена"),IF(AND(E65&gt;0,E58&gt;0),E65/E58-1,NA()),"")</x:f>
        <x:v>0.9951929647556137</x:v>
      </x:c>
      <x:c r="I65" s="2" t="str">
        <x:v>Есть цена</x:v>
      </x:c>
      <x:c r="J65" s="2" t="n">
        <x:v>447871546</x:v>
      </x:c>
      <x:c r="K65" s="9" t="n">
        <x:v>46282.79982638889</x:v>
      </x:c>
      <x:c r="L65" s="2" t="n">
        <x:v>7</x:v>
      </x:c>
      <x:c r="M65" s="2" t="n">
        <x:v>7</x:v>
      </x:c>
      <x:c r="N65" s="2" t="str">
        <x:v>6HqstnfN8RN5sAdRZMCr88tD2GKpuWBjRntwyKxLG75V</x:v>
      </x:c>
      <x:c r="O65" s="2" t="str">
        <x:v>https://solscan.io/tx/5SogsrMBNo3Q77SsMNMMvp8WWPxRYskZUBZxCA5itUzXEPFBGQ7rKyWEQKC825QyN12mmuBhGR41qNeSsAAtovQc</x:v>
      </x:c>
      <x:c r="P65" s="2" t="str">
        <x:v>ok</x:v>
      </x:c>
      <x:c r="Q65" s="2" t="str">
        <x:v>3AoTmvEZxkRWRbT9tmrKWeD2kBaGXUrYHuHdx79zKXSe; slot 447871546; age 7s | 3ucNos4NbumPLZNWztqGHNFFgkHeRMBQAVemeeomsUxv; slot 447871564; age 2s</x:v>
      </x:c>
      <x:c r="R65" s="14" t="n">
        <x:f>IF(AND(C65="Нулевой остаток",I65="Есть цена"),G65,"")</x:f>
        <x:v>1.1468273355877199</x:v>
      </x:c>
      <x:c r="S65" s="14" t="str">
        <x:f>IF(AND(C65="Докупка",I65="Есть цена"),G65,"")</x:f>
      </x:c>
    </x:row>
    <x:row r="66" ht="21" customHeight="1">
      <x:c r="A66" s="2" t="n">
        <x:v>6</x:v>
      </x:c>
      <x:c r="B66" s="2" t="n">
        <x:v>21600</x:v>
      </x:c>
      <x:c r="C66" s="2" t="str">
        <x:f>'Покупки'!C13</x:f>
        <x:v>Нулевой остаток</x:v>
      </x:c>
      <x:c r="D66" s="9" t="n">
        <x:v>46283.00824074074</x:v>
      </x:c>
      <x:c r="E66" s="12"/>
      <x:c r="F66" s="12" t="n">
        <x:f>'Покупки'!H13</x:f>
        <x:v>0.000594661968099798</x:v>
      </x:c>
      <x:c r="G66" s="14" t="str">
        <x:f>IF(I66="Есть цена",IF(AND(ISNUMBER(E66),E66&gt;0,F66&gt;0),E66/F66-1,NA()),"")</x:f>
      </x:c>
      <x:c r="H66" s="14" t="str">
        <x:f>IF(AND(I66="Есть цена",I58="Есть цена"),IF(AND(E66&gt;0,E58&gt;0),E66/E58-1,NA()),"")</x:f>
      </x:c>
      <x:c r="I66" s="2" t="str">
        <x:v>Ещё рано</x:v>
      </x:c>
      <x:c r="J66" s="2"/>
      <x:c r="K66" s="9"/>
      <x:c r="L66" s="2"/>
      <x:c r="M66" s="2"/>
      <x:c r="N66" s="2"/>
      <x:c r="O66" s="2"/>
      <x:c r="P66" s="2" t="str">
        <x:v>future</x:v>
      </x:c>
      <x:c r="Q66" s="2" t="str"/>
      <x:c r="R66" s="14" t="str">
        <x:f>IF(AND(C66="Нулевой остаток",I66="Есть цена"),G66,"")</x:f>
      </x:c>
      <x:c r="S66" s="14" t="str">
        <x:f>IF(AND(C66="Докупка",I66="Есть цена"),G66,"")</x:f>
      </x:c>
    </x:row>
    <x:row r="67" ht="21" customHeight="1">
      <x:c r="A67" s="2" t="n">
        <x:v>6</x:v>
      </x:c>
      <x:c r="B67" s="2" t="n">
        <x:v>86400</x:v>
      </x:c>
      <x:c r="C67" s="2" t="str">
        <x:f>'Покупки'!C13</x:f>
        <x:v>Нулевой остаток</x:v>
      </x:c>
      <x:c r="D67" s="9" t="n">
        <x:v>46283.75824074074</x:v>
      </x:c>
      <x:c r="E67" s="12"/>
      <x:c r="F67" s="12" t="n">
        <x:f>'Покупки'!H13</x:f>
        <x:v>0.000594661968099798</x:v>
      </x:c>
      <x:c r="G67" s="14" t="str">
        <x:f>IF(I67="Есть цена",IF(AND(ISNUMBER(E67),E67&gt;0,F67&gt;0),E67/F67-1,NA()),"")</x:f>
      </x:c>
      <x:c r="H67" s="14" t="str">
        <x:f>IF(AND(I67="Есть цена",I58="Есть цена"),IF(AND(E67&gt;0,E58&gt;0),E67/E58-1,NA()),"")</x:f>
      </x:c>
      <x:c r="I67" s="2" t="str">
        <x:v>Ещё рано</x:v>
      </x:c>
      <x:c r="J67" s="2"/>
      <x:c r="K67" s="9"/>
      <x:c r="L67" s="2"/>
      <x:c r="M67" s="2"/>
      <x:c r="N67" s="2"/>
      <x:c r="O67" s="2"/>
      <x:c r="P67" s="2" t="str">
        <x:v>future</x:v>
      </x:c>
      <x:c r="Q67" s="2" t="str"/>
      <x:c r="R67" s="14" t="str">
        <x:f>IF(AND(C67="Нулевой остаток",I67="Есть цена"),G67,"")</x:f>
      </x:c>
      <x:c r="S67" s="14" t="str">
        <x:f>IF(AND(C67="Докупка",I67="Есть цена"),G67,"")</x:f>
      </x:c>
    </x:row>
    <x:row r="68" ht="21" customHeight="1">
      <x:c r="A68" s="2" t="n">
        <x:v>7</x:v>
      </x:c>
      <x:c r="B68" s="2" t="n">
        <x:v>5</x:v>
      </x:c>
      <x:c r="C68" s="2" t="str">
        <x:f>'Покупки'!C14</x:f>
        <x:v>Докупка</x:v>
      </x:c>
      <x:c r="D68" s="9" t="n">
        <x:v>46282.74880787037</x:v>
      </x:c>
      <x:c r="E68" s="12"/>
      <x:c r="F68" s="12" t="n">
        <x:f>'Покупки'!H14</x:f>
        <x:v>0.020535272679730758</x:v>
      </x:c>
      <x:c r="G68" s="14" t="str">
        <x:f>IF(I68="Есть цена",IF(AND(ISNUMBER(E68),E68&gt;0,F68&gt;0),E68/F68-1,NA()),"")</x:f>
      </x:c>
      <x:c r="H68" s="14" t="str">
        <x:f>IF(AND(I68="Есть цена",I68="Есть цена"),IF(AND(E68&gt;0,E68&gt;0),E68/E68-1,NA()),"")</x:f>
      </x:c>
      <x:c r="I68" s="2" t="str">
        <x:v>RPC: данные не загружены</x:v>
      </x:c>
      <x:c r="J68" s="2"/>
      <x:c r="K68" s="9"/>
      <x:c r="L68" s="2"/>
      <x:c r="M68" s="2"/>
      <x:c r="N68" s="2"/>
      <x:c r="O68" s="2"/>
      <x:c r="P68" s="2" t="str">
        <x:v>not_cached:getBlock:block_447779701</x:v>
      </x:c>
      <x:c r="Q68" s="2" t="str"/>
      <x:c r="R68" s="14" t="str">
        <x:f>IF(AND(C68="Нулевой остаток",I68="Есть цена"),G68,"")</x:f>
      </x:c>
      <x:c r="S68" s="14" t="str">
        <x:f>IF(AND(C68="Докупка",I68="Есть цена"),G68,"")</x:f>
      </x:c>
    </x:row>
    <x:row r="69" ht="21" customHeight="1">
      <x:c r="A69" s="2" t="n">
        <x:v>7</x:v>
      </x:c>
      <x:c r="B69" s="2" t="n">
        <x:v>15</x:v>
      </x:c>
      <x:c r="C69" s="2" t="str">
        <x:f>'Покупки'!C14</x:f>
        <x:v>Докупка</x:v>
      </x:c>
      <x:c r="D69" s="9" t="n">
        <x:v>46282.748923611114</x:v>
      </x:c>
      <x:c r="E69" s="12"/>
      <x:c r="F69" s="12" t="n">
        <x:f>'Покупки'!H14</x:f>
        <x:v>0.020535272679730758</x:v>
      </x:c>
      <x:c r="G69" s="14" t="str">
        <x:f>IF(I69="Есть цена",IF(AND(ISNUMBER(E69),E69&gt;0,F69&gt;0),E69/F69-1,NA()),"")</x:f>
      </x:c>
      <x:c r="H69" s="14" t="str">
        <x:f>IF(AND(I69="Есть цена",I68="Есть цена"),IF(AND(E69&gt;0,E68&gt;0),E69/E68-1,NA()),"")</x:f>
      </x:c>
      <x:c r="I69" s="2" t="str">
        <x:v>RPC: данные не загружены</x:v>
      </x:c>
      <x:c r="J69" s="2"/>
      <x:c r="K69" s="9"/>
      <x:c r="L69" s="2"/>
      <x:c r="M69" s="2"/>
      <x:c r="N69" s="2"/>
      <x:c r="O69" s="2"/>
      <x:c r="P69" s="2" t="str">
        <x:v>not_cached:getBlock:block_447779701</x:v>
      </x:c>
      <x:c r="Q69" s="2" t="str"/>
      <x:c r="R69" s="14" t="str">
        <x:f>IF(AND(C69="Нулевой остаток",I69="Есть цена"),G69,"")</x:f>
      </x:c>
      <x:c r="S69" s="14" t="str">
        <x:f>IF(AND(C69="Докупка",I69="Есть цена"),G69,"")</x:f>
      </x:c>
    </x:row>
    <x:row r="70" ht="21" customHeight="1">
      <x:c r="A70" s="2" t="n">
        <x:v>7</x:v>
      </x:c>
      <x:c r="B70" s="2" t="n">
        <x:v>30</x:v>
      </x:c>
      <x:c r="C70" s="2" t="str">
        <x:f>'Покупки'!C14</x:f>
        <x:v>Докупка</x:v>
      </x:c>
      <x:c r="D70" s="9" t="n">
        <x:v>46282.74909722222</x:v>
      </x:c>
      <x:c r="E70" s="12"/>
      <x:c r="F70" s="12" t="n">
        <x:f>'Покупки'!H14</x:f>
        <x:v>0.020535272679730758</x:v>
      </x:c>
      <x:c r="G70" s="14" t="str">
        <x:f>IF(I70="Есть цена",IF(AND(ISNUMBER(E70),E70&gt;0,F70&gt;0),E70/F70-1,NA()),"")</x:f>
      </x:c>
      <x:c r="H70" s="14" t="str">
        <x:f>IF(AND(I70="Есть цена",I68="Есть цена"),IF(AND(E70&gt;0,E68&gt;0),E70/E68-1,NA()),"")</x:f>
      </x:c>
      <x:c r="I70" s="2" t="str">
        <x:v>RPC: данные не загружены</x:v>
      </x:c>
      <x:c r="J70" s="2"/>
      <x:c r="K70" s="9"/>
      <x:c r="L70" s="2"/>
      <x:c r="M70" s="2"/>
      <x:c r="N70" s="2"/>
      <x:c r="O70" s="2"/>
      <x:c r="P70" s="2" t="str">
        <x:v>not_cached:getBlock:block_447779701</x:v>
      </x:c>
      <x:c r="Q70" s="2" t="str"/>
      <x:c r="R70" s="14" t="str">
        <x:f>IF(AND(C70="Нулевой остаток",I70="Есть цена"),G70,"")</x:f>
      </x:c>
      <x:c r="S70" s="14" t="str">
        <x:f>IF(AND(C70="Докупка",I70="Есть цена"),G70,"")</x:f>
      </x:c>
    </x:row>
    <x:row r="71" ht="21" customHeight="1">
      <x:c r="A71" s="2" t="n">
        <x:v>7</x:v>
      </x:c>
      <x:c r="B71" s="2" t="n">
        <x:v>60</x:v>
      </x:c>
      <x:c r="C71" s="2" t="str">
        <x:f>'Покупки'!C14</x:f>
        <x:v>Докупка</x:v>
      </x:c>
      <x:c r="D71" s="9" t="n">
        <x:v>46282.749444444446</x:v>
      </x:c>
      <x:c r="E71" s="12"/>
      <x:c r="F71" s="12" t="n">
        <x:f>'Покупки'!H14</x:f>
        <x:v>0.020535272679730758</x:v>
      </x:c>
      <x:c r="G71" s="14" t="str">
        <x:f>IF(I71="Есть цена",IF(AND(ISNUMBER(E71),E71&gt;0,F71&gt;0),E71/F71-1,NA()),"")</x:f>
      </x:c>
      <x:c r="H71" s="14" t="str">
        <x:f>IF(AND(I71="Есть цена",I68="Есть цена"),IF(AND(E71&gt;0,E68&gt;0),E71/E68-1,NA()),"")</x:f>
      </x:c>
      <x:c r="I71" s="2" t="str">
        <x:v>RPC: данные не загружены</x:v>
      </x:c>
      <x:c r="J71" s="2"/>
      <x:c r="K71" s="9"/>
      <x:c r="L71" s="2"/>
      <x:c r="M71" s="2"/>
      <x:c r="N71" s="2"/>
      <x:c r="O71" s="2"/>
      <x:c r="P71" s="2" t="str">
        <x:v>not_cached:getBlock:block_447779701</x:v>
      </x:c>
      <x:c r="Q71" s="2" t="str"/>
      <x:c r="R71" s="14" t="str">
        <x:f>IF(AND(C71="Нулевой остаток",I71="Есть цена"),G71,"")</x:f>
      </x:c>
      <x:c r="S71" s="14" t="str">
        <x:f>IF(AND(C71="Докупка",I71="Есть цена"),G71,"")</x:f>
      </x:c>
    </x:row>
    <x:row r="72" ht="21" customHeight="1">
      <x:c r="A72" s="2" t="n">
        <x:v>7</x:v>
      </x:c>
      <x:c r="B72" s="2" t="n">
        <x:v>180</x:v>
      </x:c>
      <x:c r="C72" s="2" t="str">
        <x:f>'Покупки'!C14</x:f>
        <x:v>Докупка</x:v>
      </x:c>
      <x:c r="D72" s="9" t="n">
        <x:v>46282.75083333333</x:v>
      </x:c>
      <x:c r="E72" s="12"/>
      <x:c r="F72" s="12" t="n">
        <x:f>'Покупки'!H14</x:f>
        <x:v>0.020535272679730758</x:v>
      </x:c>
      <x:c r="G72" s="14" t="str">
        <x:f>IF(I72="Есть цена",IF(AND(ISNUMBER(E72),E72&gt;0,F72&gt;0),E72/F72-1,NA()),"")</x:f>
      </x:c>
      <x:c r="H72" s="14" t="str">
        <x:f>IF(AND(I72="Есть цена",I68="Есть цена"),IF(AND(E72&gt;0,E68&gt;0),E72/E68-1,NA()),"")</x:f>
      </x:c>
      <x:c r="I72" s="2" t="str">
        <x:v>RPC: данные не загружены</x:v>
      </x:c>
      <x:c r="J72" s="2"/>
      <x:c r="K72" s="9"/>
      <x:c r="L72" s="2"/>
      <x:c r="M72" s="2"/>
      <x:c r="N72" s="2"/>
      <x:c r="O72" s="2"/>
      <x:c r="P72" s="2" t="str">
        <x:v>not_cached:getBlock:block_447779701</x:v>
      </x:c>
      <x:c r="Q72" s="2" t="str"/>
      <x:c r="R72" s="14" t="str">
        <x:f>IF(AND(C72="Нулевой остаток",I72="Есть цена"),G72,"")</x:f>
      </x:c>
      <x:c r="S72" s="14" t="str">
        <x:f>IF(AND(C72="Докупка",I72="Есть цена"),G72,"")</x:f>
      </x:c>
    </x:row>
    <x:row r="73" ht="21" customHeight="1">
      <x:c r="A73" s="2" t="n">
        <x:v>7</x:v>
      </x:c>
      <x:c r="B73" s="2" t="n">
        <x:v>300</x:v>
      </x:c>
      <x:c r="C73" s="2" t="str">
        <x:f>'Покупки'!C14</x:f>
        <x:v>Докупка</x:v>
      </x:c>
      <x:c r="D73" s="9" t="n">
        <x:v>46282.752222222225</x:v>
      </x:c>
      <x:c r="E73" s="12"/>
      <x:c r="F73" s="12" t="n">
        <x:f>'Покупки'!H14</x:f>
        <x:v>0.020535272679730758</x:v>
      </x:c>
      <x:c r="G73" s="14" t="str">
        <x:f>IF(I73="Есть цена",IF(AND(ISNUMBER(E73),E73&gt;0,F73&gt;0),E73/F73-1,NA()),"")</x:f>
      </x:c>
      <x:c r="H73" s="14" t="str">
        <x:f>IF(AND(I73="Есть цена",I68="Есть цена"),IF(AND(E73&gt;0,E68&gt;0),E73/E68-1,NA()),"")</x:f>
      </x:c>
      <x:c r="I73" s="2" t="str">
        <x:v>RPC: данные не загружены</x:v>
      </x:c>
      <x:c r="J73" s="2"/>
      <x:c r="K73" s="9"/>
      <x:c r="L73" s="2"/>
      <x:c r="M73" s="2"/>
      <x:c r="N73" s="2"/>
      <x:c r="O73" s="2"/>
      <x:c r="P73" s="2" t="str">
        <x:v>not_cached:getBlock:block_447779701</x:v>
      </x:c>
      <x:c r="Q73" s="2" t="str"/>
      <x:c r="R73" s="14" t="str">
        <x:f>IF(AND(C73="Нулевой остаток",I73="Есть цена"),G73,"")</x:f>
      </x:c>
      <x:c r="S73" s="14" t="str">
        <x:f>IF(AND(C73="Докупка",I73="Есть цена"),G73,"")</x:f>
      </x:c>
    </x:row>
    <x:row r="74" ht="21" customHeight="1">
      <x:c r="A74" s="2" t="n">
        <x:v>7</x:v>
      </x:c>
      <x:c r="B74" s="2" t="n">
        <x:v>900</x:v>
      </x:c>
      <x:c r="C74" s="2" t="str">
        <x:f>'Покупки'!C14</x:f>
        <x:v>Докупка</x:v>
      </x:c>
      <x:c r="D74" s="9" t="n">
        <x:v>46282.75916666666</x:v>
      </x:c>
      <x:c r="E74" s="12"/>
      <x:c r="F74" s="12" t="n">
        <x:f>'Покупки'!H14</x:f>
        <x:v>0.020535272679730758</x:v>
      </x:c>
      <x:c r="G74" s="14" t="str">
        <x:f>IF(I74="Есть цена",IF(AND(ISNUMBER(E74),E74&gt;0,F74&gt;0),E74/F74-1,NA()),"")</x:f>
      </x:c>
      <x:c r="H74" s="14" t="str">
        <x:f>IF(AND(I74="Есть цена",I68="Есть цена"),IF(AND(E74&gt;0,E68&gt;0),E74/E68-1,NA()),"")</x:f>
      </x:c>
      <x:c r="I74" s="2" t="str">
        <x:v>RPC: данные не загружены</x:v>
      </x:c>
      <x:c r="J74" s="2"/>
      <x:c r="K74" s="9"/>
      <x:c r="L74" s="2"/>
      <x:c r="M74" s="2"/>
      <x:c r="N74" s="2"/>
      <x:c r="O74" s="2"/>
      <x:c r="P74" s="2" t="str">
        <x:v>not_cached:getBlock:block_447779701</x:v>
      </x:c>
      <x:c r="Q74" s="2" t="str"/>
      <x:c r="R74" s="14" t="str">
        <x:f>IF(AND(C74="Нулевой остаток",I74="Есть цена"),G74,"")</x:f>
      </x:c>
      <x:c r="S74" s="14" t="str">
        <x:f>IF(AND(C74="Докупка",I74="Есть цена"),G74,"")</x:f>
      </x:c>
    </x:row>
    <x:row r="75" ht="21" customHeight="1">
      <x:c r="A75" s="2" t="n">
        <x:v>7</x:v>
      </x:c>
      <x:c r="B75" s="2" t="n">
        <x:v>3600</x:v>
      </x:c>
      <x:c r="C75" s="2" t="str">
        <x:f>'Покупки'!C14</x:f>
        <x:v>Докупка</x:v>
      </x:c>
      <x:c r="D75" s="9" t="n">
        <x:v>46282.79041666666</x:v>
      </x:c>
      <x:c r="E75" s="12"/>
      <x:c r="F75" s="12" t="n">
        <x:f>'Покупки'!H14</x:f>
        <x:v>0.020535272679730758</x:v>
      </x:c>
      <x:c r="G75" s="14" t="str">
        <x:f>IF(I75="Есть цена",IF(AND(ISNUMBER(E75),E75&gt;0,F75&gt;0),E75/F75-1,NA()),"")</x:f>
      </x:c>
      <x:c r="H75" s="14" t="str">
        <x:f>IF(AND(I75="Есть цена",I68="Есть цена"),IF(AND(E75&gt;0,E68&gt;0),E75/E68-1,NA()),"")</x:f>
      </x:c>
      <x:c r="I75" s="2" t="str">
        <x:v>RPC: данные не загружены</x:v>
      </x:c>
      <x:c r="J75" s="2"/>
      <x:c r="K75" s="9"/>
      <x:c r="L75" s="2"/>
      <x:c r="M75" s="2"/>
      <x:c r="N75" s="2"/>
      <x:c r="O75" s="2"/>
      <x:c r="P75" s="2" t="str">
        <x:v>not_cached:getBlock:block_447779701</x:v>
      </x:c>
      <x:c r="Q75" s="2" t="str"/>
      <x:c r="R75" s="14" t="str">
        <x:f>IF(AND(C75="Нулевой остаток",I75="Есть цена"),G75,"")</x:f>
      </x:c>
      <x:c r="S75" s="14" t="str">
        <x:f>IF(AND(C75="Докупка",I75="Есть цена"),G75,"")</x:f>
      </x:c>
    </x:row>
    <x:row r="76" ht="21" customHeight="1">
      <x:c r="A76" s="2" t="n">
        <x:v>7</x:v>
      </x:c>
      <x:c r="B76" s="2" t="n">
        <x:v>21600</x:v>
      </x:c>
      <x:c r="C76" s="2" t="str">
        <x:f>'Покупки'!C14</x:f>
        <x:v>Докупка</x:v>
      </x:c>
      <x:c r="D76" s="9" t="n">
        <x:v>46282.99875</x:v>
      </x:c>
      <x:c r="E76" s="12"/>
      <x:c r="F76" s="12" t="n">
        <x:f>'Покупки'!H14</x:f>
        <x:v>0.020535272679730758</x:v>
      </x:c>
      <x:c r="G76" s="14" t="str">
        <x:f>IF(I76="Есть цена",IF(AND(ISNUMBER(E76),E76&gt;0,F76&gt;0),E76/F76-1,NA()),"")</x:f>
      </x:c>
      <x:c r="H76" s="14" t="str">
        <x:f>IF(AND(I76="Есть цена",I68="Есть цена"),IF(AND(E76&gt;0,E68&gt;0),E76/E68-1,NA()),"")</x:f>
      </x:c>
      <x:c r="I76" s="2" t="str">
        <x:v>Ещё рано</x:v>
      </x:c>
      <x:c r="J76" s="2"/>
      <x:c r="K76" s="9"/>
      <x:c r="L76" s="2"/>
      <x:c r="M76" s="2"/>
      <x:c r="N76" s="2"/>
      <x:c r="O76" s="2"/>
      <x:c r="P76" s="2" t="str">
        <x:v>future</x:v>
      </x:c>
      <x:c r="Q76" s="2" t="str"/>
      <x:c r="R76" s="14" t="str">
        <x:f>IF(AND(C76="Нулевой остаток",I76="Есть цена"),G76,"")</x:f>
      </x:c>
      <x:c r="S76" s="14" t="str">
        <x:f>IF(AND(C76="Докупка",I76="Есть цена"),G76,"")</x:f>
      </x:c>
    </x:row>
    <x:row r="77" ht="21" customHeight="1">
      <x:c r="A77" s="2" t="n">
        <x:v>7</x:v>
      </x:c>
      <x:c r="B77" s="2" t="n">
        <x:v>86400</x:v>
      </x:c>
      <x:c r="C77" s="2" t="str">
        <x:f>'Покупки'!C14</x:f>
        <x:v>Докупка</x:v>
      </x:c>
      <x:c r="D77" s="9" t="n">
        <x:v>46283.74875</x:v>
      </x:c>
      <x:c r="E77" s="12"/>
      <x:c r="F77" s="12" t="n">
        <x:f>'Покупки'!H14</x:f>
        <x:v>0.020535272679730758</x:v>
      </x:c>
      <x:c r="G77" s="14" t="str">
        <x:f>IF(I77="Есть цена",IF(AND(ISNUMBER(E77),E77&gt;0,F77&gt;0),E77/F77-1,NA()),"")</x:f>
      </x:c>
      <x:c r="H77" s="14" t="str">
        <x:f>IF(AND(I77="Есть цена",I68="Есть цена"),IF(AND(E77&gt;0,E68&gt;0),E77/E68-1,NA()),"")</x:f>
      </x:c>
      <x:c r="I77" s="2" t="str">
        <x:v>Ещё рано</x:v>
      </x:c>
      <x:c r="J77" s="2"/>
      <x:c r="K77" s="9"/>
      <x:c r="L77" s="2"/>
      <x:c r="M77" s="2"/>
      <x:c r="N77" s="2"/>
      <x:c r="O77" s="2"/>
      <x:c r="P77" s="2" t="str">
        <x:v>future</x:v>
      </x:c>
      <x:c r="Q77" s="2" t="str"/>
      <x:c r="R77" s="14" t="str">
        <x:f>IF(AND(C77="Нулевой остаток",I77="Есть цена"),G77,"")</x:f>
      </x:c>
      <x:c r="S77" s="14" t="str">
        <x:f>IF(AND(C77="Докупка",I77="Есть цена"),G77,"")</x:f>
      </x:c>
    </x:row>
    <x:row r="78" ht="21" customHeight="1">
      <x:c r="A78" s="2" t="n">
        <x:v>8</x:v>
      </x:c>
      <x:c r="B78" s="2" t="n">
        <x:v>5</x:v>
      </x:c>
      <x:c r="C78" s="2" t="str">
        <x:f>'Покупки'!C15</x:f>
        <x:v>Докупка</x:v>
      </x:c>
      <x:c r="D78" s="9" t="n">
        <x:v>46282.748715277776</x:v>
      </x:c>
      <x:c r="E78" s="12" t="n">
        <x:v>0.019526109649219376</x:v>
      </x:c>
      <x:c r="F78" s="12" t="n">
        <x:f>'Покупки'!H15</x:f>
        <x:v>0.020362866999647507</x:v>
      </x:c>
      <x:c r="G78" s="14" t="n">
        <x:f>IF(I78="Есть цена",IF(AND(ISNUMBER(E78),E78&gt;0,F78&gt;0),E78/F78-1,NA()),"")</x:f>
        <x:v>-0.041092315263985935</x:v>
      </x:c>
      <x:c r="H78" s="14" t="n">
        <x:f>IF(AND(I78="Есть цена",I78="Есть цена"),IF(AND(E78&gt;0,E78&gt;0),E78/E78-1,NA()),"")</x:f>
        <x:v>0</x:v>
      </x:c>
      <x:c r="I78" s="2" t="str">
        <x:v>Есть цена</x:v>
      </x:c>
      <x:c r="J78" s="2" t="n">
        <x:v>447857612</x:v>
      </x:c>
      <x:c r="K78" s="9" t="n">
        <x:v>46282.74868055555</x:v>
      </x:c>
      <x:c r="L78" s="2" t="n">
        <x:v>3</x:v>
      </x:c>
      <x:c r="M78" s="2" t="n">
        <x:v>1</x:v>
      </x:c>
      <x:c r="N78" s="2" t="str">
        <x:v>BUVzsLLLG7GWoyJVoU31pXiBveazA6GXTavZ9VD3CwS9</x:v>
      </x:c>
      <x:c r="O78" s="2" t="str">
        <x:v>https://solscan.io/tx/MqMFh697v2ST4e2hmnYe53gyfTNGaNPJLcstG6zz7VqD9NjCaPPpPBA1H18hSTo2myfo9K34G3osFgrmnV8aqJW</x:v>
      </x:c>
      <x:c r="P78" s="2" t="str">
        <x:v>ok</x:v>
      </x:c>
      <x:c r="Q78" s="2" t="str">
        <x:v>36SpkkrsnyUgjPC24KU993r8T3whkJaPgoEeAmbBj9uB; slot 447857617; age 1s</x:v>
      </x:c>
      <x:c r="R78" s="14" t="str">
        <x:f>IF(AND(C78="Нулевой остаток",I78="Есть цена"),G78,"")</x:f>
      </x:c>
      <x:c r="S78" s="14" t="n">
        <x:f>IF(AND(C78="Докупка",I78="Есть цена"),G78,"")</x:f>
        <x:v>-0.041092315263985935</x:v>
      </x:c>
    </x:row>
    <x:row r="79" ht="21" customHeight="1">
      <x:c r="A79" s="2" t="n">
        <x:v>8</x:v>
      </x:c>
      <x:c r="B79" s="2" t="n">
        <x:v>15</x:v>
      </x:c>
      <x:c r="C79" s="2" t="str">
        <x:f>'Покупки'!C15</x:f>
        <x:v>Докупка</x:v>
      </x:c>
      <x:c r="D79" s="9" t="n">
        <x:v>46282.74883101852</x:v>
      </x:c>
      <x:c r="E79" s="12" t="n">
        <x:v>0.01957654213900968</x:v>
      </x:c>
      <x:c r="F79" s="12" t="n">
        <x:f>'Покупки'!H15</x:f>
        <x:v>0.020362866999647507</x:v>
      </x:c>
      <x:c r="G79" s="14" t="n">
        <x:f>IF(I79="Есть цена",IF(AND(ISNUMBER(E79),E79&gt;0,F79&gt;0),E79/F79-1,NA()),"")</x:f>
        <x:v>-0.03861562621076087</x:v>
      </x:c>
      <x:c r="H79" s="14" t="n">
        <x:f>IF(AND(I79="Есть цена",I78="Есть цена"),IF(AND(E79&gt;0,E78&gt;0),E79/E78-1,NA()),"")</x:f>
        <x:v>0.0025828232400775253</x:v>
      </x:c>
      <x:c r="I79" s="2" t="str">
        <x:v>Есть цена</x:v>
      </x:c>
      <x:c r="J79" s="2" t="n">
        <x:v>447857653</x:v>
      </x:c>
      <x:c r="K79" s="9" t="n">
        <x:v>46282.74883101852</x:v>
      </x:c>
      <x:c r="L79" s="2" t="n">
        <x:v>0</x:v>
      </x:c>
      <x:c r="M79" s="2" t="n">
        <x:v>0</x:v>
      </x:c>
      <x:c r="N79" s="2" t="str">
        <x:v>BUVzsLLLG7GWoyJVoU31pXiBveazA6GXTavZ9VD3CwS9</x:v>
      </x:c>
      <x:c r="O79" s="2" t="str">
        <x:v>https://solscan.io/tx/3uxM2ZSWhK16oipZZsKA2h2cr4u353FuukXywFNjd4j9Dst1h8cqx7RmMWpQmkwffwbdBZFgcNCvsSTzpnWPJFYc</x:v>
      </x:c>
      <x:c r="P79" s="2" t="str">
        <x:v>ok</x:v>
      </x:c>
      <x:c r="Q79" s="2" t="str">
        <x:v>36SpkkrsnyUgjPC24KU993r8T3whkJaPgoEeAmbBj9uB; slot 447857652; age 0s</x:v>
      </x:c>
      <x:c r="R79" s="14" t="str">
        <x:f>IF(AND(C79="Нулевой остаток",I79="Есть цена"),G79,"")</x:f>
      </x:c>
      <x:c r="S79" s="14" t="n">
        <x:f>IF(AND(C79="Докупка",I79="Есть цена"),G79,"")</x:f>
        <x:v>-0.03861562621076087</x:v>
      </x:c>
    </x:row>
    <x:row r="80" ht="21" customHeight="1">
      <x:c r="A80" s="2" t="n">
        <x:v>8</x:v>
      </x:c>
      <x:c r="B80" s="2" t="n">
        <x:v>30</x:v>
      </x:c>
      <x:c r="C80" s="2" t="str">
        <x:f>'Покупки'!C15</x:f>
        <x:v>Докупка</x:v>
      </x:c>
      <x:c r="D80" s="9" t="n">
        <x:v>46282.74900462963</x:v>
      </x:c>
      <x:c r="E80" s="12" t="n">
        <x:v>0.019688846163152637</x:v>
      </x:c>
      <x:c r="F80" s="12" t="n">
        <x:f>'Покупки'!H15</x:f>
        <x:v>0.020362866999647507</x:v>
      </x:c>
      <x:c r="G80" s="14" t="n">
        <x:f>IF(I80="Есть цена",IF(AND(ISNUMBER(E80),E80&gt;0,F80&gt;0),E80/F80-1,NA()),"")</x:f>
        <x:v>-0.03310048808483301</x:v>
      </x:c>
      <x:c r="H80" s="14" t="n">
        <x:f>IF(AND(I80="Есть цена",I78="Есть цена"),IF(AND(E80&gt;0,E78&gt;0),E80/E78-1,NA()),"")</x:f>
        <x:v>0.008334302984914777</x:v>
      </x:c>
      <x:c r="I80" s="2" t="str">
        <x:v>Есть цена</x:v>
      </x:c>
      <x:c r="J80" s="2" t="n">
        <x:v>447857702</x:v>
      </x:c>
      <x:c r="K80" s="9" t="n">
        <x:v>46282.74900462963</x:v>
      </x:c>
      <x:c r="L80" s="2" t="n">
        <x:v>0</x:v>
      </x:c>
      <x:c r="M80" s="2" t="n">
        <x:v>0</x:v>
      </x:c>
      <x:c r="N80" s="2" t="str">
        <x:v>BUVzsLLLG7GWoyJVoU31pXiBveazA6GXTavZ9VD3CwS9</x:v>
      </x:c>
      <x:c r="O80" s="2" t="str">
        <x:v>https://solscan.io/tx/TFHeiLZPPWM6LaCFGB4iQyEwJunGvYrNjbHkA2YLCj8BCLCXRg8wD42e4z7A6zuZ4X7KDV1E8NbzkbuqmFqkohD</x:v>
      </x:c>
      <x:c r="P80" s="2" t="str">
        <x:v>ok</x:v>
      </x:c>
      <x:c r="Q80" s="2" t="str">
        <x:v>36SpkkrsnyUgjPC24KU993r8T3whkJaPgoEeAmbBj9uB; slot 447857701; age 0s</x:v>
      </x:c>
      <x:c r="R80" s="14" t="str">
        <x:f>IF(AND(C80="Нулевой остаток",I80="Есть цена"),G80,"")</x:f>
      </x:c>
      <x:c r="S80" s="14" t="n">
        <x:f>IF(AND(C80="Докупка",I80="Есть цена"),G80,"")</x:f>
        <x:v>-0.03310048808483301</x:v>
      </x:c>
    </x:row>
    <x:row r="81" ht="21" customHeight="1">
      <x:c r="A81" s="2" t="n">
        <x:v>8</x:v>
      </x:c>
      <x:c r="B81" s="2" t="n">
        <x:v>60</x:v>
      </x:c>
      <x:c r="C81" s="2" t="str">
        <x:f>'Покупки'!C15</x:f>
        <x:v>Докупка</x:v>
      </x:c>
      <x:c r="D81" s="9" t="n">
        <x:v>46282.74935185185</x:v>
      </x:c>
      <x:c r="E81" s="12" t="n">
        <x:v>0.019794982627604592</x:v>
      </x:c>
      <x:c r="F81" s="12" t="n">
        <x:f>'Покупки'!H15</x:f>
        <x:v>0.020362866999647507</x:v>
      </x:c>
      <x:c r="G81" s="14" t="n">
        <x:f>IF(I81="Есть цена",IF(AND(ISNUMBER(E81),E81&gt;0,F81&gt;0),E81/F81-1,NA()),"")</x:f>
        <x:v>-0.027888232637022337</x:v>
      </x:c>
      <x:c r="H81" s="14" t="n">
        <x:f>IF(AND(I81="Есть цена",I78="Есть цена"),IF(AND(E81&gt;0,E78&gt;0),E81/E78-1,NA()),"")</x:f>
        <x:v>0.013769920543079905</x:v>
      </x:c>
      <x:c r="I81" s="2" t="str">
        <x:v>Есть цена</x:v>
      </x:c>
      <x:c r="J81" s="2" t="n">
        <x:v>447857795</x:v>
      </x:c>
      <x:c r="K81" s="9" t="n">
        <x:v>46282.749340277776</x:v>
      </x:c>
      <x:c r="L81" s="2" t="n">
        <x:v>1</x:v>
      </x:c>
      <x:c r="M81" s="2" t="n">
        <x:v>1</x:v>
      </x:c>
      <x:c r="N81" s="2" t="str">
        <x:v>BUVzsLLLG7GWoyJVoU31pXiBveazA6GXTavZ9VD3CwS9</x:v>
      </x:c>
      <x:c r="O81" s="2" t="str">
        <x:v>https://solscan.io/tx/4vyBxtSiKsFwjhoXMwZvE3rBeToNcyxkk5NvHVf8rEiNaJ3R9hjWHEC9mHZJg61nHLdbdYWeLDFNwUnmAFoF9oCo</x:v>
      </x:c>
      <x:c r="P81" s="2" t="str">
        <x:v>ok</x:v>
      </x:c>
      <x:c r="Q81" s="2" t="str">
        <x:v>36SpkkrsnyUgjPC24KU993r8T3whkJaPgoEeAmbBj9uB; slot 447857795; age 1s</x:v>
      </x:c>
      <x:c r="R81" s="14" t="str">
        <x:f>IF(AND(C81="Нулевой остаток",I81="Есть цена"),G81,"")</x:f>
      </x:c>
      <x:c r="S81" s="14" t="n">
        <x:f>IF(AND(C81="Докупка",I81="Есть цена"),G81,"")</x:f>
        <x:v>-0.027888232637022337</x:v>
      </x:c>
    </x:row>
    <x:row r="82" ht="21" customHeight="1">
      <x:c r="A82" s="2" t="n">
        <x:v>8</x:v>
      </x:c>
      <x:c r="B82" s="2" t="n">
        <x:v>180</x:v>
      </x:c>
      <x:c r="C82" s="2" t="str">
        <x:f>'Покупки'!C15</x:f>
        <x:v>Докупка</x:v>
      </x:c>
      <x:c r="D82" s="9" t="n">
        <x:v>46282.75074074074</x:v>
      </x:c>
      <x:c r="E82" s="12" t="n">
        <x:v>0.01994970918890492</x:v>
      </x:c>
      <x:c r="F82" s="12" t="n">
        <x:f>'Покупки'!H15</x:f>
        <x:v>0.020362866999647507</x:v>
      </x:c>
      <x:c r="G82" s="14" t="n">
        <x:f>IF(I82="Есть цена",IF(AND(ISNUMBER(E82),E82&gt;0,F82&gt;0),E82/F82-1,NA()),"")</x:f>
        <x:v>-0.02028976620776146</x:v>
      </x:c>
      <x:c r="H82" s="14" t="n">
        <x:f>IF(AND(I82="Есть цена",I78="Есть цена"),IF(AND(E82&gt;0,E78&gt;0),E82/E78-1,NA()),"")</x:f>
        <x:v>0.021694005989691734</x:v>
      </x:c>
      <x:c r="I82" s="2" t="str">
        <x:v>Есть цена</x:v>
      </x:c>
      <x:c r="J82" s="2" t="n">
        <x:v>447858136</x:v>
      </x:c>
      <x:c r="K82" s="9" t="n">
        <x:v>46282.75059027778</x:v>
      </x:c>
      <x:c r="L82" s="2" t="n">
        <x:v>13</x:v>
      </x:c>
      <x:c r="M82" s="2" t="n">
        <x:v>7</x:v>
      </x:c>
      <x:c r="N82" s="2" t="str">
        <x:v>BUVzsLLLG7GWoyJVoU31pXiBveazA6GXTavZ9VD3CwS9</x:v>
      </x:c>
      <x:c r="O82" s="2" t="str">
        <x:v>https://solscan.io/tx/Y3pzBMioM9f9ZEnD9kzHG2ruXfiapWPMvynEqYAWJ2uZbu8jHiKZzU3fikmomWbdM75YcEa6xFrD4p5xJtqTrZu</x:v>
      </x:c>
      <x:c r="P82" s="2" t="str">
        <x:v>ok</x:v>
      </x:c>
      <x:c r="Q82" s="2" t="str">
        <x:v>36SpkkrsnyUgjPC24KU993r8T3whkJaPgoEeAmbBj9uB; slot 447858155; age 7s</x:v>
      </x:c>
      <x:c r="R82" s="14" t="str">
        <x:f>IF(AND(C82="Нулевой остаток",I82="Есть цена"),G82,"")</x:f>
      </x:c>
      <x:c r="S82" s="14" t="n">
        <x:f>IF(AND(C82="Докупка",I82="Есть цена"),G82,"")</x:f>
        <x:v>-0.02028976620776146</x:v>
      </x:c>
    </x:row>
    <x:row r="83" ht="21" customHeight="1">
      <x:c r="A83" s="2" t="n">
        <x:v>8</x:v>
      </x:c>
      <x:c r="B83" s="2" t="n">
        <x:v>300</x:v>
      </x:c>
      <x:c r="C83" s="2" t="str">
        <x:f>'Покупки'!C15</x:f>
        <x:v>Докупка</x:v>
      </x:c>
      <x:c r="D83" s="9" t="n">
        <x:v>46282.75212962963</x:v>
      </x:c>
      <x:c r="E83" s="12" t="n">
        <x:v>0.019945762448233928</x:v>
      </x:c>
      <x:c r="F83" s="12" t="n">
        <x:f>'Покупки'!H15</x:f>
        <x:v>0.020362866999647507</x:v>
      </x:c>
      <x:c r="G83" s="14" t="n">
        <x:f>IF(I83="Есть цена",IF(AND(ISNUMBER(E83),E83&gt;0,F83&gt;0),E83/F83-1,NA()),"")</x:f>
        <x:v>-0.02048358668849526</x:v>
      </x:c>
      <x:c r="H83" s="14" t="n">
        <x:f>IF(AND(I83="Есть цена",I78="Есть цена"),IF(AND(E83&gt;0,E78&gt;0),E83/E78-1,NA()),"")</x:f>
        <x:v>0.02149187967052768</x:v>
      </x:c>
      <x:c r="I83" s="2" t="str">
        <x:v>Есть цена</x:v>
      </x:c>
      <x:c r="J83" s="2" t="n">
        <x:v>447858447</x:v>
      </x:c>
      <x:c r="K83" s="9" t="n">
        <x:v>46282.75173611111</x:v>
      </x:c>
      <x:c r="L83" s="2" t="n">
        <x:v>34</x:v>
      </x:c>
      <x:c r="M83" s="2" t="n">
        <x:v>2</x:v>
      </x:c>
      <x:c r="N83" s="2" t="str">
        <x:v>BUVzsLLLG7GWoyJVoU31pXiBveazA6GXTavZ9VD3CwS9</x:v>
      </x:c>
      <x:c r="O83" s="2" t="str">
        <x:v>https://solscan.io/tx/4HxgzKPXrzRetiSFoatgRpex6mwfmeEPoBxQxKrhiymjEnz4qiohHSRnQCpRBDwC3D7jufgNa4bNqXgHvTsz9cmL</x:v>
      </x:c>
      <x:c r="P83" s="2" t="str">
        <x:v>ok</x:v>
      </x:c>
      <x:c r="Q83" s="2" t="str">
        <x:v>36SpkkrsnyUgjPC24KU993r8T3whkJaPgoEeAmbBj9uB; slot 447858552; age 2s</x:v>
      </x:c>
      <x:c r="R83" s="14" t="str">
        <x:f>IF(AND(C83="Нулевой остаток",I83="Есть цена"),G83,"")</x:f>
      </x:c>
      <x:c r="S83" s="14" t="n">
        <x:f>IF(AND(C83="Докупка",I83="Есть цена"),G83,"")</x:f>
        <x:v>-0.02048358668849526</x:v>
      </x:c>
    </x:row>
    <x:row r="84" ht="21" customHeight="1">
      <x:c r="A84" s="2" t="n">
        <x:v>8</x:v>
      </x:c>
      <x:c r="B84" s="2" t="n">
        <x:v>900</x:v>
      </x:c>
      <x:c r="C84" s="2" t="str">
        <x:f>'Покупки'!C15</x:f>
        <x:v>Докупка</x:v>
      </x:c>
      <x:c r="D84" s="9" t="n">
        <x:v>46282.75907407407</x:v>
      </x:c>
      <x:c r="E84" s="12" t="n">
        <x:v>0.020134187142255962</x:v>
      </x:c>
      <x:c r="F84" s="12" t="n">
        <x:f>'Покупки'!H15</x:f>
        <x:v>0.020362866999647507</x:v>
      </x:c>
      <x:c r="G84" s="14" t="n">
        <x:f>IF(I84="Есть цена",IF(AND(ISNUMBER(E84),E84&gt;0,F84&gt;0),E84/F84-1,NA()),"")</x:f>
        <x:v>-0.011230238718128671</x:v>
      </x:c>
      <x:c r="H84" s="14" t="n">
        <x:f>IF(AND(I84="Есть цена",I78="Есть цена"),IF(AND(E84&gt;0,E78&gt;0),E84/E78-1,NA()),"")</x:f>
        <x:v>0.031141763718452564</x:v>
      </x:c>
      <x:c r="I84" s="2" t="str">
        <x:v>Есть цена</x:v>
      </x:c>
      <x:c r="J84" s="2" t="n">
        <x:v>447860363</x:v>
      </x:c>
      <x:c r="K84" s="9" t="n">
        <x:v>46282.758784722224</x:v>
      </x:c>
      <x:c r="L84" s="2" t="n">
        <x:v>25</x:v>
      </x:c>
      <x:c r="M84" s="2" t="n">
        <x:v>0</x:v>
      </x:c>
      <x:c r="N84" s="2" t="str">
        <x:v>BUVzsLLLG7GWoyJVoU31pXiBveazA6GXTavZ9VD3CwS9</x:v>
      </x:c>
      <x:c r="O84" s="2" t="str">
        <x:v>https://solscan.io/tx/4FSPmrKaUFdTkgAtNVvkjvhsQdtuTiVfd3MTGvihgT6mUrzmNt1RHkj6EYC3KBqnCuKDoJCTdRYjLvakT9KjDaCd</x:v>
      </x:c>
      <x:c r="P84" s="2" t="str">
        <x:v>ok</x:v>
      </x:c>
      <x:c r="Q84" s="2" t="str">
        <x:v>36SpkkrsnyUgjPC24KU993r8T3whkJaPgoEeAmbBj9uB; slot 447860446; age 0s</x:v>
      </x:c>
      <x:c r="R84" s="14" t="str">
        <x:f>IF(AND(C84="Нулевой остаток",I84="Есть цена"),G84,"")</x:f>
      </x:c>
      <x:c r="S84" s="14" t="n">
        <x:f>IF(AND(C84="Докупка",I84="Есть цена"),G84,"")</x:f>
        <x:v>-0.011230238718128671</x:v>
      </x:c>
    </x:row>
    <x:row r="85" ht="21" customHeight="1">
      <x:c r="A85" s="2" t="n">
        <x:v>8</x:v>
      </x:c>
      <x:c r="B85" s="2" t="n">
        <x:v>3600</x:v>
      </x:c>
      <x:c r="C85" s="2" t="str">
        <x:f>'Покупки'!C15</x:f>
        <x:v>Докупка</x:v>
      </x:c>
      <x:c r="D85" s="9" t="n">
        <x:v>46282.79032407407</x:v>
      </x:c>
      <x:c r="E85" s="12" t="n">
        <x:v>0.023271959376581334</x:v>
      </x:c>
      <x:c r="F85" s="12" t="n">
        <x:f>'Покупки'!H15</x:f>
        <x:v>0.020362866999647507</x:v>
      </x:c>
      <x:c r="G85" s="14" t="n">
        <x:f>IF(I85="Есть цена",IF(AND(ISNUMBER(E85),E85&gt;0,F85&gt;0),E85/F85-1,NA()),"")</x:f>
        <x:v>0.1428626124692649</x:v>
      </x:c>
      <x:c r="H85" s="14" t="n">
        <x:f>IF(AND(I85="Есть цена",I78="Есть цена"),IF(AND(E85&gt;0,E78&gt;0),E85/E78-1,NA()),"")</x:f>
        <x:v>0.19183799510783306</x:v>
      </x:c>
      <x:c r="I85" s="2" t="str">
        <x:v>Есть цена</x:v>
      </x:c>
      <x:c r="J85" s="2" t="n">
        <x:v>447868943</x:v>
      </x:c>
      <x:c r="K85" s="9" t="n">
        <x:v>46282.7902662037</x:v>
      </x:c>
      <x:c r="L85" s="2" t="n">
        <x:v>5</x:v>
      </x:c>
      <x:c r="M85" s="2" t="n">
        <x:v>17</x:v>
      </x:c>
      <x:c r="N85" s="2" t="str">
        <x:v>BUVzsLLLG7GWoyJVoU31pXiBveazA6GXTavZ9VD3CwS9</x:v>
      </x:c>
      <x:c r="O85" s="2" t="str">
        <x:v>https://solscan.io/tx/2JPWF26FjsrRetyEgwPibKEJb8NKd8ihLrcNmfaA9XtqpZHbxvodRZQHAWY8qeSBAVKq5BeAU9A3TpFd3naJBZJg</x:v>
      </x:c>
      <x:c r="P85" s="2" t="str">
        <x:v>ok</x:v>
      </x:c>
      <x:c r="Q85" s="2" t="str">
        <x:v>36SpkkrsnyUgjPC24KU993r8T3whkJaPgoEeAmbBj9uB; slot 447868904; age 17s</x:v>
      </x:c>
      <x:c r="R85" s="14" t="str">
        <x:f>IF(AND(C85="Нулевой остаток",I85="Есть цена"),G85,"")</x:f>
      </x:c>
      <x:c r="S85" s="14" t="n">
        <x:f>IF(AND(C85="Докупка",I85="Есть цена"),G85,"")</x:f>
        <x:v>0.1428626124692649</x:v>
      </x:c>
    </x:row>
    <x:row r="86" ht="21" customHeight="1">
      <x:c r="A86" s="2" t="n">
        <x:v>8</x:v>
      </x:c>
      <x:c r="B86" s="2" t="n">
        <x:v>21600</x:v>
      </x:c>
      <x:c r="C86" s="2" t="str">
        <x:f>'Покупки'!C15</x:f>
        <x:v>Докупка</x:v>
      </x:c>
      <x:c r="D86" s="9" t="n">
        <x:v>46282.99865740741</x:v>
      </x:c>
      <x:c r="E86" s="12"/>
      <x:c r="F86" s="12" t="n">
        <x:f>'Покупки'!H15</x:f>
        <x:v>0.020362866999647507</x:v>
      </x:c>
      <x:c r="G86" s="14" t="str">
        <x:f>IF(I86="Есть цена",IF(AND(ISNUMBER(E86),E86&gt;0,F86&gt;0),E86/F86-1,NA()),"")</x:f>
      </x:c>
      <x:c r="H86" s="14" t="str">
        <x:f>IF(AND(I86="Есть цена",I78="Есть цена"),IF(AND(E86&gt;0,E78&gt;0),E86/E78-1,NA()),"")</x:f>
      </x:c>
      <x:c r="I86" s="2" t="str">
        <x:v>Ещё рано</x:v>
      </x:c>
      <x:c r="J86" s="2"/>
      <x:c r="K86" s="9"/>
      <x:c r="L86" s="2"/>
      <x:c r="M86" s="2"/>
      <x:c r="N86" s="2"/>
      <x:c r="O86" s="2"/>
      <x:c r="P86" s="2" t="str">
        <x:v>future</x:v>
      </x:c>
      <x:c r="Q86" s="2" t="str"/>
      <x:c r="R86" s="14" t="str">
        <x:f>IF(AND(C86="Нулевой остаток",I86="Есть цена"),G86,"")</x:f>
      </x:c>
      <x:c r="S86" s="14" t="str">
        <x:f>IF(AND(C86="Докупка",I86="Есть цена"),G86,"")</x:f>
      </x:c>
    </x:row>
    <x:row r="87" ht="21" customHeight="1">
      <x:c r="A87" s="2" t="n">
        <x:v>8</x:v>
      </x:c>
      <x:c r="B87" s="2" t="n">
        <x:v>86400</x:v>
      </x:c>
      <x:c r="C87" s="2" t="str">
        <x:f>'Покупки'!C15</x:f>
        <x:v>Докупка</x:v>
      </x:c>
      <x:c r="D87" s="9" t="n">
        <x:v>46283.74865740741</x:v>
      </x:c>
      <x:c r="E87" s="12"/>
      <x:c r="F87" s="12" t="n">
        <x:f>'Покупки'!H15</x:f>
        <x:v>0.020362866999647507</x:v>
      </x:c>
      <x:c r="G87" s="14" t="str">
        <x:f>IF(I87="Есть цена",IF(AND(ISNUMBER(E87),E87&gt;0,F87&gt;0),E87/F87-1,NA()),"")</x:f>
      </x:c>
      <x:c r="H87" s="14" t="str">
        <x:f>IF(AND(I87="Есть цена",I78="Есть цена"),IF(AND(E87&gt;0,E78&gt;0),E87/E78-1,NA()),"")</x:f>
      </x:c>
      <x:c r="I87" s="2" t="str">
        <x:v>Ещё рано</x:v>
      </x:c>
      <x:c r="J87" s="2"/>
      <x:c r="K87" s="9"/>
      <x:c r="L87" s="2"/>
      <x:c r="M87" s="2"/>
      <x:c r="N87" s="2"/>
      <x:c r="O87" s="2"/>
      <x:c r="P87" s="2" t="str">
        <x:v>future</x:v>
      </x:c>
      <x:c r="Q87" s="2" t="str"/>
      <x:c r="R87" s="14" t="str">
        <x:f>IF(AND(C87="Нулевой остаток",I87="Есть цена"),G87,"")</x:f>
      </x:c>
      <x:c r="S87" s="14" t="str">
        <x:f>IF(AND(C87="Докупка",I87="Есть цена"),G87,"")</x:f>
      </x:c>
    </x:row>
    <x:row r="88" ht="21" customHeight="1">
      <x:c r="A88" s="2" t="n">
        <x:v>9</x:v>
      </x:c>
      <x:c r="B88" s="2" t="n">
        <x:v>5</x:v>
      </x:c>
      <x:c r="C88" s="2" t="str">
        <x:f>'Покупки'!C16</x:f>
        <x:v>Докупка</x:v>
      </x:c>
      <x:c r="D88" s="9" t="n">
        <x:v>46282.741574074076</x:v>
      </x:c>
      <x:c r="E88" s="12" t="n">
        <x:v>0.2219881302284042</x:v>
      </x:c>
      <x:c r="F88" s="12" t="n">
        <x:f>'Покупки'!H16</x:f>
        <x:v>0.2234223173229082</x:v>
      </x:c>
      <x:c r="G88" s="14" t="n">
        <x:f>IF(I88="Есть цена",IF(AND(ISNUMBER(E88),E88&gt;0,F88&gt;0),E88/F88-1,NA()),"")</x:f>
        <x:v>-0.006419175629761353</x:v>
      </x:c>
      <x:c r="H88" s="14" t="n">
        <x:f>IF(AND(I88="Есть цена",I88="Есть цена"),IF(AND(E88&gt;0,E88&gt;0),E88/E88-1,NA()),"")</x:f>
        <x:v>0</x:v>
      </x:c>
      <x:c r="I88" s="2" t="str">
        <x:v>Есть цена</x:v>
      </x:c>
      <x:c r="J88" s="2" t="n">
        <x:v>447855677</x:v>
      </x:c>
      <x:c r="K88" s="9" t="n">
        <x:v>46282.741574074076</x:v>
      </x:c>
      <x:c r="L88" s="2" t="n">
        <x:v>0</x:v>
      </x:c>
      <x:c r="M88" s="2"/>
      <x:c r="N88" s="2" t="str">
        <x:v>G4G5SzkbLFMhoSgHiQNeyJFt75sSDsL1rD8LVyT5xZbU</x:v>
      </x:c>
      <x:c r="O88" s="2" t="str">
        <x:v>https://solscan.io/tx/4eBgDLXQoQHzMwj6mKUw3L5ACFTh938hKaNRBEagCtVxPXpr15AVyoscPjC98y5zHD3s4KTqdwy7wJ8dd4XLgHY1</x:v>
      </x:c>
      <x:c r="P88" s="2" t="str">
        <x:v>ok</x:v>
      </x:c>
      <x:c r="Q88" s="2" t="str"/>
      <x:c r="R88" s="14" t="str">
        <x:f>IF(AND(C88="Нулевой остаток",I88="Есть цена"),G88,"")</x:f>
      </x:c>
      <x:c r="S88" s="14" t="n">
        <x:f>IF(AND(C88="Докупка",I88="Есть цена"),G88,"")</x:f>
        <x:v>-0.006419175629761353</x:v>
      </x:c>
    </x:row>
    <x:row r="89" ht="21" customHeight="1">
      <x:c r="A89" s="2" t="n">
        <x:v>9</x:v>
      </x:c>
      <x:c r="B89" s="2" t="n">
        <x:v>15</x:v>
      </x:c>
      <x:c r="C89" s="2" t="str">
        <x:f>'Покупки'!C16</x:f>
        <x:v>Докупка</x:v>
      </x:c>
      <x:c r="D89" s="9" t="n">
        <x:v>46282.741689814815</x:v>
      </x:c>
      <x:c r="E89" s="12" t="n">
        <x:v>0.22187528286198233</x:v>
      </x:c>
      <x:c r="F89" s="12" t="n">
        <x:f>'Покупки'!H16</x:f>
        <x:v>0.2234223173229082</x:v>
      </x:c>
      <x:c r="G89" s="14" t="n">
        <x:f>IF(I89="Есть цена",IF(AND(ISNUMBER(E89),E89&gt;0,F89&gt;0),E89/F89-1,NA()),"")</x:f>
        <x:v>-0.006924261100962337</x:v>
      </x:c>
      <x:c r="H89" s="14" t="n">
        <x:f>IF(AND(I89="Есть цена",I88="Есть цена"),IF(AND(E89&gt;0,E88&gt;0),E89/E88-1,NA()),"")</x:f>
        <x:v>-0.0005083486504695589</x:v>
      </x:c>
      <x:c r="I89" s="2" t="str">
        <x:v>Есть цена</x:v>
      </x:c>
      <x:c r="J89" s="2" t="n">
        <x:v>447855689</x:v>
      </x:c>
      <x:c r="K89" s="9" t="n">
        <x:v>46282.74162037037</x:v>
      </x:c>
      <x:c r="L89" s="2" t="n">
        <x:v>6</x:v>
      </x:c>
      <x:c r="M89" s="2"/>
      <x:c r="N89" s="2" t="str">
        <x:v>G4G5SzkbLFMhoSgHiQNeyJFt75sSDsL1rD8LVyT5xZbU</x:v>
      </x:c>
      <x:c r="O89" s="2" t="str">
        <x:v>https://solscan.io/tx/4j2nYkxbfHkPpgdfhGWCxSDs3whqPmJpSSrJKT3nncUJkbiriu988ixqMEpwnG9PCGtzHwzm9Mb3XYTSKyufATAA</x:v>
      </x:c>
      <x:c r="P89" s="2" t="str">
        <x:v>ok</x:v>
      </x:c>
      <x:c r="Q89" s="2" t="str"/>
      <x:c r="R89" s="14" t="str">
        <x:f>IF(AND(C89="Нулевой остаток",I89="Есть цена"),G89,"")</x:f>
      </x:c>
      <x:c r="S89" s="14" t="n">
        <x:f>IF(AND(C89="Докупка",I89="Есть цена"),G89,"")</x:f>
        <x:v>-0.006924261100962337</x:v>
      </x:c>
    </x:row>
    <x:row r="90" ht="21" customHeight="1">
      <x:c r="A90" s="2" t="n">
        <x:v>9</x:v>
      </x:c>
      <x:c r="B90" s="2" t="n">
        <x:v>30</x:v>
      </x:c>
      <x:c r="C90" s="2" t="str">
        <x:f>'Покупки'!C16</x:f>
        <x:v>Докупка</x:v>
      </x:c>
      <x:c r="D90" s="9" t="n">
        <x:v>46282.74186342592</x:v>
      </x:c>
      <x:c r="E90" s="12" t="n">
        <x:v>0.22195557930880183</x:v>
      </x:c>
      <x:c r="F90" s="12" t="n">
        <x:f>'Покупки'!H16</x:f>
        <x:v>0.2234223173229082</x:v>
      </x:c>
      <x:c r="G90" s="14" t="n">
        <x:f>IF(I90="Есть цена",IF(AND(ISNUMBER(E90),E90&gt;0,F90&gt;0),E90/F90-1,NA()),"")</x:f>
        <x:v>-0.006564867967001398</x:v>
      </x:c>
      <x:c r="H90" s="14" t="n">
        <x:f>IF(AND(I90="Есть цена",I88="Есть цена"),IF(AND(E90&gt;0,E88&gt;0),E90/E88-1,NA()),"")</x:f>
        <x:v>-0.00014663360409794546</x:v>
      </x:c>
      <x:c r="I90" s="2" t="str">
        <x:v>Есть цена</x:v>
      </x:c>
      <x:c r="J90" s="2" t="n">
        <x:v>447855754</x:v>
      </x:c>
      <x:c r="K90" s="9" t="n">
        <x:v>46282.74185185185</x:v>
      </x:c>
      <x:c r="L90" s="2" t="n">
        <x:v>1</x:v>
      </x:c>
      <x:c r="M90" s="2"/>
      <x:c r="N90" s="2" t="str">
        <x:v>G4G5SzkbLFMhoSgHiQNeyJFt75sSDsL1rD8LVyT5xZbU</x:v>
      </x:c>
      <x:c r="O90" s="2" t="str">
        <x:v>https://solscan.io/tx/476neczmy9W6HrHBu49SqarFq4EmVr84ChM5z1idUGAizGAqrfDgQdWrdy2AWed8J25BUer6YAzCongDNzKpHSmY</x:v>
      </x:c>
      <x:c r="P90" s="2" t="str">
        <x:v>ok</x:v>
      </x:c>
      <x:c r="Q90" s="2" t="str"/>
      <x:c r="R90" s="14" t="str">
        <x:f>IF(AND(C90="Нулевой остаток",I90="Есть цена"),G90,"")</x:f>
      </x:c>
      <x:c r="S90" s="14" t="n">
        <x:f>IF(AND(C90="Докупка",I90="Есть цена"),G90,"")</x:f>
        <x:v>-0.006564867967001398</x:v>
      </x:c>
    </x:row>
    <x:row r="91" ht="21" customHeight="1">
      <x:c r="A91" s="2" t="n">
        <x:v>9</x:v>
      </x:c>
      <x:c r="B91" s="2" t="n">
        <x:v>60</x:v>
      </x:c>
      <x:c r="C91" s="2" t="str">
        <x:f>'Покупки'!C16</x:f>
        <x:v>Докупка</x:v>
      </x:c>
      <x:c r="D91" s="9" t="n">
        <x:v>46282.742210648146</x:v>
      </x:c>
      <x:c r="E91" s="12" t="n">
        <x:v>0.22223680401233878</x:v>
      </x:c>
      <x:c r="F91" s="12" t="n">
        <x:f>'Покупки'!H16</x:f>
        <x:v>0.2234223173229082</x:v>
      </x:c>
      <x:c r="G91" s="14" t="n">
        <x:f>IF(I91="Есть цена",IF(AND(ISNUMBER(E91),E91&gt;0,F91&gt;0),E91/F91-1,NA()),"")</x:f>
        <x:v>-0.005306154393054818</x:v>
      </x:c>
      <x:c r="H91" s="14" t="n">
        <x:f>IF(AND(I91="Есть цена",I88="Есть цена"),IF(AND(E91&gt;0,E88&gt;0),E91/E88-1,NA()),"")</x:f>
        <x:v>0.0011202120747570987</x:v>
      </x:c>
      <x:c r="I91" s="2" t="str">
        <x:v>Есть цена</x:v>
      </x:c>
      <x:c r="J91" s="2" t="n">
        <x:v>447855818</x:v>
      </x:c>
      <x:c r="K91" s="9" t="n">
        <x:v>46282.74209490741</x:v>
      </x:c>
      <x:c r="L91" s="2" t="n">
        <x:v>10</x:v>
      </x:c>
      <x:c r="M91" s="2"/>
      <x:c r="N91" s="2" t="str">
        <x:v>G4G5SzkbLFMhoSgHiQNeyJFt75sSDsL1rD8LVyT5xZbU</x:v>
      </x:c>
      <x:c r="O91" s="2" t="str">
        <x:v>https://solscan.io/tx/fjxNWUHQmPbt88eevYBk6EAfiQr9hupv7W19v392mQGgCb4cXJbLvN3AMsp36tfmhBLUe8KVgCtcKYa1MtpaYMo</x:v>
      </x:c>
      <x:c r="P91" s="2" t="str">
        <x:v>ok</x:v>
      </x:c>
      <x:c r="Q91" s="2" t="str"/>
      <x:c r="R91" s="14" t="str">
        <x:f>IF(AND(C91="Нулевой остаток",I91="Есть цена"),G91,"")</x:f>
      </x:c>
      <x:c r="S91" s="14" t="n">
        <x:f>IF(AND(C91="Докупка",I91="Есть цена"),G91,"")</x:f>
        <x:v>-0.005306154393054818</x:v>
      </x:c>
    </x:row>
    <x:row r="92" ht="21" customHeight="1">
      <x:c r="A92" s="2" t="n">
        <x:v>9</x:v>
      </x:c>
      <x:c r="B92" s="2" t="n">
        <x:v>180</x:v>
      </x:c>
      <x:c r="C92" s="2" t="str">
        <x:f>'Покупки'!C16</x:f>
        <x:v>Докупка</x:v>
      </x:c>
      <x:c r="D92" s="9" t="n">
        <x:v>46282.74359953704</x:v>
      </x:c>
      <x:c r="E92" s="12" t="n">
        <x:v>0.22220834842693252</x:v>
      </x:c>
      <x:c r="F92" s="12" t="n">
        <x:f>'Покупки'!H16</x:f>
        <x:v>0.2234223173229082</x:v>
      </x:c>
      <x:c r="G92" s="14" t="n">
        <x:f>IF(I92="Есть цена",IF(AND(ISNUMBER(E92),E92&gt;0,F92&gt;0),E92/F92-1,NA()),"")</x:f>
        <x:v>-0.005433516716332187</x:v>
      </x:c>
      <x:c r="H92" s="14" t="n">
        <x:f>IF(AND(I92="Есть цена",I88="Есть цена"),IF(AND(E92&gt;0,E88&gt;0),E92/E88-1,NA()),"")</x:f>
        <x:v>0.0009920269083836253</x:v>
      </x:c>
      <x:c r="I92" s="2" t="str">
        <x:v>Есть цена</x:v>
      </x:c>
      <x:c r="J92" s="2" t="n">
        <x:v>447856213</x:v>
      </x:c>
      <x:c r="K92" s="9" t="n">
        <x:v>46282.74354166666</x:v>
      </x:c>
      <x:c r="L92" s="2" t="n">
        <x:v>5</x:v>
      </x:c>
      <x:c r="M92" s="2"/>
      <x:c r="N92" s="2" t="str">
        <x:v>G4G5SzkbLFMhoSgHiQNeyJFt75sSDsL1rD8LVyT5xZbU</x:v>
      </x:c>
      <x:c r="O92" s="2" t="str">
        <x:v>https://solscan.io/tx/3Mp3d4EAz5phywCyb2eXWeLx53a8sEa6Z3hdHrrNYWKPj8aQVL4CzJNJhKySdFB4BHxUKXm4DEMDwp3FgYBGm3R3</x:v>
      </x:c>
      <x:c r="P92" s="2" t="str">
        <x:v>ok</x:v>
      </x:c>
      <x:c r="Q92" s="2" t="str"/>
      <x:c r="R92" s="14" t="str">
        <x:f>IF(AND(C92="Нулевой остаток",I92="Есть цена"),G92,"")</x:f>
      </x:c>
      <x:c r="S92" s="14" t="n">
        <x:f>IF(AND(C92="Докупка",I92="Есть цена"),G92,"")</x:f>
        <x:v>-0.005433516716332187</x:v>
      </x:c>
    </x:row>
    <x:row r="93" ht="21" customHeight="1">
      <x:c r="A93" s="2" t="n">
        <x:v>9</x:v>
      </x:c>
      <x:c r="B93" s="2" t="n">
        <x:v>300</x:v>
      </x:c>
      <x:c r="C93" s="2" t="str">
        <x:f>'Покупки'!C16</x:f>
        <x:v>Докупка</x:v>
      </x:c>
      <x:c r="D93" s="9" t="n">
        <x:v>46282.744988425926</x:v>
      </x:c>
      <x:c r="E93" s="12" t="n">
        <x:v>0.2221015891954841</x:v>
      </x:c>
      <x:c r="F93" s="12" t="n">
        <x:f>'Покупки'!H16</x:f>
        <x:v>0.2234223173229082</x:v>
      </x:c>
      <x:c r="G93" s="14" t="n">
        <x:f>IF(I93="Есть цена",IF(AND(ISNUMBER(E93),E93&gt;0,F93&gt;0),E93/F93-1,NA()),"")</x:f>
        <x:v>-0.005911352738837139</x:v>
      </x:c>
      <x:c r="H93" s="14" t="n">
        <x:f>IF(AND(I93="Есть цена",I88="Есть цена"),IF(AND(E93&gt;0,E88&gt;0),E93/E88-1,NA()),"")</x:f>
        <x:v>0.0005111037556970732</x:v>
      </x:c>
      <x:c r="I93" s="2" t="str">
        <x:v>Есть цена</x:v>
      </x:c>
      <x:c r="J93" s="2" t="n">
        <x:v>447856501</x:v>
      </x:c>
      <x:c r="K93" s="9" t="n">
        <x:v>46282.744618055556</x:v>
      </x:c>
      <x:c r="L93" s="2" t="n">
        <x:v>32</x:v>
      </x:c>
      <x:c r="M93" s="2"/>
      <x:c r="N93" s="2" t="str">
        <x:v>G4G5SzkbLFMhoSgHiQNeyJFt75sSDsL1rD8LVyT5xZbU</x:v>
      </x:c>
      <x:c r="O93" s="2" t="str">
        <x:v>https://solscan.io/tx/3PWMbkQ7QGsrcBubm7rSMVkvQqUzgGQtCQhGDinQER2C7Sosa1rzU3GKJjHR39SQwBzD7BF9izikHJuuwYgSL4m4</x:v>
      </x:c>
      <x:c r="P93" s="2" t="str">
        <x:v>ok</x:v>
      </x:c>
      <x:c r="Q93" s="2" t="str"/>
      <x:c r="R93" s="14" t="str">
        <x:f>IF(AND(C93="Нулевой остаток",I93="Есть цена"),G93,"")</x:f>
      </x:c>
      <x:c r="S93" s="14" t="n">
        <x:f>IF(AND(C93="Докупка",I93="Есть цена"),G93,"")</x:f>
        <x:v>-0.005911352738837139</x:v>
      </x:c>
    </x:row>
    <x:row r="94" ht="21" customHeight="1">
      <x:c r="A94" s="2" t="n">
        <x:v>9</x:v>
      </x:c>
      <x:c r="B94" s="2" t="n">
        <x:v>900</x:v>
      </x:c>
      <x:c r="C94" s="2" t="str">
        <x:f>'Покупки'!C16</x:f>
        <x:v>Докупка</x:v>
      </x:c>
      <x:c r="D94" s="9" t="n">
        <x:v>46282.75193287037</x:v>
      </x:c>
      <x:c r="E94" s="12" t="n">
        <x:v>0.22255444385228185</x:v>
      </x:c>
      <x:c r="F94" s="12" t="n">
        <x:f>'Покупки'!H16</x:f>
        <x:v>0.2234223173229082</x:v>
      </x:c>
      <x:c r="G94" s="14" t="n">
        <x:f>IF(I94="Есть цена",IF(AND(ISNUMBER(E94),E94&gt;0,F94&gt;0),E94/F94-1,NA()),"")</x:f>
        <x:v>-0.0038844529097423752</x:v>
      </x:c>
      <x:c r="H94" s="14" t="n">
        <x:f>IF(AND(I94="Есть цена",I88="Есть цена"),IF(AND(E94&gt;0,E88&gt;0),E94/E88-1,NA()),"")</x:f>
        <x:v>0.0025510986704333494</x:v>
      </x:c>
      <x:c r="I94" s="2" t="str">
        <x:v>Есть цена</x:v>
      </x:c>
      <x:c r="J94" s="2" t="n">
        <x:v>447858437</x:v>
      </x:c>
      <x:c r="K94" s="9" t="n">
        <x:v>46282.75170138889</x:v>
      </x:c>
      <x:c r="L94" s="2" t="n">
        <x:v>20</x:v>
      </x:c>
      <x:c r="M94" s="2"/>
      <x:c r="N94" s="2" t="str">
        <x:v>G4G5SzkbLFMhoSgHiQNeyJFt75sSDsL1rD8LVyT5xZbU</x:v>
      </x:c>
      <x:c r="O94" s="2" t="str">
        <x:v>https://solscan.io/tx/4vECoUuBQeeFgM8Xf6z1Vay9v9vERi5Us48cmsEKeYTK3Bwi3SybV57acN3fjGYpJHRXU3ro7HVVSdB4rt2GBRFP</x:v>
      </x:c>
      <x:c r="P94" s="2" t="str">
        <x:v>ok</x:v>
      </x:c>
      <x:c r="Q94" s="2" t="str"/>
      <x:c r="R94" s="14" t="str">
        <x:f>IF(AND(C94="Нулевой остаток",I94="Есть цена"),G94,"")</x:f>
      </x:c>
      <x:c r="S94" s="14" t="n">
        <x:f>IF(AND(C94="Докупка",I94="Есть цена"),G94,"")</x:f>
        <x:v>-0.0038844529097423752</x:v>
      </x:c>
    </x:row>
    <x:row r="95" ht="21" customHeight="1">
      <x:c r="A95" s="2" t="n">
        <x:v>9</x:v>
      </x:c>
      <x:c r="B95" s="2" t="n">
        <x:v>3600</x:v>
      </x:c>
      <x:c r="C95" s="2" t="str">
        <x:f>'Покупки'!C16</x:f>
        <x:v>Докупка</x:v>
      </x:c>
      <x:c r="D95" s="9" t="n">
        <x:v>46282.78318287037</x:v>
      </x:c>
      <x:c r="E95" s="12" t="n">
        <x:v>0.23825018883377674</x:v>
      </x:c>
      <x:c r="F95" s="12" t="n">
        <x:f>'Покупки'!H16</x:f>
        <x:v>0.2234223173229082</x:v>
      </x:c>
      <x:c r="G95" s="14" t="n">
        <x:f>IF(I95="Есть цена",IF(AND(ISNUMBER(E95),E95&gt;0,F95&gt;0),E95/F95-1,NA()),"")</x:f>
        <x:v>0.06636701153465374</x:v>
      </x:c>
      <x:c r="H95" s="14" t="n">
        <x:f>IF(AND(I95="Есть цена",I88="Есть цена"),IF(AND(E95&gt;0,E88&gt;0),E95/E88-1,NA()),"")</x:f>
        <x:v>0.07325643307432905</x:v>
      </x:c>
      <x:c r="I95" s="2" t="str">
        <x:v>Есть цена</x:v>
      </x:c>
      <x:c r="J95" s="2" t="n">
        <x:v>447866909</x:v>
      </x:c>
      <x:c r="K95" s="9" t="n">
        <x:v>46282.782789351855</x:v>
      </x:c>
      <x:c r="L95" s="2" t="n">
        <x:v>34</x:v>
      </x:c>
      <x:c r="M95" s="2"/>
      <x:c r="N95" s="2" t="str">
        <x:v>G4G5SzkbLFMhoSgHiQNeyJFt75sSDsL1rD8LVyT5xZbU</x:v>
      </x:c>
      <x:c r="O95" s="2" t="str">
        <x:v>https://solscan.io/tx/5Wnk6JFmVvaWPdf8iWzfXsRF7pdXtDX74787J3orkyJhfzUdwA8u8YEyHSWLAW2doqV4adiKEEZdEsuc3tRMPXV9</x:v>
      </x:c>
      <x:c r="P95" s="2" t="str">
        <x:v>ok</x:v>
      </x:c>
      <x:c r="Q95" s="2" t="str"/>
      <x:c r="R95" s="14" t="str">
        <x:f>IF(AND(C95="Нулевой остаток",I95="Есть цена"),G95,"")</x:f>
      </x:c>
      <x:c r="S95" s="14" t="n">
        <x:f>IF(AND(C95="Докупка",I95="Есть цена"),G95,"")</x:f>
        <x:v>0.06636701153465374</x:v>
      </x:c>
    </x:row>
    <x:row r="96" ht="21" customHeight="1">
      <x:c r="A96" s="2" t="n">
        <x:v>9</x:v>
      </x:c>
      <x:c r="B96" s="2" t="n">
        <x:v>21600</x:v>
      </x:c>
      <x:c r="C96" s="2" t="str">
        <x:f>'Покупки'!C16</x:f>
        <x:v>Докупка</x:v>
      </x:c>
      <x:c r="D96" s="9" t="n">
        <x:v>46282.99151620371</x:v>
      </x:c>
      <x:c r="E96" s="12"/>
      <x:c r="F96" s="12" t="n">
        <x:f>'Покупки'!H16</x:f>
        <x:v>0.2234223173229082</x:v>
      </x:c>
      <x:c r="G96" s="14" t="str">
        <x:f>IF(I96="Есть цена",IF(AND(ISNUMBER(E96),E96&gt;0,F96&gt;0),E96/F96-1,NA()),"")</x:f>
      </x:c>
      <x:c r="H96" s="14" t="str">
        <x:f>IF(AND(I96="Есть цена",I88="Есть цена"),IF(AND(E96&gt;0,E88&gt;0),E96/E88-1,NA()),"")</x:f>
      </x:c>
      <x:c r="I96" s="2" t="str">
        <x:v>Ещё рано</x:v>
      </x:c>
      <x:c r="J96" s="2"/>
      <x:c r="K96" s="9"/>
      <x:c r="L96" s="2"/>
      <x:c r="M96" s="2"/>
      <x:c r="N96" s="2"/>
      <x:c r="O96" s="2"/>
      <x:c r="P96" s="2" t="str">
        <x:v>future</x:v>
      </x:c>
      <x:c r="Q96" s="2" t="str"/>
      <x:c r="R96" s="14" t="str">
        <x:f>IF(AND(C96="Нулевой остаток",I96="Есть цена"),G96,"")</x:f>
      </x:c>
      <x:c r="S96" s="14" t="str">
        <x:f>IF(AND(C96="Докупка",I96="Есть цена"),G96,"")</x:f>
      </x:c>
    </x:row>
    <x:row r="97" ht="21" customHeight="1">
      <x:c r="A97" s="2" t="n">
        <x:v>9</x:v>
      </x:c>
      <x:c r="B97" s="2" t="n">
        <x:v>86400</x:v>
      </x:c>
      <x:c r="C97" s="2" t="str">
        <x:f>'Покупки'!C16</x:f>
        <x:v>Докупка</x:v>
      </x:c>
      <x:c r="D97" s="9" t="n">
        <x:v>46283.74151620371</x:v>
      </x:c>
      <x:c r="E97" s="12"/>
      <x:c r="F97" s="12" t="n">
        <x:f>'Покупки'!H16</x:f>
        <x:v>0.2234223173229082</x:v>
      </x:c>
      <x:c r="G97" s="14" t="str">
        <x:f>IF(I97="Есть цена",IF(AND(ISNUMBER(E97),E97&gt;0,F97&gt;0),E97/F97-1,NA()),"")</x:f>
      </x:c>
      <x:c r="H97" s="14" t="str">
        <x:f>IF(AND(I97="Есть цена",I88="Есть цена"),IF(AND(E97&gt;0,E88&gt;0),E97/E88-1,NA()),"")</x:f>
      </x:c>
      <x:c r="I97" s="2" t="str">
        <x:v>Ещё рано</x:v>
      </x:c>
      <x:c r="J97" s="2"/>
      <x:c r="K97" s="9"/>
      <x:c r="L97" s="2"/>
      <x:c r="M97" s="2"/>
      <x:c r="N97" s="2"/>
      <x:c r="O97" s="2"/>
      <x:c r="P97" s="2" t="str">
        <x:v>future</x:v>
      </x:c>
      <x:c r="Q97" s="2" t="str"/>
      <x:c r="R97" s="14" t="str">
        <x:f>IF(AND(C97="Нулевой остаток",I97="Есть цена"),G97,"")</x:f>
      </x:c>
      <x:c r="S97" s="14" t="str">
        <x:f>IF(AND(C97="Докупка",I97="Есть цена"),G97,"")</x:f>
      </x:c>
    </x:row>
    <x:row r="98" ht="21" customHeight="1">
      <x:c r="A98" s="2" t="n">
        <x:v>10</x:v>
      </x:c>
      <x:c r="B98" s="2" t="n">
        <x:v>5</x:v>
      </x:c>
      <x:c r="C98" s="2" t="str">
        <x:f>'Покупки'!C17</x:f>
        <x:v>Нулевой остаток</x:v>
      </x:c>
      <x:c r="D98" s="9" t="n">
        <x:v>46282.74123842592</x:v>
      </x:c>
      <x:c r="E98" s="12" t="n">
        <x:v>0.00020297080495744054</x:v>
      </x:c>
      <x:c r="F98" s="12" t="n">
        <x:f>'Покупки'!H17</x:f>
        <x:v>0.0001097007034951844</x:v>
      </x:c>
      <x:c r="G98" s="14" t="n">
        <x:f>IF(I98="Есть цена",IF(AND(ISNUMBER(E98),E98&gt;0,F98&gt;0),E98/F98-1,NA()),"")</x:f>
        <x:v>0.8502233667658337</x:v>
      </x:c>
      <x:c r="H98" s="14" t="n">
        <x:f>IF(AND(I98="Есть цена",I98="Есть цена"),IF(AND(E98&gt;0,E98&gt;0),E98/E98-1,NA()),"")</x:f>
        <x:v>0</x:v>
      </x:c>
      <x:c r="I98" s="2" t="str">
        <x:v>Есть цена</x:v>
      </x:c>
      <x:c r="J98" s="2" t="n">
        <x:v>447855584</x:v>
      </x:c>
      <x:c r="K98" s="9" t="n">
        <x:v>46282.74123842592</x:v>
      </x:c>
      <x:c r="L98" s="2" t="n">
        <x:v>0</x:v>
      </x:c>
      <x:c r="M98" s="2" t="n">
        <x:v>4</x:v>
      </x:c>
      <x:c r="N98" s="2" t="str">
        <x:v>EGi28sbzUMgrKYg4AQZxSvvk12Lm6nBipyjF7tAdRR6B</x:v>
      </x:c>
      <x:c r="O98" s="2" t="str">
        <x:v>https://solscan.io/tx/QeN3NUUd8y1e6bF4ug4wwoeaydSp2td8GhHzXGzYjkdoQ5ussVi5FYaZeQoP1MmhUtxZLCE4Fd5hsZLtCmwBSuF</x:v>
      </x:c>
      <x:c r="P98" s="2" t="str">
        <x:v>ok</x:v>
      </x:c>
      <x:c r="Q98" s="2" t="str">
        <x:v>36SpkkrsnyUgjPC24KU993r8T3whkJaPgoEeAmbBj9uB; slot 447855570; age 4s</x:v>
      </x:c>
      <x:c r="R98" s="14" t="n">
        <x:f>IF(AND(C98="Нулевой остаток",I98="Есть цена"),G98,"")</x:f>
        <x:v>0.8502233667658337</x:v>
      </x:c>
      <x:c r="S98" s="14" t="str">
        <x:f>IF(AND(C98="Докупка",I98="Есть цена"),G98,"")</x:f>
      </x:c>
    </x:row>
    <x:row r="99" ht="21" customHeight="1">
      <x:c r="A99" s="2" t="n">
        <x:v>10</x:v>
      </x:c>
      <x:c r="B99" s="2" t="n">
        <x:v>15</x:v>
      </x:c>
      <x:c r="C99" s="2" t="str">
        <x:f>'Покупки'!C17</x:f>
        <x:v>Нулевой остаток</x:v>
      </x:c>
      <x:c r="D99" s="9" t="n">
        <x:v>46282.74135416667</x:v>
      </x:c>
      <x:c r="E99" s="12" t="n">
        <x:v>0.00020710729941826494</x:v>
      </x:c>
      <x:c r="F99" s="12" t="n">
        <x:f>'Покупки'!H17</x:f>
        <x:v>0.0001097007034951844</x:v>
      </x:c>
      <x:c r="G99" s="14" t="n">
        <x:f>IF(I99="Есть цена",IF(AND(ISNUMBER(E99),E99&gt;0,F99&gt;0),E99/F99-1,NA()),"")</x:f>
        <x:v>0.8879304582340848</x:v>
      </x:c>
      <x:c r="H99" s="14" t="n">
        <x:f>IF(AND(I99="Есть цена",I98="Есть цена"),IF(AND(E99&gt;0,E98&gt;0),E99/E98-1,NA()),"")</x:f>
        <x:v>0.02037975097793865</x:v>
      </x:c>
      <x:c r="I99" s="2" t="str">
        <x:v>Есть цена</x:v>
      </x:c>
      <x:c r="J99" s="2" t="n">
        <x:v>447855617</x:v>
      </x:c>
      <x:c r="K99" s="9" t="n">
        <x:v>46282.74135416667</x:v>
      </x:c>
      <x:c r="L99" s="2" t="n">
        <x:v>0</x:v>
      </x:c>
      <x:c r="M99" s="2" t="n">
        <x:v>0</x:v>
      </x:c>
      <x:c r="N99" s="2" t="str">
        <x:v>EGi28sbzUMgrKYg4AQZxSvvk12Lm6nBipyjF7tAdRR6B</x:v>
      </x:c>
      <x:c r="O99" s="2" t="str">
        <x:v>https://solscan.io/tx/oHvEgzqzs6xmd8WBXJtxaP1QNp7By6wESTXJ6m2LZRfaJbEcACgmemvJEUEfCWHMaFRyyncHWDAQ5MQL9d227zG</x:v>
      </x:c>
      <x:c r="P99" s="2" t="str">
        <x:v>ok</x:v>
      </x:c>
      <x:c r="Q99" s="2" t="str">
        <x:v>36SpkkrsnyUgjPC24KU993r8T3whkJaPgoEeAmbBj9uB; slot 447855617; age 0s</x:v>
      </x:c>
      <x:c r="R99" s="14" t="n">
        <x:f>IF(AND(C99="Нулевой остаток",I99="Есть цена"),G99,"")</x:f>
        <x:v>0.8879304582340848</x:v>
      </x:c>
      <x:c r="S99" s="14" t="str">
        <x:f>IF(AND(C99="Докупка",I99="Есть цена"),G99,"")</x:f>
      </x:c>
    </x:row>
    <x:row r="100" ht="21" customHeight="1">
      <x:c r="A100" s="2" t="n">
        <x:v>10</x:v>
      </x:c>
      <x:c r="B100" s="2" t="n">
        <x:v>30</x:v>
      </x:c>
      <x:c r="C100" s="2" t="str">
        <x:f>'Покупки'!C17</x:f>
        <x:v>Нулевой остаток</x:v>
      </x:c>
      <x:c r="D100" s="9" t="n">
        <x:v>46282.741527777776</x:v>
      </x:c>
      <x:c r="E100" s="12" t="n">
        <x:v>0.0002245151862177892</x:v>
      </x:c>
      <x:c r="F100" s="12" t="n">
        <x:f>'Покупки'!H17</x:f>
        <x:v>0.0001097007034951844</x:v>
      </x:c>
      <x:c r="G100" s="14" t="n">
        <x:f>IF(I100="Есть цена",IF(AND(ISNUMBER(E100),E100&gt;0,F100&gt;0),E100/F100-1,NA()),"")</x:f>
        <x:v>1.0466157377709515</x:v>
      </x:c>
      <x:c r="H100" s="14" t="n">
        <x:f>IF(AND(I100="Есть цена",I98="Есть цена"),IF(AND(E100&gt;0,E98&gt;0),E100/E98-1,NA()),"")</x:f>
        <x:v>0.1061452225351629</x:v>
      </x:c>
      <x:c r="I100" s="2" t="str">
        <x:v>Есть цена</x:v>
      </x:c>
      <x:c r="J100" s="2" t="n">
        <x:v>447855665</x:v>
      </x:c>
      <x:c r="K100" s="9" t="n">
        <x:v>46282.741527777776</x:v>
      </x:c>
      <x:c r="L100" s="2" t="n">
        <x:v>0</x:v>
      </x:c>
      <x:c r="M100" s="2" t="n">
        <x:v>1</x:v>
      </x:c>
      <x:c r="N100" s="2" t="str">
        <x:v>EGi28sbzUMgrKYg4AQZxSvvk12Lm6nBipyjF7tAdRR6B</x:v>
      </x:c>
      <x:c r="O100" s="2" t="str">
        <x:v>https://solscan.io/tx/5RqfQkYDG9o1apFmAqPbvpziJ6MoRLW8PkV5wAUAq7Ws4iXcucLrNXwWQe5HeDcyAoBvELiCPTDDzYsVfEeNemZX</x:v>
      </x:c>
      <x:c r="P100" s="2" t="str">
        <x:v>ok</x:v>
      </x:c>
      <x:c r="Q100" s="2" t="str">
        <x:v>36SpkkrsnyUgjPC24KU993r8T3whkJaPgoEeAmbBj9uB; slot 447855662; age 1s</x:v>
      </x:c>
      <x:c r="R100" s="14" t="n">
        <x:f>IF(AND(C100="Нулевой остаток",I100="Есть цена"),G100,"")</x:f>
        <x:v>1.0466157377709515</x:v>
      </x:c>
      <x:c r="S100" s="14" t="str">
        <x:f>IF(AND(C100="Докупка",I100="Есть цена"),G100,"")</x:f>
      </x:c>
    </x:row>
    <x:row r="101" ht="21" customHeight="1">
      <x:c r="A101" s="2" t="n">
        <x:v>10</x:v>
      </x:c>
      <x:c r="B101" s="2" t="n">
        <x:v>60</x:v>
      </x:c>
      <x:c r="C101" s="2" t="str">
        <x:f>'Покупки'!C17</x:f>
        <x:v>Нулевой остаток</x:v>
      </x:c>
      <x:c r="D101" s="9" t="n">
        <x:v>46282.741875</x:v>
      </x:c>
      <x:c r="E101" s="12" t="n">
        <x:v>0.00019045404020125666</x:v>
      </x:c>
      <x:c r="F101" s="12" t="n">
        <x:f>'Покупки'!H17</x:f>
        <x:v>0.0001097007034951844</x:v>
      </x:c>
      <x:c r="G101" s="14" t="n">
        <x:f>IF(I101="Есть цена",IF(AND(ISNUMBER(E101),E101&gt;0,F101&gt;0),E101/F101-1,NA()),"")</x:f>
        <x:v>0.7361241462742045</x:v>
      </x:c>
      <x:c r="H101" s="14" t="n">
        <x:f>IF(AND(I101="Есть цена",I98="Есть цена"),IF(AND(E101&gt;0,E98&gt;0),E101/E98-1,NA()),"")</x:f>
        <x:v>-0.06166780862305998</x:v>
      </x:c>
      <x:c r="I101" s="2" t="str">
        <x:v>Есть цена</x:v>
      </x:c>
      <x:c r="J101" s="2" t="n">
        <x:v>447855760</x:v>
      </x:c>
      <x:c r="K101" s="9" t="n">
        <x:v>46282.741875</x:v>
      </x:c>
      <x:c r="L101" s="2" t="n">
        <x:v>0</x:v>
      </x:c>
      <x:c r="M101" s="2" t="n">
        <x:v>0</x:v>
      </x:c>
      <x:c r="N101" s="2" t="str">
        <x:v>EGi28sbzUMgrKYg4AQZxSvvk12Lm6nBipyjF7tAdRR6B</x:v>
      </x:c>
      <x:c r="O101" s="2" t="str">
        <x:v>https://solscan.io/tx/3wcNeaAvZZdctn4Ct4jqq42S8JuGyDVTbLFE7PLHDsNjwHZ1SwZjiNjZs5tiD4Ugub6C5xaZ1LdgfnCVQcRSgb6o</x:v>
      </x:c>
      <x:c r="P101" s="2" t="str">
        <x:v>ok</x:v>
      </x:c>
      <x:c r="Q101" s="2" t="str">
        <x:v>36SpkkrsnyUgjPC24KU993r8T3whkJaPgoEeAmbBj9uB; slot 447855759; age 0s</x:v>
      </x:c>
      <x:c r="R101" s="14" t="n">
        <x:f>IF(AND(C101="Нулевой остаток",I101="Есть цена"),G101,"")</x:f>
        <x:v>0.7361241462742045</x:v>
      </x:c>
      <x:c r="S101" s="14" t="str">
        <x:f>IF(AND(C101="Докупка",I101="Есть цена"),G101,"")</x:f>
      </x:c>
    </x:row>
    <x:row r="102" ht="21" customHeight="1">
      <x:c r="A102" s="2" t="n">
        <x:v>10</x:v>
      </x:c>
      <x:c r="B102" s="2" t="n">
        <x:v>180</x:v>
      </x:c>
      <x:c r="C102" s="2" t="str">
        <x:f>'Покупки'!C17</x:f>
        <x:v>Нулевой остаток</x:v>
      </x:c>
      <x:c r="D102" s="9" t="n">
        <x:v>46282.743263888886</x:v>
      </x:c>
      <x:c r="E102" s="12" t="n">
        <x:v>0.0002039017175825566</x:v>
      </x:c>
      <x:c r="F102" s="12" t="n">
        <x:f>'Покупки'!H17</x:f>
        <x:v>0.0001097007034951844</x:v>
      </x:c>
      <x:c r="G102" s="14" t="n">
        <x:f>IF(I102="Есть цена",IF(AND(ISNUMBER(E102),E102&gt;0,F102&gt;0),E102/F102-1,NA()),"")</x:f>
        <x:v>0.858709297990121</x:v>
      </x:c>
      <x:c r="H102" s="14" t="n">
        <x:f>IF(AND(I102="Есть цена",I98="Есть цена"),IF(AND(E102&gt;0,E98&gt;0),E102/E98-1,NA()),"")</x:f>
        <x:v>0.004586436090211254</x:v>
      </x:c>
      <x:c r="I102" s="2" t="str">
        <x:v>Есть цена</x:v>
      </x:c>
      <x:c r="J102" s="2" t="n">
        <x:v>447856138</x:v>
      </x:c>
      <x:c r="K102" s="9" t="n">
        <x:v>46282.743263888886</x:v>
      </x:c>
      <x:c r="L102" s="2" t="n">
        <x:v>0</x:v>
      </x:c>
      <x:c r="M102" s="2" t="n">
        <x:v>0</x:v>
      </x:c>
      <x:c r="N102" s="2" t="str">
        <x:v>EGi28sbzUMgrKYg4AQZxSvvk12Lm6nBipyjF7tAdRR6B</x:v>
      </x:c>
      <x:c r="O102" s="2" t="str">
        <x:v>https://solscan.io/tx/123yrPLEg7Wfm6qTVWrw6nxcGdfxCqvG2d22SDWcgCa5XUAXuyWnCxoFE2eBpDEgbyd6VL2qDrWwNAwdG1CmubzP</x:v>
      </x:c>
      <x:c r="P102" s="2" t="str">
        <x:v>ok</x:v>
      </x:c>
      <x:c r="Q102" s="2" t="str">
        <x:v>36SpkkrsnyUgjPC24KU993r8T3whkJaPgoEeAmbBj9uB; slot 447856136; age 0s</x:v>
      </x:c>
      <x:c r="R102" s="14" t="n">
        <x:f>IF(AND(C102="Нулевой остаток",I102="Есть цена"),G102,"")</x:f>
        <x:v>0.858709297990121</x:v>
      </x:c>
      <x:c r="S102" s="14" t="str">
        <x:f>IF(AND(C102="Докупка",I102="Есть цена"),G102,"")</x:f>
      </x:c>
    </x:row>
    <x:row r="103" ht="21" customHeight="1">
      <x:c r="A103" s="2" t="n">
        <x:v>10</x:v>
      </x:c>
      <x:c r="B103" s="2" t="n">
        <x:v>300</x:v>
      </x:c>
      <x:c r="C103" s="2" t="str">
        <x:f>'Покупки'!C17</x:f>
        <x:v>Нулевой остаток</x:v>
      </x:c>
      <x:c r="D103" s="9" t="n">
        <x:v>46282.74465277778</x:v>
      </x:c>
      <x:c r="E103" s="12" t="n">
        <x:v>0.00021444246514295165</x:v>
      </x:c>
      <x:c r="F103" s="12" t="n">
        <x:f>'Покупки'!H17</x:f>
        <x:v>0.0001097007034951844</x:v>
      </x:c>
      <x:c r="G103" s="14" t="n">
        <x:f>IF(I103="Есть цена",IF(AND(ISNUMBER(E103),E103&gt;0,F103&gt;0),E103/F103-1,NA()),"")</x:f>
        <x:v>0.954795715164809</x:v>
      </x:c>
      <x:c r="H103" s="14" t="n">
        <x:f>IF(AND(I103="Есть цена",I98="Есть цена"),IF(AND(E103&gt;0,E98&gt;0),E103/E98-1,NA()),"")</x:f>
        <x:v>0.05651876972117509</x:v>
      </x:c>
      <x:c r="I103" s="2" t="str">
        <x:v>Есть цена</x:v>
      </x:c>
      <x:c r="J103" s="2" t="n">
        <x:v>447856504</x:v>
      </x:c>
      <x:c r="K103" s="9" t="n">
        <x:v>46282.74462962963</x:v>
      </x:c>
      <x:c r="L103" s="2" t="n">
        <x:v>2</x:v>
      </x:c>
      <x:c r="M103" s="2" t="n">
        <x:v>2</x:v>
      </x:c>
      <x:c r="N103" s="2" t="str">
        <x:v>EGi28sbzUMgrKYg4AQZxSvvk12Lm6nBipyjF7tAdRR6B</x:v>
      </x:c>
      <x:c r="O103" s="2" t="str">
        <x:v>https://solscan.io/tx/2JYuo7anQY4jxNe5FNLKWEAby6wUTfKZn82GFiL2Q6ZrDz2o7uUZvhR9wPA8uCiUeBWzqt1eNDxAigw3vcMacPtT</x:v>
      </x:c>
      <x:c r="P103" s="2" t="str">
        <x:v>ok</x:v>
      </x:c>
      <x:c r="Q103" s="2" t="str">
        <x:v>36SpkkrsnyUgjPC24KU993r8T3whkJaPgoEeAmbBj9uB; slot 447856504; age 2s</x:v>
      </x:c>
      <x:c r="R103" s="14" t="n">
        <x:f>IF(AND(C103="Нулевой остаток",I103="Есть цена"),G103,"")</x:f>
        <x:v>0.954795715164809</x:v>
      </x:c>
      <x:c r="S103" s="14" t="str">
        <x:f>IF(AND(C103="Докупка",I103="Есть цена"),G103,"")</x:f>
      </x:c>
    </x:row>
    <x:row r="104" ht="21" customHeight="1">
      <x:c r="A104" s="2" t="n">
        <x:v>10</x:v>
      </x:c>
      <x:c r="B104" s="2" t="n">
        <x:v>900</x:v>
      </x:c>
      <x:c r="C104" s="2" t="str">
        <x:f>'Покупки'!C17</x:f>
        <x:v>Нулевой остаток</x:v>
      </x:c>
      <x:c r="D104" s="9" t="n">
        <x:v>46282.751597222225</x:v>
      </x:c>
      <x:c r="E104" s="12" t="n">
        <x:v>0.0001725774470865744</x:v>
      </x:c>
      <x:c r="F104" s="12" t="n">
        <x:f>'Покупки'!H17</x:f>
        <x:v>0.0001097007034951844</x:v>
      </x:c>
      <x:c r="G104" s="14" t="n">
        <x:f>IF(I104="Есть цена",IF(AND(ISNUMBER(E104),E104&gt;0,F104&gt;0),E104/F104-1,NA()),"")</x:f>
        <x:v>0.5731662750380642</x:v>
      </x:c>
      <x:c r="H104" s="14" t="n">
        <x:f>IF(AND(I104="Есть цена",I98="Есть цена"),IF(AND(E104&gt;0,E98&gt;0),E104/E98-1,NA()),"")</x:f>
        <x:v>-0.14974251039325137</x:v>
      </x:c>
      <x:c r="I104" s="2" t="str">
        <x:v>Есть цена</x:v>
      </x:c>
      <x:c r="J104" s="2" t="n">
        <x:v>447858401</x:v>
      </x:c>
      <x:c r="K104" s="9" t="n">
        <x:v>46282.75157407407</x:v>
      </x:c>
      <x:c r="L104" s="2" t="n">
        <x:v>2</x:v>
      </x:c>
      <x:c r="M104" s="2" t="n">
        <x:v>54</x:v>
      </x:c>
      <x:c r="N104" s="2" t="str">
        <x:v>EGi28sbzUMgrKYg4AQZxSvvk12Lm6nBipyjF7tAdRR6B</x:v>
      </x:c>
      <x:c r="O104" s="2" t="str">
        <x:v>https://solscan.io/tx/4BGfHVT9zWzaVZZZ6PQEsq3TmxGRwMQPywoDTqrSEsJWLS2i6Mf3WuZAkSJUQ6Fp9Agx5XshGHSa8uvpuy6STrLL</x:v>
      </x:c>
      <x:c r="P104" s="2" t="str">
        <x:v>ok</x:v>
      </x:c>
      <x:c r="Q104" s="2" t="str">
        <x:v>36SpkkrsnyUgjPC24KU993r8T3whkJaPgoEeAmbBj9uB; slot 447858241; age 54s</x:v>
      </x:c>
      <x:c r="R104" s="14" t="n">
        <x:f>IF(AND(C104="Нулевой остаток",I104="Есть цена"),G104,"")</x:f>
        <x:v>0.5731662750380642</x:v>
      </x:c>
      <x:c r="S104" s="14" t="str">
        <x:f>IF(AND(C104="Докупка",I104="Есть цена"),G104,"")</x:f>
      </x:c>
    </x:row>
    <x:row r="105" ht="21" customHeight="1">
      <x:c r="A105" s="2" t="n">
        <x:v>10</x:v>
      </x:c>
      <x:c r="B105" s="2" t="n">
        <x:v>3600</x:v>
      </x:c>
      <x:c r="C105" s="2" t="str">
        <x:f>'Покупки'!C17</x:f>
        <x:v>Нулевой остаток</x:v>
      </x:c>
      <x:c r="D105" s="9" t="n">
        <x:v>46282.782847222225</x:v>
      </x:c>
      <x:c r="E105" s="12" t="n">
        <x:v>0.00011994432656496523</x:v>
      </x:c>
      <x:c r="F105" s="12" t="n">
        <x:f>'Покупки'!H17</x:f>
        <x:v>0.0001097007034951844</x:v>
      </x:c>
      <x:c r="G105" s="14" t="n">
        <x:f>IF(I105="Есть цена",IF(AND(ISNUMBER(E105),E105&gt;0,F105&gt;0),E105/F105-1,NA()),"")</x:f>
        <x:v>0.09337791594226652</x:v>
      </x:c>
      <x:c r="H105" s="14" t="n">
        <x:f>IF(AND(I105="Есть цена",I98="Есть цена"),IF(AND(E105&gt;0,E98&gt;0),E105/E98-1,NA()),"")</x:f>
        <x:v>-0.4090562601349712</x:v>
      </x:c>
      <x:c r="I105" s="2" t="str">
        <x:v>Есть цена</x:v>
      </x:c>
      <x:c r="J105" s="2" t="n">
        <x:v>447866914</x:v>
      </x:c>
      <x:c r="K105" s="9" t="n">
        <x:v>46282.7828125</x:v>
      </x:c>
      <x:c r="L105" s="2" t="n">
        <x:v>3</x:v>
      </x:c>
      <x:c r="M105" s="2" t="n">
        <x:v>0</x:v>
      </x:c>
      <x:c r="N105" s="2" t="str">
        <x:v>EGi28sbzUMgrKYg4AQZxSvvk12Lm6nBipyjF7tAdRR6B</x:v>
      </x:c>
      <x:c r="O105" s="2" t="str">
        <x:v>https://solscan.io/tx/jCxx6tm1v8vJ3faKzf6KteTY4AwScRH63LNcHKmkqvK3WMTkzmsFTb7mdjeTFZKC4ToYPQQLRQndoTYDNzmZn5t</x:v>
      </x:c>
      <x:c r="P105" s="2" t="str">
        <x:v>ok</x:v>
      </x:c>
      <x:c r="Q105" s="2" t="str">
        <x:v>36SpkkrsnyUgjPC24KU993r8T3whkJaPgoEeAmbBj9uB; slot 447866924; age 0s</x:v>
      </x:c>
      <x:c r="R105" s="14" t="n">
        <x:f>IF(AND(C105="Нулевой остаток",I105="Есть цена"),G105,"")</x:f>
        <x:v>0.09337791594226652</x:v>
      </x:c>
      <x:c r="S105" s="14" t="str">
        <x:f>IF(AND(C105="Докупка",I105="Есть цена"),G105,"")</x:f>
      </x:c>
    </x:row>
    <x:row r="106" ht="21" customHeight="1">
      <x:c r="A106" s="2" t="n">
        <x:v>10</x:v>
      </x:c>
      <x:c r="B106" s="2" t="n">
        <x:v>21600</x:v>
      </x:c>
      <x:c r="C106" s="2" t="str">
        <x:f>'Покупки'!C17</x:f>
        <x:v>Нулевой остаток</x:v>
      </x:c>
      <x:c r="D106" s="9" t="n">
        <x:v>46282.99118055555</x:v>
      </x:c>
      <x:c r="E106" s="12"/>
      <x:c r="F106" s="12" t="n">
        <x:f>'Покупки'!H17</x:f>
        <x:v>0.0001097007034951844</x:v>
      </x:c>
      <x:c r="G106" s="14" t="str">
        <x:f>IF(I106="Есть цена",IF(AND(ISNUMBER(E106),E106&gt;0,F106&gt;0),E106/F106-1,NA()),"")</x:f>
      </x:c>
      <x:c r="H106" s="14" t="str">
        <x:f>IF(AND(I106="Есть цена",I98="Есть цена"),IF(AND(E106&gt;0,E98&gt;0),E106/E98-1,NA()),"")</x:f>
      </x:c>
      <x:c r="I106" s="2" t="str">
        <x:v>Ещё рано</x:v>
      </x:c>
      <x:c r="J106" s="2"/>
      <x:c r="K106" s="9"/>
      <x:c r="L106" s="2"/>
      <x:c r="M106" s="2"/>
      <x:c r="N106" s="2"/>
      <x:c r="O106" s="2"/>
      <x:c r="P106" s="2" t="str">
        <x:v>future</x:v>
      </x:c>
      <x:c r="Q106" s="2" t="str"/>
      <x:c r="R106" s="14" t="str">
        <x:f>IF(AND(C106="Нулевой остаток",I106="Есть цена"),G106,"")</x:f>
      </x:c>
      <x:c r="S106" s="14" t="str">
        <x:f>IF(AND(C106="Докупка",I106="Есть цена"),G106,"")</x:f>
      </x:c>
    </x:row>
    <x:row r="107" ht="21" customHeight="1">
      <x:c r="A107" s="2" t="n">
        <x:v>10</x:v>
      </x:c>
      <x:c r="B107" s="2" t="n">
        <x:v>86400</x:v>
      </x:c>
      <x:c r="C107" s="2" t="str">
        <x:f>'Покупки'!C17</x:f>
        <x:v>Нулевой остаток</x:v>
      </x:c>
      <x:c r="D107" s="9" t="n">
        <x:v>46283.74118055555</x:v>
      </x:c>
      <x:c r="E107" s="12"/>
      <x:c r="F107" s="12" t="n">
        <x:f>'Покупки'!H17</x:f>
        <x:v>0.0001097007034951844</x:v>
      </x:c>
      <x:c r="G107" s="14" t="str">
        <x:f>IF(I107="Есть цена",IF(AND(ISNUMBER(E107),E107&gt;0,F107&gt;0),E107/F107-1,NA()),"")</x:f>
      </x:c>
      <x:c r="H107" s="14" t="str">
        <x:f>IF(AND(I107="Есть цена",I98="Есть цена"),IF(AND(E107&gt;0,E98&gt;0),E107/E98-1,NA()),"")</x:f>
      </x:c>
      <x:c r="I107" s="2" t="str">
        <x:v>Ещё рано</x:v>
      </x:c>
      <x:c r="J107" s="2"/>
      <x:c r="K107" s="9"/>
      <x:c r="L107" s="2"/>
      <x:c r="M107" s="2"/>
      <x:c r="N107" s="2"/>
      <x:c r="O107" s="2"/>
      <x:c r="P107" s="2" t="str">
        <x:v>future</x:v>
      </x:c>
      <x:c r="Q107" s="2" t="str"/>
      <x:c r="R107" s="14" t="str">
        <x:f>IF(AND(C107="Нулевой остаток",I107="Есть цена"),G107,"")</x:f>
      </x:c>
      <x:c r="S107" s="14" t="str">
        <x:f>IF(AND(C107="Докупка",I107="Есть цена"),G107,"")</x:f>
      </x:c>
    </x:row>
    <x:row r="108" ht="21" customHeight="1">
      <x:c r="A108" s="2" t="n">
        <x:v>11</x:v>
      </x:c>
      <x:c r="B108" s="2" t="n">
        <x:v>5</x:v>
      </x:c>
      <x:c r="C108" s="2" t="str">
        <x:f>'Покупки'!C18</x:f>
        <x:v>Докупка</x:v>
      </x:c>
      <x:c r="D108" s="9" t="n">
        <x:v>46282.72956018519</x:v>
      </x:c>
      <x:c r="E108" s="12" t="n">
        <x:v>0.0005442370118868819</x:v>
      </x:c>
      <x:c r="F108" s="12" t="n">
        <x:f>'Покупки'!H18</x:f>
        <x:v>0.0005625245948658544</x:v>
      </x:c>
      <x:c r="G108" s="14" t="n">
        <x:f>IF(I108="Есть цена",IF(AND(ISNUMBER(E108),E108&gt;0,F108&gt;0),E108/F108-1,NA()),"")</x:f>
        <x:v>-0.03250983716246847</x:v>
      </x:c>
      <x:c r="H108" s="14" t="n">
        <x:f>IF(AND(I108="Есть цена",I108="Есть цена"),IF(AND(E108&gt;0,E108&gt;0),E108/E108-1,NA()),"")</x:f>
        <x:v>0</x:v>
      </x:c>
      <x:c r="I108" s="2" t="str">
        <x:v>Есть цена</x:v>
      </x:c>
      <x:c r="J108" s="2" t="n">
        <x:v>447852398</x:v>
      </x:c>
      <x:c r="K108" s="9" t="n">
        <x:v>46282.72950231482</x:v>
      </x:c>
      <x:c r="L108" s="2" t="n">
        <x:v>5</x:v>
      </x:c>
      <x:c r="M108" s="2"/>
      <x:c r="N108" s="2" t="str">
        <x:v>HMh9syEn37waF4hNYcyMuaPRv6xFTpTdb3MqMEMNppSR</x:v>
      </x:c>
      <x:c r="O108" s="2" t="str">
        <x:v>https://solscan.io/tx/YZogHsgviZ6yCMgQMyu5jJ2TrPmJXr3fofbYUxzvT9faM4daFrnKyZnGK1YAjS3qpgJ9oDhZLCaFn29DtUTzetd</x:v>
      </x:c>
      <x:c r="P108" s="2" t="str">
        <x:v>ok</x:v>
      </x:c>
      <x:c r="Q108" s="2" t="str"/>
      <x:c r="R108" s="14" t="str">
        <x:f>IF(AND(C108="Нулевой остаток",I108="Есть цена"),G108,"")</x:f>
      </x:c>
      <x:c r="S108" s="14" t="n">
        <x:f>IF(AND(C108="Докупка",I108="Есть цена"),G108,"")</x:f>
        <x:v>-0.03250983716246847</x:v>
      </x:c>
    </x:row>
    <x:row r="109" ht="21" customHeight="1">
      <x:c r="A109" s="2" t="n">
        <x:v>11</x:v>
      </x:c>
      <x:c r="B109" s="2" t="n">
        <x:v>15</x:v>
      </x:c>
      <x:c r="C109" s="2" t="str">
        <x:f>'Покупки'!C18</x:f>
        <x:v>Докупка</x:v>
      </x:c>
      <x:c r="D109" s="9" t="n">
        <x:v>46282.729675925926</x:v>
      </x:c>
      <x:c r="E109" s="12" t="n">
        <x:v>0.000544436451452669</x:v>
      </x:c>
      <x:c r="F109" s="12" t="n">
        <x:f>'Покупки'!H18</x:f>
        <x:v>0.0005625245948658544</x:v>
      </x:c>
      <x:c r="G109" s="14" t="n">
        <x:f>IF(I109="Есть цена",IF(AND(ISNUMBER(E109),E109&gt;0,F109&gt;0),E109/F109-1,NA()),"")</x:f>
        <x:v>-0.03215529343654544</x:v>
      </x:c>
      <x:c r="H109" s="14" t="n">
        <x:f>IF(AND(I109="Есть цена",I108="Есть цена"),IF(AND(E109&gt;0,E108&gt;0),E109/E108-1,NA()),"")</x:f>
        <x:v>0.0003664571894801405</x:v>
      </x:c>
      <x:c r="I109" s="2" t="str">
        <x:v>Есть цена</x:v>
      </x:c>
      <x:c r="J109" s="2" t="n">
        <x:v>447852430</x:v>
      </x:c>
      <x:c r="K109" s="9" t="n">
        <x:v>46282.72961805556</x:v>
      </x:c>
      <x:c r="L109" s="2" t="n">
        <x:v>5</x:v>
      </x:c>
      <x:c r="M109" s="2"/>
      <x:c r="N109" s="2" t="str">
        <x:v>HMh9syEn37waF4hNYcyMuaPRv6xFTpTdb3MqMEMNppSR</x:v>
      </x:c>
      <x:c r="O109" s="2" t="str">
        <x:v>https://solscan.io/tx/2RMLDpKeshWJ8kaofBkPME62EnX3xyqR6HkvAY6GsZJBTgnMrMYXmPkgS7chJapNM6eisaii9qACidgSSRN8ECLT</x:v>
      </x:c>
      <x:c r="P109" s="2" t="str">
        <x:v>ok</x:v>
      </x:c>
      <x:c r="Q109" s="2" t="str"/>
      <x:c r="R109" s="14" t="str">
        <x:f>IF(AND(C109="Нулевой остаток",I109="Есть цена"),G109,"")</x:f>
      </x:c>
      <x:c r="S109" s="14" t="n">
        <x:f>IF(AND(C109="Докупка",I109="Есть цена"),G109,"")</x:f>
        <x:v>-0.03215529343654544</x:v>
      </x:c>
    </x:row>
    <x:row r="110" ht="21" customHeight="1">
      <x:c r="A110" s="2" t="n">
        <x:v>11</x:v>
      </x:c>
      <x:c r="B110" s="2" t="n">
        <x:v>30</x:v>
      </x:c>
      <x:c r="C110" s="2" t="str">
        <x:f>'Покупки'!C18</x:f>
        <x:v>Докупка</x:v>
      </x:c>
      <x:c r="D110" s="9" t="n">
        <x:v>46282.729849537034</x:v>
      </x:c>
      <x:c r="E110" s="12" t="n">
        <x:v>0.000544436451452669</x:v>
      </x:c>
      <x:c r="F110" s="12" t="n">
        <x:f>'Покупки'!H18</x:f>
        <x:v>0.0005625245948658544</x:v>
      </x:c>
      <x:c r="G110" s="14" t="n">
        <x:f>IF(I110="Есть цена",IF(AND(ISNUMBER(E110),E110&gt;0,F110&gt;0),E110/F110-1,NA()),"")</x:f>
        <x:v>-0.03215529343654544</x:v>
      </x:c>
      <x:c r="H110" s="14" t="n">
        <x:f>IF(AND(I110="Есть цена",I108="Есть цена"),IF(AND(E110&gt;0,E108&gt;0),E110/E108-1,NA()),"")</x:f>
        <x:v>0.0003664571894801405</x:v>
      </x:c>
      <x:c r="I110" s="2" t="str">
        <x:v>Есть цена</x:v>
      </x:c>
      <x:c r="J110" s="2" t="n">
        <x:v>447852430</x:v>
      </x:c>
      <x:c r="K110" s="9" t="n">
        <x:v>46282.72961805556</x:v>
      </x:c>
      <x:c r="L110" s="2" t="n">
        <x:v>20</x:v>
      </x:c>
      <x:c r="M110" s="2"/>
      <x:c r="N110" s="2" t="str">
        <x:v>HMh9syEn37waF4hNYcyMuaPRv6xFTpTdb3MqMEMNppSR</x:v>
      </x:c>
      <x:c r="O110" s="2" t="str">
        <x:v>https://solscan.io/tx/2RMLDpKeshWJ8kaofBkPME62EnX3xyqR6HkvAY6GsZJBTgnMrMYXmPkgS7chJapNM6eisaii9qACidgSSRN8ECLT</x:v>
      </x:c>
      <x:c r="P110" s="2" t="str">
        <x:v>ok</x:v>
      </x:c>
      <x:c r="Q110" s="2" t="str"/>
      <x:c r="R110" s="14" t="str">
        <x:f>IF(AND(C110="Нулевой остаток",I110="Есть цена"),G110,"")</x:f>
      </x:c>
      <x:c r="S110" s="14" t="n">
        <x:f>IF(AND(C110="Докупка",I110="Есть цена"),G110,"")</x:f>
        <x:v>-0.03215529343654544</x:v>
      </x:c>
    </x:row>
    <x:row r="111" ht="21" customHeight="1">
      <x:c r="A111" s="2" t="n">
        <x:v>11</x:v>
      </x:c>
      <x:c r="B111" s="2" t="n">
        <x:v>60</x:v>
      </x:c>
      <x:c r="C111" s="2" t="str">
        <x:f>'Покупки'!C18</x:f>
        <x:v>Докупка</x:v>
      </x:c>
      <x:c r="D111" s="9" t="n">
        <x:v>46282.73019675926</x:v>
      </x:c>
      <x:c r="E111" s="12" t="n">
        <x:v>0.0005409663640615202</x:v>
      </x:c>
      <x:c r="F111" s="12" t="n">
        <x:f>'Покупки'!H18</x:f>
        <x:v>0.0005625245948658544</x:v>
      </x:c>
      <x:c r="G111" s="14" t="n">
        <x:f>IF(I111="Есть цена",IF(AND(ISNUMBER(E111),E111&gt;0,F111&gt;0),E111/F111-1,NA()),"")</x:f>
        <x:v>-0.03832406796270871</x:v>
      </x:c>
      <x:c r="H111" s="14" t="n">
        <x:f>IF(AND(I111="Есть цена",I108="Есть цена"),IF(AND(E111&gt;0,E108&gt;0),E111/E108-1,NA()),"")</x:f>
        <x:v>-0.006009601982089219</x:v>
      </x:c>
      <x:c r="I111" s="2" t="str">
        <x:v>Есть цена</x:v>
      </x:c>
      <x:c r="J111" s="2" t="n">
        <x:v>447852578</x:v>
      </x:c>
      <x:c r="K111" s="9" t="n">
        <x:v>46282.73017361111</x:v>
      </x:c>
      <x:c r="L111" s="2" t="n">
        <x:v>2</x:v>
      </x:c>
      <x:c r="M111" s="2"/>
      <x:c r="N111" s="2" t="str">
        <x:v>HMh9syEn37waF4hNYcyMuaPRv6xFTpTdb3MqMEMNppSR</x:v>
      </x:c>
      <x:c r="O111" s="2" t="str">
        <x:v>https://solscan.io/tx/5CfFVdyukkam1CTfTVib8T6RgnzdC7ALfUNNYSnc2xcNHFQoQ8kcYjE3qpjNQ6oTJAtMD9VhTR7erpDLaNQQdReR</x:v>
      </x:c>
      <x:c r="P111" s="2" t="str">
        <x:v>ok</x:v>
      </x:c>
      <x:c r="Q111" s="2" t="str"/>
      <x:c r="R111" s="14" t="str">
        <x:f>IF(AND(C111="Нулевой остаток",I111="Есть цена"),G111,"")</x:f>
      </x:c>
      <x:c r="S111" s="14" t="n">
        <x:f>IF(AND(C111="Докупка",I111="Есть цена"),G111,"")</x:f>
        <x:v>-0.03832406796270871</x:v>
      </x:c>
    </x:row>
    <x:row r="112" ht="21" customHeight="1">
      <x:c r="A112" s="2" t="n">
        <x:v>11</x:v>
      </x:c>
      <x:c r="B112" s="2" t="n">
        <x:v>180</x:v>
      </x:c>
      <x:c r="C112" s="2" t="str">
        <x:f>'Покупки'!C18</x:f>
        <x:v>Докупка</x:v>
      </x:c>
      <x:c r="D112" s="9" t="n">
        <x:v>46282.73158564815</x:v>
      </x:c>
      <x:c r="E112" s="12" t="n">
        <x:v>0.0005499489002392081</x:v>
      </x:c>
      <x:c r="F112" s="12" t="n">
        <x:f>'Покупки'!H18</x:f>
        <x:v>0.0005625245948658544</x:v>
      </x:c>
      <x:c r="G112" s="14" t="n">
        <x:f>IF(I112="Есть цена",IF(AND(ISNUMBER(E112),E112&gt;0,F112&gt;0),E112/F112-1,NA()),"")</x:f>
        <x:v>-0.022355812957200905</x:v>
      </x:c>
      <x:c r="H112" s="14" t="n">
        <x:f>IF(AND(I112="Есть цена",I108="Есть цена"),IF(AND(E112&gt;0,E108&gt;0),E112/E108-1,NA()),"")</x:f>
        <x:v>0.01049522216896448</x:v>
      </x:c>
      <x:c r="I112" s="2" t="str">
        <x:v>Есть цена</x:v>
      </x:c>
      <x:c r="J112" s="2" t="n">
        <x:v>447852841</x:v>
      </x:c>
      <x:c r="K112" s="9" t="n">
        <x:v>46282.731157407405</x:v>
      </x:c>
      <x:c r="L112" s="2" t="n">
        <x:v>37</x:v>
      </x:c>
      <x:c r="M112" s="2"/>
      <x:c r="N112" s="2" t="str">
        <x:v>HMh9syEn37waF4hNYcyMuaPRv6xFTpTdb3MqMEMNppSR</x:v>
      </x:c>
      <x:c r="O112" s="2" t="str">
        <x:v>https://solscan.io/tx/3JbRN2Em39tyjfxqFTrZeL64vbisrtjDLJ9tweoq5ZgmjsijCTKva1pG2SXghAk7NhdvYABnyh8nHFpeGnANMMwt</x:v>
      </x:c>
      <x:c r="P112" s="2" t="str">
        <x:v>ok</x:v>
      </x:c>
      <x:c r="Q112" s="2" t="str"/>
      <x:c r="R112" s="14" t="str">
        <x:f>IF(AND(C112="Нулевой остаток",I112="Есть цена"),G112,"")</x:f>
      </x:c>
      <x:c r="S112" s="14" t="n">
        <x:f>IF(AND(C112="Докупка",I112="Есть цена"),G112,"")</x:f>
        <x:v>-0.022355812957200905</x:v>
      </x:c>
    </x:row>
    <x:row r="113" ht="21" customHeight="1">
      <x:c r="A113" s="2" t="n">
        <x:v>11</x:v>
      </x:c>
      <x:c r="B113" s="2" t="n">
        <x:v>300</x:v>
      </x:c>
      <x:c r="C113" s="2" t="str">
        <x:f>'Покупки'!C18</x:f>
        <x:v>Докупка</x:v>
      </x:c>
      <x:c r="D113" s="9" t="n">
        <x:v>46282.73297453704</x:v>
      </x:c>
      <x:c r="E113" s="12" t="n">
        <x:v>0.000549986868229468</x:v>
      </x:c>
      <x:c r="F113" s="12" t="n">
        <x:f>'Покупки'!H18</x:f>
        <x:v>0.0005625245948658544</x:v>
      </x:c>
      <x:c r="G113" s="14" t="n">
        <x:f>IF(I113="Есть цена",IF(AND(ISNUMBER(E113),E113&gt;0,F113&gt;0),E113/F113-1,NA()),"")</x:f>
        <x:v>-0.022288317259045898</x:v>
      </x:c>
      <x:c r="H113" s="14" t="n">
        <x:f>IF(AND(I113="Есть цена",I108="Есть цена"),IF(AND(E113&gt;0,E108&gt;0),E113/E108-1,NA()),"")</x:f>
        <x:v>0.010564985873803723</x:v>
      </x:c>
      <x:c r="I113" s="2" t="str">
        <x:v>Есть цена</x:v>
      </x:c>
      <x:c r="J113" s="2" t="n">
        <x:v>447853062</x:v>
      </x:c>
      <x:c r="K113" s="9" t="n">
        <x:v>46282.731990740744</x:v>
      </x:c>
      <x:c r="L113" s="2" t="n">
        <x:v>85</x:v>
      </x:c>
      <x:c r="M113" s="2"/>
      <x:c r="N113" s="2" t="str">
        <x:v>HMh9syEn37waF4hNYcyMuaPRv6xFTpTdb3MqMEMNppSR</x:v>
      </x:c>
      <x:c r="O113" s="2" t="str">
        <x:v>https://solscan.io/tx/2sG9bnBEp5EVGEkB9CBs2YAKzBWN486KD4EGrdj7qTVXkkjsakWxh2KwkkxWiTBSnHaYR4jLbV6ndHHKkAiD3CzT</x:v>
      </x:c>
      <x:c r="P113" s="2" t="str">
        <x:v>ok</x:v>
      </x:c>
      <x:c r="Q113" s="2" t="str"/>
      <x:c r="R113" s="14" t="str">
        <x:f>IF(AND(C113="Нулевой остаток",I113="Есть цена"),G113,"")</x:f>
      </x:c>
      <x:c r="S113" s="14" t="n">
        <x:f>IF(AND(C113="Докупка",I113="Есть цена"),G113,"")</x:f>
        <x:v>-0.022288317259045898</x:v>
      </x:c>
    </x:row>
    <x:row r="114" ht="21" customHeight="1">
      <x:c r="A114" s="2" t="n">
        <x:v>11</x:v>
      </x:c>
      <x:c r="B114" s="2" t="n">
        <x:v>900</x:v>
      </x:c>
      <x:c r="C114" s="2" t="str">
        <x:f>'Покупки'!C18</x:f>
        <x:v>Докупка</x:v>
      </x:c>
      <x:c r="D114" s="9" t="n">
        <x:v>46282.73991898148</x:v>
      </x:c>
      <x:c r="E114" s="12" t="n">
        <x:v>0.0005217684291604701</x:v>
      </x:c>
      <x:c r="F114" s="12" t="n">
        <x:f>'Покупки'!H18</x:f>
        <x:v>0.0005625245948658544</x:v>
      </x:c>
      <x:c r="G114" s="14" t="n">
        <x:f>IF(I114="Есть цена",IF(AND(ISNUMBER(E114),E114&gt;0,F114&gt;0),E114/F114-1,NA()),"")</x:f>
        <x:v>-0.07245223778189369</x:v>
      </x:c>
      <x:c r="H114" s="14" t="n">
        <x:f>IF(AND(I114="Есть цена",I108="Есть цена"),IF(AND(E114&gt;0,E108&gt;0),E114/E108-1,NA()),"")</x:f>
        <x:v>-0.041284554772401005</x:v>
      </x:c>
      <x:c r="I114" s="2" t="str">
        <x:v>Есть цена</x:v>
      </x:c>
      <x:c r="J114" s="2" t="n">
        <x:v>447855062</x:v>
      </x:c>
      <x:c r="K114" s="9" t="n">
        <x:v>46282.73931712963</x:v>
      </x:c>
      <x:c r="L114" s="2" t="n">
        <x:v>52</x:v>
      </x:c>
      <x:c r="M114" s="2"/>
      <x:c r="N114" s="2" t="str">
        <x:v>HMh9syEn37waF4hNYcyMuaPRv6xFTpTdb3MqMEMNppSR</x:v>
      </x:c>
      <x:c r="O114" s="2" t="str">
        <x:v>https://solscan.io/tx/2WNhSuqxw3cwSuBDAXjyGS1SmTgj4Hv1wMRZ2pNm5JScL2qz5U8tyTyvKZgJfjioyLKA7ecvMbWah9wbhpXcpyr6</x:v>
      </x:c>
      <x:c r="P114" s="2" t="str">
        <x:v>ok</x:v>
      </x:c>
      <x:c r="Q114" s="2" t="str"/>
      <x:c r="R114" s="14" t="str">
        <x:f>IF(AND(C114="Нулевой остаток",I114="Есть цена"),G114,"")</x:f>
      </x:c>
      <x:c r="S114" s="14" t="n">
        <x:f>IF(AND(C114="Докупка",I114="Есть цена"),G114,"")</x:f>
        <x:v>-0.07245223778189369</x:v>
      </x:c>
    </x:row>
    <x:row r="115" ht="21" customHeight="1">
      <x:c r="A115" s="2" t="n">
        <x:v>11</x:v>
      </x:c>
      <x:c r="B115" s="2" t="n">
        <x:v>3600</x:v>
      </x:c>
      <x:c r="C115" s="2" t="str">
        <x:f>'Покупки'!C18</x:f>
        <x:v>Докупка</x:v>
      </x:c>
      <x:c r="D115" s="9" t="n">
        <x:v>46282.77116898148</x:v>
      </x:c>
      <x:c r="E115" s="12" t="n">
        <x:v>0.0005197266503492787</x:v>
      </x:c>
      <x:c r="F115" s="12" t="n">
        <x:f>'Покупки'!H18</x:f>
        <x:v>0.0005625245948658544</x:v>
      </x:c>
      <x:c r="G115" s="14" t="n">
        <x:f>IF(I115="Есть цена",IF(AND(ISNUMBER(E115),E115&gt;0,F115&gt;0),E115/F115-1,NA()),"")</x:f>
        <x:v>-0.07608190807511572</x:v>
      </x:c>
      <x:c r="H115" s="14" t="n">
        <x:f>IF(AND(I115="Есть цена",I108="Есть цена"),IF(AND(E115&gt;0,E108&gt;0),E115/E108-1,NA()),"")</x:f>
        <x:v>-0.04503619011986193</x:v>
      </x:c>
      <x:c r="I115" s="2" t="str">
        <x:v>Есть цена</x:v>
      </x:c>
      <x:c r="J115" s="2" t="n">
        <x:v>447863736</x:v>
      </x:c>
      <x:c r="K115" s="9" t="n">
        <x:v>46282.771099537036</x:v>
      </x:c>
      <x:c r="L115" s="2" t="n">
        <x:v>6</x:v>
      </x:c>
      <x:c r="M115" s="2"/>
      <x:c r="N115" s="2" t="str">
        <x:v>HMh9syEn37waF4hNYcyMuaPRv6xFTpTdb3MqMEMNppSR</x:v>
      </x:c>
      <x:c r="O115" s="2" t="str">
        <x:v>https://solscan.io/tx/22Ggt7aaY4xuNhnBKc2Pt2aw9CjoYzHEAjUjNGLDpUSADdSPH7iSaEp6YMHHbDh4Hkm1BrXTzAExQBKMThWWwc8Z</x:v>
      </x:c>
      <x:c r="P115" s="2" t="str">
        <x:v>ok</x:v>
      </x:c>
      <x:c r="Q115" s="2" t="str"/>
      <x:c r="R115" s="14" t="str">
        <x:f>IF(AND(C115="Нулевой остаток",I115="Есть цена"),G115,"")</x:f>
      </x:c>
      <x:c r="S115" s="14" t="n">
        <x:f>IF(AND(C115="Докупка",I115="Есть цена"),G115,"")</x:f>
        <x:v>-0.07608190807511572</x:v>
      </x:c>
    </x:row>
    <x:row r="116" ht="21" customHeight="1">
      <x:c r="A116" s="2" t="n">
        <x:v>11</x:v>
      </x:c>
      <x:c r="B116" s="2" t="n">
        <x:v>21600</x:v>
      </x:c>
      <x:c r="C116" s="2" t="str">
        <x:f>'Покупки'!C18</x:f>
        <x:v>Докупка</x:v>
      </x:c>
      <x:c r="D116" s="9" t="n">
        <x:v>46282.97950231482</x:v>
      </x:c>
      <x:c r="E116" s="12"/>
      <x:c r="F116" s="12" t="n">
        <x:f>'Покупки'!H18</x:f>
        <x:v>0.0005625245948658544</x:v>
      </x:c>
      <x:c r="G116" s="14" t="str">
        <x:f>IF(I116="Есть цена",IF(AND(ISNUMBER(E116),E116&gt;0,F116&gt;0),E116/F116-1,NA()),"")</x:f>
      </x:c>
      <x:c r="H116" s="14" t="str">
        <x:f>IF(AND(I116="Есть цена",I108="Есть цена"),IF(AND(E116&gt;0,E108&gt;0),E116/E108-1,NA()),"")</x:f>
      </x:c>
      <x:c r="I116" s="2" t="str">
        <x:v>Ещё рано</x:v>
      </x:c>
      <x:c r="J116" s="2"/>
      <x:c r="K116" s="9"/>
      <x:c r="L116" s="2"/>
      <x:c r="M116" s="2"/>
      <x:c r="N116" s="2"/>
      <x:c r="O116" s="2"/>
      <x:c r="P116" s="2" t="str">
        <x:v>future</x:v>
      </x:c>
      <x:c r="Q116" s="2" t="str"/>
      <x:c r="R116" s="14" t="str">
        <x:f>IF(AND(C116="Нулевой остаток",I116="Есть цена"),G116,"")</x:f>
      </x:c>
      <x:c r="S116" s="14" t="str">
        <x:f>IF(AND(C116="Докупка",I116="Есть цена"),G116,"")</x:f>
      </x:c>
    </x:row>
    <x:row r="117" ht="21" customHeight="1">
      <x:c r="A117" s="2" t="n">
        <x:v>11</x:v>
      </x:c>
      <x:c r="B117" s="2" t="n">
        <x:v>86400</x:v>
      </x:c>
      <x:c r="C117" s="2" t="str">
        <x:f>'Покупки'!C18</x:f>
        <x:v>Докупка</x:v>
      </x:c>
      <x:c r="D117" s="9" t="n">
        <x:v>46283.72950231482</x:v>
      </x:c>
      <x:c r="E117" s="12"/>
      <x:c r="F117" s="12" t="n">
        <x:f>'Покупки'!H18</x:f>
        <x:v>0.0005625245948658544</x:v>
      </x:c>
      <x:c r="G117" s="14" t="str">
        <x:f>IF(I117="Есть цена",IF(AND(ISNUMBER(E117),E117&gt;0,F117&gt;0),E117/F117-1,NA()),"")</x:f>
      </x:c>
      <x:c r="H117" s="14" t="str">
        <x:f>IF(AND(I117="Есть цена",I108="Есть цена"),IF(AND(E117&gt;0,E108&gt;0),E117/E108-1,NA()),"")</x:f>
      </x:c>
      <x:c r="I117" s="2" t="str">
        <x:v>Ещё рано</x:v>
      </x:c>
      <x:c r="J117" s="2"/>
      <x:c r="K117" s="9"/>
      <x:c r="L117" s="2"/>
      <x:c r="M117" s="2"/>
      <x:c r="N117" s="2"/>
      <x:c r="O117" s="2"/>
      <x:c r="P117" s="2" t="str">
        <x:v>future</x:v>
      </x:c>
      <x:c r="Q117" s="2" t="str"/>
      <x:c r="R117" s="14" t="str">
        <x:f>IF(AND(C117="Нулевой остаток",I117="Есть цена"),G117,"")</x:f>
      </x:c>
      <x:c r="S117" s="14" t="str">
        <x:f>IF(AND(C117="Докупка",I117="Есть цена"),G117,"")</x:f>
      </x:c>
    </x:row>
    <x:row r="118" ht="21" customHeight="1">
      <x:c r="A118" s="2" t="n">
        <x:v>12</x:v>
      </x:c>
      <x:c r="B118" s="2" t="n">
        <x:v>5</x:v>
      </x:c>
      <x:c r="C118" s="2" t="str">
        <x:f>'Покупки'!C19</x:f>
        <x:v>Докупка</x:v>
      </x:c>
      <x:c r="D118" s="9" t="n">
        <x:v>46282.729467592595</x:v>
      </x:c>
      <x:c r="E118" s="12" t="n">
        <x:v>0.0013963276891941984</x:v>
      </x:c>
      <x:c r="F118" s="12" t="n">
        <x:f>'Покупки'!H19</x:f>
        <x:v>0.0013557153630012974</x:v>
      </x:c>
      <x:c r="G118" s="14" t="n">
        <x:f>IF(I118="Есть цена",IF(AND(ISNUMBER(E118),E118&gt;0,F118&gt;0),E118/F118-1,NA()),"")</x:f>
        <x:v>0.029956381185349157</x:v>
      </x:c>
      <x:c r="H118" s="14" t="n">
        <x:f>IF(AND(I118="Есть цена",I118="Есть цена"),IF(AND(E118&gt;0,E118&gt;0),E118/E118-1,NA()),"")</x:f>
        <x:v>0</x:v>
      </x:c>
      <x:c r="I118" s="2" t="str">
        <x:v>Есть цена</x:v>
      </x:c>
      <x:c r="J118" s="2" t="n">
        <x:v>447852386</x:v>
      </x:c>
      <x:c r="K118" s="9" t="n">
        <x:v>46282.72945601852</x:v>
      </x:c>
      <x:c r="L118" s="2" t="n">
        <x:v>1</x:v>
      </x:c>
      <x:c r="M118" s="2" t="n">
        <x:v>1</x:v>
      </x:c>
      <x:c r="N118" s="2" t="str">
        <x:v>nEnhtdXrHocxDQnmfTWgaLodJP8jxFbY6958iv28GzV</x:v>
      </x:c>
      <x:c r="O118" s="2" t="str">
        <x:v>https://solscan.io/tx/2QbmboHNLjjNpdhV1wTsm9QN4X12SM4mdMWRXsWbqECZiX9Su5h8sWTvqKorDNbrfDi3UgFaEUc2qjuASBDxAFMn</x:v>
      </x:c>
      <x:c r="P118" s="2" t="str">
        <x:v>ok</x:v>
      </x:c>
      <x:c r="Q118" s="2" t="str">
        <x:v>3ucNos4NbumPLZNWztqGHNFFgkHeRMBQAVemeeomsUxv; slot 447852386; age 1s</x:v>
      </x:c>
      <x:c r="R118" s="14" t="str">
        <x:f>IF(AND(C118="Нулевой остаток",I118="Есть цена"),G118,"")</x:f>
      </x:c>
      <x:c r="S118" s="14" t="n">
        <x:f>IF(AND(C118="Докупка",I118="Есть цена"),G118,"")</x:f>
        <x:v>0.029956381185349157</x:v>
      </x:c>
    </x:row>
    <x:row r="119" ht="21" customHeight="1">
      <x:c r="A119" s="2" t="n">
        <x:v>12</x:v>
      </x:c>
      <x:c r="B119" s="2" t="n">
        <x:v>15</x:v>
      </x:c>
      <x:c r="C119" s="2" t="str">
        <x:f>'Покупки'!C19</x:f>
        <x:v>Докупка</x:v>
      </x:c>
      <x:c r="D119" s="9" t="n">
        <x:v>46282.729583333334</x:v>
      </x:c>
      <x:c r="E119" s="12" t="n">
        <x:v>0.00147037490615829</x:v>
      </x:c>
      <x:c r="F119" s="12" t="n">
        <x:f>'Покупки'!H19</x:f>
        <x:v>0.0013557153630012974</x:v>
      </x:c>
      <x:c r="G119" s="14" t="n">
        <x:f>IF(I119="Есть цена",IF(AND(ISNUMBER(E119),E119&gt;0,F119&gt;0),E119/F119-1,NA()),"")</x:f>
        <x:v>0.08457493828435947</x:v>
      </x:c>
      <x:c r="H119" s="14" t="n">
        <x:f>IF(AND(I119="Есть цена",I118="Есть цена"),IF(AND(E119&gt;0,E118&gt;0),E119/E118-1,NA()),"")</x:f>
        <x:v>0.05302997107134888</x:v>
      </x:c>
      <x:c r="I119" s="2" t="str">
        <x:v>Есть цена</x:v>
      </x:c>
      <x:c r="J119" s="2" t="n">
        <x:v>447852417</x:v>
      </x:c>
      <x:c r="K119" s="9" t="n">
        <x:v>46282.72957175926</x:v>
      </x:c>
      <x:c r="L119" s="2" t="n">
        <x:v>1</x:v>
      </x:c>
      <x:c r="M119" s="2" t="n">
        <x:v>9</x:v>
      </x:c>
      <x:c r="N119" s="2" t="str">
        <x:v>nEnhtdXrHocxDQnmfTWgaLodJP8jxFbY6958iv28GzV</x:v>
      </x:c>
      <x:c r="O119" s="2" t="str">
        <x:v>https://solscan.io/tx/3erh1rXF4CtzbEFiDmuhW7A6jJYd2PQLGq1qHBFaAvM7k3pa8X5yTTW7LrEkrGgxHtPiCKzPVJcb9kkf7Drvt6Bh</x:v>
      </x:c>
      <x:c r="P119" s="2" t="str">
        <x:v>ok</x:v>
      </x:c>
      <x:c r="Q119" s="2" t="str">
        <x:v>3ucNos4NbumPLZNWztqGHNFFgkHeRMBQAVemeeomsUxv; slot 447852392; age 9s</x:v>
      </x:c>
      <x:c r="R119" s="14" t="str">
        <x:f>IF(AND(C119="Нулевой остаток",I119="Есть цена"),G119,"")</x:f>
      </x:c>
      <x:c r="S119" s="14" t="n">
        <x:f>IF(AND(C119="Докупка",I119="Есть цена"),G119,"")</x:f>
        <x:v>0.08457493828435947</x:v>
      </x:c>
    </x:row>
    <x:row r="120" ht="21" customHeight="1">
      <x:c r="A120" s="2" t="n">
        <x:v>12</x:v>
      </x:c>
      <x:c r="B120" s="2" t="n">
        <x:v>30</x:v>
      </x:c>
      <x:c r="C120" s="2" t="str">
        <x:f>'Покупки'!C19</x:f>
        <x:v>Докупка</x:v>
      </x:c>
      <x:c r="D120" s="9" t="n">
        <x:v>46282.72975694444</x:v>
      </x:c>
      <x:c r="E120" s="12" t="n">
        <x:v>0.0015999402198051374</x:v>
      </x:c>
      <x:c r="F120" s="12" t="n">
        <x:f>'Покупки'!H19</x:f>
        <x:v>0.0013557153630012974</x:v>
      </x:c>
      <x:c r="G120" s="14" t="n">
        <x:f>IF(I120="Есть цена",IF(AND(ISNUMBER(E120),E120&gt;0,F120&gt;0),E120/F120-1,NA()),"")</x:f>
        <x:v>0.18014464058530133</x:v>
      </x:c>
      <x:c r="H120" s="14" t="n">
        <x:f>IF(AND(I120="Есть цена",I118="Есть цена"),IF(AND(E120&gt;0,E118&gt;0),E120/E118-1,NA()),"")</x:f>
        <x:v>0.14582001931684174</x:v>
      </x:c>
      <x:c r="I120" s="2" t="str">
        <x:v>Есть цена</x:v>
      </x:c>
      <x:c r="J120" s="2" t="n">
        <x:v>447852467</x:v>
      </x:c>
      <x:c r="K120" s="9" t="n">
        <x:v>46282.72975694444</x:v>
      </x:c>
      <x:c r="L120" s="2" t="n">
        <x:v>0</x:v>
      </x:c>
      <x:c r="M120" s="2" t="n">
        <x:v>3</x:v>
      </x:c>
      <x:c r="N120" s="2" t="str">
        <x:v>nEnhtdXrHocxDQnmfTWgaLodJP8jxFbY6958iv28GzV</x:v>
      </x:c>
      <x:c r="O120" s="2" t="str">
        <x:v>https://solscan.io/tx/3YHnuqoX4P2XwLv5MsPehbPNNLmrJX9ZH2MSb7r1v1r1TQt7QWTKBmibVjyLWYiJfEKyzyaGw1YwNHMoBX6Q63Xa</x:v>
      </x:c>
      <x:c r="P120" s="2" t="str">
        <x:v>ok</x:v>
      </x:c>
      <x:c r="Q120" s="2" t="str">
        <x:v>3ucNos4NbumPLZNWztqGHNFFgkHeRMBQAVemeeomsUxv; slot 447852456; age 3s</x:v>
      </x:c>
      <x:c r="R120" s="14" t="str">
        <x:f>IF(AND(C120="Нулевой остаток",I120="Есть цена"),G120,"")</x:f>
      </x:c>
      <x:c r="S120" s="14" t="n">
        <x:f>IF(AND(C120="Докупка",I120="Есть цена"),G120,"")</x:f>
        <x:v>0.18014464058530133</x:v>
      </x:c>
    </x:row>
    <x:row r="121" ht="21" customHeight="1">
      <x:c r="A121" s="2" t="n">
        <x:v>12</x:v>
      </x:c>
      <x:c r="B121" s="2" t="n">
        <x:v>60</x:v>
      </x:c>
      <x:c r="C121" s="2" t="str">
        <x:f>'Покупки'!C19</x:f>
        <x:v>Докупка</x:v>
      </x:c>
      <x:c r="D121" s="9" t="n">
        <x:v>46282.730104166665</x:v>
      </x:c>
      <x:c r="E121" s="12" t="n">
        <x:v>0.001602919319873593</x:v>
      </x:c>
      <x:c r="F121" s="12" t="n">
        <x:f>'Покупки'!H19</x:f>
        <x:v>0.0013557153630012974</x:v>
      </x:c>
      <x:c r="G121" s="14" t="n">
        <x:f>IF(I121="Есть цена",IF(AND(ISNUMBER(E121),E121&gt;0,F121&gt;0),E121/F121-1,NA()),"")</x:f>
        <x:v>0.1823420782995575</x:v>
      </x:c>
      <x:c r="H121" s="14" t="n">
        <x:f>IF(AND(I121="Есть цена",I118="Есть цена"),IF(AND(E121&gt;0,E118&gt;0),E121/E118-1,NA()),"")</x:f>
        <x:v>0.14795354434217067</x:v>
      </x:c>
      <x:c r="I121" s="2" t="str">
        <x:v>Есть цена</x:v>
      </x:c>
      <x:c r="J121" s="2" t="n">
        <x:v>447852553</x:v>
      </x:c>
      <x:c r="K121" s="9" t="n">
        <x:v>46282.73008101852</x:v>
      </x:c>
      <x:c r="L121" s="2" t="n">
        <x:v>2</x:v>
      </x:c>
      <x:c r="M121" s="2" t="n">
        <x:v>2</x:v>
      </x:c>
      <x:c r="N121" s="2" t="str">
        <x:v>nEnhtdXrHocxDQnmfTWgaLodJP8jxFbY6958iv28GzV</x:v>
      </x:c>
      <x:c r="O121" s="2" t="str">
        <x:v>https://solscan.io/tx/4Rjp3K7PpzjdoxMecHeYRBmySU7FRw82wVDqCoZneWpKeumNUDspm76cEZbjbzZjZ4RWZPWxzNY6ama9Q9gzrhnX</x:v>
      </x:c>
      <x:c r="P121" s="2" t="str">
        <x:v>ok</x:v>
      </x:c>
      <x:c r="Q121" s="2" t="str">
        <x:v>3ucNos4NbumPLZNWztqGHNFFgkHeRMBQAVemeeomsUxv; slot 447852554; age 2s</x:v>
      </x:c>
      <x:c r="R121" s="14" t="str">
        <x:f>IF(AND(C121="Нулевой остаток",I121="Есть цена"),G121,"")</x:f>
      </x:c>
      <x:c r="S121" s="14" t="n">
        <x:f>IF(AND(C121="Докупка",I121="Есть цена"),G121,"")</x:f>
        <x:v>0.1823420782995575</x:v>
      </x:c>
    </x:row>
    <x:row r="122" ht="21" customHeight="1">
      <x:c r="A122" s="2" t="n">
        <x:v>12</x:v>
      </x:c>
      <x:c r="B122" s="2" t="n">
        <x:v>180</x:v>
      </x:c>
      <x:c r="C122" s="2" t="str">
        <x:f>'Покупки'!C19</x:f>
        <x:v>Докупка</x:v>
      </x:c>
      <x:c r="D122" s="9" t="n">
        <x:v>46282.73149305556</x:v>
      </x:c>
      <x:c r="E122" s="12" t="n">
        <x:v>0.0014630442980557335</x:v>
      </x:c>
      <x:c r="F122" s="12" t="n">
        <x:f>'Покупки'!H19</x:f>
        <x:v>0.0013557153630012974</x:v>
      </x:c>
      <x:c r="G122" s="14" t="n">
        <x:f>IF(I122="Есть цена",IF(AND(ISNUMBER(E122),E122&gt;0,F122&gt;0),E122/F122-1,NA()),"")</x:f>
        <x:v>0.07916775009234245</x:v>
      </x:c>
      <x:c r="H122" s="14" t="n">
        <x:f>IF(AND(I122="Есть цена",I118="Есть цена"),IF(AND(E122&gt;0,E118&gt;0),E122/E118-1,NA()),"")</x:f>
        <x:v>0.04778005147204123</x:v>
      </x:c>
      <x:c r="I122" s="2" t="str">
        <x:v>Есть цена</x:v>
      </x:c>
      <x:c r="J122" s="2" t="n">
        <x:v>447852932</x:v>
      </x:c>
      <x:c r="K122" s="9" t="n">
        <x:v>46282.73149305556</x:v>
      </x:c>
      <x:c r="L122" s="2" t="n">
        <x:v>0</x:v>
      </x:c>
      <x:c r="M122" s="2" t="n">
        <x:v>0</x:v>
      </x:c>
      <x:c r="N122" s="2" t="str">
        <x:v>nEnhtdXrHocxDQnmfTWgaLodJP8jxFbY6958iv28GzV</x:v>
      </x:c>
      <x:c r="O122" s="2" t="str">
        <x:v>https://solscan.io/tx/5WoBkawFVgWyPjNpQrxQ5MSXUZzSskzBfjtngZ6rL7dA22MXGxZ11CWXhwUZ5nWNZUuT4AC2JUKDCiDVf9iRpLDq</x:v>
      </x:c>
      <x:c r="P122" s="2" t="str">
        <x:v>ok</x:v>
      </x:c>
      <x:c r="Q122" s="2" t="str">
        <x:v>3ucNos4NbumPLZNWztqGHNFFgkHeRMBQAVemeeomsUxv; slot 447852933; age 0s</x:v>
      </x:c>
      <x:c r="R122" s="14" t="str">
        <x:f>IF(AND(C122="Нулевой остаток",I122="Есть цена"),G122,"")</x:f>
      </x:c>
      <x:c r="S122" s="14" t="n">
        <x:f>IF(AND(C122="Докупка",I122="Есть цена"),G122,"")</x:f>
        <x:v>0.07916775009234245</x:v>
      </x:c>
    </x:row>
    <x:row r="123" ht="21" customHeight="1">
      <x:c r="A123" s="2" t="n">
        <x:v>12</x:v>
      </x:c>
      <x:c r="B123" s="2" t="n">
        <x:v>300</x:v>
      </x:c>
      <x:c r="C123" s="2" t="str">
        <x:f>'Покупки'!C19</x:f>
        <x:v>Докупка</x:v>
      </x:c>
      <x:c r="D123" s="9" t="n">
        <x:v>46282.732881944445</x:v>
      </x:c>
      <x:c r="E123" s="12" t="n">
        <x:v>0.0015190768447433348</x:v>
      </x:c>
      <x:c r="F123" s="12" t="n">
        <x:f>'Покупки'!H19</x:f>
        <x:v>0.0013557153630012974</x:v>
      </x:c>
      <x:c r="G123" s="14" t="n">
        <x:f>IF(I123="Есть цена",IF(AND(ISNUMBER(E123),E123&gt;0,F123&gt;0),E123/F123-1,NA()),"")</x:f>
        <x:v>0.1204983628572196</x:v>
      </x:c>
      <x:c r="H123" s="14" t="n">
        <x:f>IF(AND(I123="Есть цена",I118="Есть цена"),IF(AND(E123&gt;0,E118&gt;0),E123/E118-1,NA()),"")</x:f>
        <x:v>0.08790855935827868</x:v>
      </x:c>
      <x:c r="I123" s="2" t="str">
        <x:v>Есть цена</x:v>
      </x:c>
      <x:c r="J123" s="2" t="n">
        <x:v>447853286</x:v>
      </x:c>
      <x:c r="K123" s="9" t="n">
        <x:v>46282.73280092593</x:v>
      </x:c>
      <x:c r="L123" s="2" t="n">
        <x:v>7</x:v>
      </x:c>
      <x:c r="M123" s="2" t="n">
        <x:v>0</x:v>
      </x:c>
      <x:c r="N123" s="2" t="str">
        <x:v>nEnhtdXrHocxDQnmfTWgaLodJP8jxFbY6958iv28GzV</x:v>
      </x:c>
      <x:c r="O123" s="2" t="str">
        <x:v>https://solscan.io/tx/5rWeb3S1oLKsn2AXEedcktxaYKZzU4mLvuhT9n31yM9KmWYCxj4SidBFDt6uPuGGQBzB1Dhu7AbtEjRaYWntrwjo</x:v>
      </x:c>
      <x:c r="P123" s="2" t="str">
        <x:v>ok</x:v>
      </x:c>
      <x:c r="Q123" s="2" t="str">
        <x:v>3ucNos4NbumPLZNWztqGHNFFgkHeRMBQAVemeeomsUxv; slot 447853310; age 0s</x:v>
      </x:c>
      <x:c r="R123" s="14" t="str">
        <x:f>IF(AND(C123="Нулевой остаток",I123="Есть цена"),G123,"")</x:f>
      </x:c>
      <x:c r="S123" s="14" t="n">
        <x:f>IF(AND(C123="Докупка",I123="Есть цена"),G123,"")</x:f>
        <x:v>0.1204983628572196</x:v>
      </x:c>
    </x:row>
    <x:row r="124" ht="21" customHeight="1">
      <x:c r="A124" s="2" t="n">
        <x:v>12</x:v>
      </x:c>
      <x:c r="B124" s="2" t="n">
        <x:v>900</x:v>
      </x:c>
      <x:c r="C124" s="2" t="str">
        <x:f>'Покупки'!C19</x:f>
        <x:v>Докупка</x:v>
      </x:c>
      <x:c r="D124" s="9" t="n">
        <x:v>46282.73982638889</x:v>
      </x:c>
      <x:c r="E124" s="12" t="n">
        <x:v>0.0016029270718280557</x:v>
      </x:c>
      <x:c r="F124" s="12" t="n">
        <x:f>'Покупки'!H19</x:f>
        <x:v>0.0013557153630012974</x:v>
      </x:c>
      <x:c r="G124" s="14" t="n">
        <x:f>IF(I124="Есть цена",IF(AND(ISNUMBER(E124),E124&gt;0,F124&gt;0),E124/F124-1,NA()),"")</x:f>
        <x:v>0.1823477962803921</x:v>
      </x:c>
      <x:c r="H124" s="14" t="n">
        <x:f>IF(AND(I124="Есть цена",I118="Есть цена"),IF(AND(E124&gt;0,E118&gt;0),E124/E118-1,NA()),"")</x:f>
        <x:v>0.14795909601497836</x:v>
      </x:c>
      <x:c r="I124" s="2" t="str">
        <x:v>Есть цена</x:v>
      </x:c>
      <x:c r="J124" s="2" t="n">
        <x:v>447855196</x:v>
      </x:c>
      <x:c r="K124" s="9" t="n">
        <x:v>46282.73981481481</x:v>
      </x:c>
      <x:c r="L124" s="2" t="n">
        <x:v>1</x:v>
      </x:c>
      <x:c r="M124" s="2" t="n">
        <x:v>2</x:v>
      </x:c>
      <x:c r="N124" s="2" t="str">
        <x:v>nEnhtdXrHocxDQnmfTWgaLodJP8jxFbY6958iv28GzV</x:v>
      </x:c>
      <x:c r="O124" s="2" t="str">
        <x:v>https://solscan.io/tx/5wWyZHNX8tanT7ZZvS2sE2ocoXnhLxHdoAi7DrH21DGwc2c6wymnEt6dGaw8YyeTH5aNV2hSXmMg86tWaCo42Tqb</x:v>
      </x:c>
      <x:c r="P124" s="2" t="str">
        <x:v>ok</x:v>
      </x:c>
      <x:c r="Q124" s="2" t="str">
        <x:v>3ucNos4NbumPLZNWztqGHNFFgkHeRMBQAVemeeomsUxv; slot 447855193; age 2s</x:v>
      </x:c>
      <x:c r="R124" s="14" t="str">
        <x:f>IF(AND(C124="Нулевой остаток",I124="Есть цена"),G124,"")</x:f>
      </x:c>
      <x:c r="S124" s="14" t="n">
        <x:f>IF(AND(C124="Докупка",I124="Есть цена"),G124,"")</x:f>
        <x:v>0.1823477962803921</x:v>
      </x:c>
    </x:row>
    <x:row r="125" ht="21" customHeight="1">
      <x:c r="A125" s="2" t="n">
        <x:v>12</x:v>
      </x:c>
      <x:c r="B125" s="2" t="n">
        <x:v>3600</x:v>
      </x:c>
      <x:c r="C125" s="2" t="str">
        <x:f>'Покупки'!C19</x:f>
        <x:v>Докупка</x:v>
      </x:c>
      <x:c r="D125" s="9" t="n">
        <x:v>46282.77107638889</x:v>
      </x:c>
      <x:c r="E125" s="12" t="n">
        <x:v>0.0013555828459373032</x:v>
      </x:c>
      <x:c r="F125" s="12" t="n">
        <x:f>'Покупки'!H19</x:f>
        <x:v>0.0013557153630012974</x:v>
      </x:c>
      <x:c r="G125" s="14" t="n">
        <x:f>IF(I125="Есть цена",IF(AND(ISNUMBER(E125),E125&gt;0,F125&gt;0),E125/F125-1,NA()),"")</x:f>
        <x:v>-0.00009774696636966063</x:v>
      </x:c>
      <x:c r="H125" s="14" t="n">
        <x:f>IF(AND(I125="Есть цена",I118="Есть цена"),IF(AND(E125&gt;0,E118&gt;0),E125/E118-1,NA()),"")</x:f>
        <x:v>-0.029180000921136595</x:v>
      </x:c>
      <x:c r="I125" s="2" t="str">
        <x:v>Есть цена</x:v>
      </x:c>
      <x:c r="J125" s="2" t="n">
        <x:v>447863696</x:v>
      </x:c>
      <x:c r="K125" s="9" t="n">
        <x:v>46282.77096064815</x:v>
      </x:c>
      <x:c r="L125" s="2" t="n">
        <x:v>10</x:v>
      </x:c>
      <x:c r="M125" s="2" t="n">
        <x:v>6</x:v>
      </x:c>
      <x:c r="N125" s="2" t="str">
        <x:v>nEnhtdXrHocxDQnmfTWgaLodJP8jxFbY6958iv28GzV</x:v>
      </x:c>
      <x:c r="O125" s="2" t="str">
        <x:v>https://solscan.io/tx/5o99hYnhY44VbrJsviSKWNtqEcJZ1TY73kmF683bG3nAo6hNHxHutT1p4QMmwLg5pK4qid9sbANsuvK76uYQvkiQ</x:v>
      </x:c>
      <x:c r="P125" s="2" t="str">
        <x:v>ok</x:v>
      </x:c>
      <x:c r="Q125" s="2" t="str">
        <x:v>3ucNos4NbumPLZNWztqGHNFFgkHeRMBQAVemeeomsUxv; slot 447863708; age 6s</x:v>
      </x:c>
      <x:c r="R125" s="14" t="str">
        <x:f>IF(AND(C125="Нулевой остаток",I125="Есть цена"),G125,"")</x:f>
      </x:c>
      <x:c r="S125" s="14" t="n">
        <x:f>IF(AND(C125="Докупка",I125="Есть цена"),G125,"")</x:f>
        <x:v>-0.00009774696636966063</x:v>
      </x:c>
    </x:row>
    <x:row r="126" ht="21" customHeight="1">
      <x:c r="A126" s="2" t="n">
        <x:v>12</x:v>
      </x:c>
      <x:c r="B126" s="2" t="n">
        <x:v>21600</x:v>
      </x:c>
      <x:c r="C126" s="2" t="str">
        <x:f>'Покупки'!C19</x:f>
        <x:v>Докупка</x:v>
      </x:c>
      <x:c r="D126" s="9" t="n">
        <x:v>46282.979409722226</x:v>
      </x:c>
      <x:c r="E126" s="12"/>
      <x:c r="F126" s="12" t="n">
        <x:f>'Покупки'!H19</x:f>
        <x:v>0.0013557153630012974</x:v>
      </x:c>
      <x:c r="G126" s="14" t="str">
        <x:f>IF(I126="Есть цена",IF(AND(ISNUMBER(E126),E126&gt;0,F126&gt;0),E126/F126-1,NA()),"")</x:f>
      </x:c>
      <x:c r="H126" s="14" t="str">
        <x:f>IF(AND(I126="Есть цена",I118="Есть цена"),IF(AND(E126&gt;0,E118&gt;0),E126/E118-1,NA()),"")</x:f>
      </x:c>
      <x:c r="I126" s="2" t="str">
        <x:v>Ещё рано</x:v>
      </x:c>
      <x:c r="J126" s="2"/>
      <x:c r="K126" s="9"/>
      <x:c r="L126" s="2"/>
      <x:c r="M126" s="2"/>
      <x:c r="N126" s="2"/>
      <x:c r="O126" s="2"/>
      <x:c r="P126" s="2" t="str">
        <x:v>future</x:v>
      </x:c>
      <x:c r="Q126" s="2" t="str"/>
      <x:c r="R126" s="14" t="str">
        <x:f>IF(AND(C126="Нулевой остаток",I126="Есть цена"),G126,"")</x:f>
      </x:c>
      <x:c r="S126" s="14" t="str">
        <x:f>IF(AND(C126="Докупка",I126="Есть цена"),G126,"")</x:f>
      </x:c>
    </x:row>
    <x:row r="127" ht="21" customHeight="1">
      <x:c r="A127" s="2" t="n">
        <x:v>12</x:v>
      </x:c>
      <x:c r="B127" s="2" t="n">
        <x:v>86400</x:v>
      </x:c>
      <x:c r="C127" s="2" t="str">
        <x:f>'Покупки'!C19</x:f>
        <x:v>Докупка</x:v>
      </x:c>
      <x:c r="D127" s="9" t="n">
        <x:v>46283.729409722226</x:v>
      </x:c>
      <x:c r="E127" s="12"/>
      <x:c r="F127" s="12" t="n">
        <x:f>'Покупки'!H19</x:f>
        <x:v>0.0013557153630012974</x:v>
      </x:c>
      <x:c r="G127" s="14" t="str">
        <x:f>IF(I127="Есть цена",IF(AND(ISNUMBER(E127),E127&gt;0,F127&gt;0),E127/F127-1,NA()),"")</x:f>
      </x:c>
      <x:c r="H127" s="14" t="str">
        <x:f>IF(AND(I127="Есть цена",I118="Есть цена"),IF(AND(E127&gt;0,E118&gt;0),E127/E118-1,NA()),"")</x:f>
      </x:c>
      <x:c r="I127" s="2" t="str">
        <x:v>Ещё рано</x:v>
      </x:c>
      <x:c r="J127" s="2"/>
      <x:c r="K127" s="9"/>
      <x:c r="L127" s="2"/>
      <x:c r="M127" s="2"/>
      <x:c r="N127" s="2"/>
      <x:c r="O127" s="2"/>
      <x:c r="P127" s="2" t="str">
        <x:v>future</x:v>
      </x:c>
      <x:c r="Q127" s="2" t="str"/>
      <x:c r="R127" s="14" t="str">
        <x:f>IF(AND(C127="Нулевой остаток",I127="Есть цена"),G127,"")</x:f>
      </x:c>
      <x:c r="S127" s="14" t="str">
        <x:f>IF(AND(C127="Докупка",I127="Есть цена"),G127,"")</x:f>
      </x:c>
    </x:row>
    <x:row r="128" ht="21" customHeight="1">
      <x:c r="A128" s="2" t="n">
        <x:v>13</x:v>
      </x:c>
      <x:c r="B128" s="2" t="n">
        <x:v>5</x:v>
      </x:c>
      <x:c r="C128" s="2" t="str">
        <x:f>'Покупки'!C20</x:f>
        <x:v>Докупка</x:v>
      </x:c>
      <x:c r="D128" s="9" t="n">
        <x:v>46282.72939814815</x:v>
      </x:c>
      <x:c r="E128" s="12" t="n">
        <x:v>0.007667592203749533</x:v>
      </x:c>
      <x:c r="F128" s="12" t="n">
        <x:f>'Покупки'!H20</x:f>
        <x:v>0.007987494993122079</x:v>
      </x:c>
      <x:c r="G128" s="14" t="n">
        <x:f>IF(I128="Есть цена",IF(AND(ISNUMBER(E128),E128&gt;0,F128&gt;0),E128/F128-1,NA()),"")</x:f>
        <x:v>-0.04005045256967421</x:v>
      </x:c>
      <x:c r="H128" s="14" t="n">
        <x:f>IF(AND(I128="Есть цена",I128="Есть цена"),IF(AND(E128&gt;0,E128&gt;0),E128/E128-1,NA()),"")</x:f>
        <x:v>0</x:v>
      </x:c>
      <x:c r="I128" s="2" t="str">
        <x:v>Есть цена</x:v>
      </x:c>
      <x:c r="J128" s="2" t="n">
        <x:v>447852361</x:v>
      </x:c>
      <x:c r="K128" s="9" t="n">
        <x:v>46282.729363425926</x:v>
      </x:c>
      <x:c r="L128" s="2" t="n">
        <x:v>3</x:v>
      </x:c>
      <x:c r="M128" s="2" t="n">
        <x:v>222</x:v>
      </x:c>
      <x:c r="N128" s="2" t="str">
        <x:v>987VwvJZ5FRjWCY9ZwC2tRUGL8FbMT1aF4pUrT7XjPjD</x:v>
      </x:c>
      <x:c r="O128" s="2" t="str">
        <x:v>https://solscan.io/tx/3a2VMeB3gzxyRbMUMX28Zc4MxRZidt1vgv81z2tcBMQcjokDG2ks8vMn3CPR3q15TYNUneEFiT9zRbDfxVZsf8C1</x:v>
      </x:c>
      <x:c r="P128" s="2" t="str">
        <x:v>ok</x:v>
      </x:c>
      <x:c r="Q128" s="2" t="str">
        <x:v>61R1ndXxvsWXXkWSyNkCxnzwd3zUNB8Q2ibmkiLPC8ht; slot 447851662; age 222s</x:v>
      </x:c>
      <x:c r="R128" s="14" t="str">
        <x:f>IF(AND(C128="Нулевой остаток",I128="Есть цена"),G128,"")</x:f>
      </x:c>
      <x:c r="S128" s="14" t="n">
        <x:f>IF(AND(C128="Докупка",I128="Есть цена"),G128,"")</x:f>
        <x:v>-0.04005045256967421</x:v>
      </x:c>
    </x:row>
    <x:row r="129" ht="21" customHeight="1">
      <x:c r="A129" s="2" t="n">
        <x:v>13</x:v>
      </x:c>
      <x:c r="B129" s="2" t="n">
        <x:v>15</x:v>
      </x:c>
      <x:c r="C129" s="2" t="str">
        <x:f>'Покупки'!C20</x:f>
        <x:v>Докупка</x:v>
      </x:c>
      <x:c r="D129" s="9" t="n">
        <x:v>46282.72951388889</x:v>
      </x:c>
      <x:c r="E129" s="12" t="n">
        <x:v>0.0076985949918678956</x:v>
      </x:c>
      <x:c r="F129" s="12" t="n">
        <x:f>'Покупки'!H20</x:f>
        <x:v>0.007987494993122079</x:v>
      </x:c>
      <x:c r="G129" s="14" t="n">
        <x:f>IF(I129="Есть цена",IF(AND(ISNUMBER(E129),E129&gt;0,F129&gt;0),E129/F129-1,NA()),"")</x:f>
        <x:v>-0.03616903691369455</x:v>
      </x:c>
      <x:c r="H129" s="14" t="n">
        <x:f>IF(AND(I129="Есть цена",I128="Есть цена"),IF(AND(E129&gt;0,E128&gt;0),E129/E128-1,NA()),"")</x:f>
        <x:v>0.004043353805801342</x:v>
      </x:c>
      <x:c r="I129" s="2" t="str">
        <x:v>Есть цена</x:v>
      </x:c>
      <x:c r="J129" s="2" t="n">
        <x:v>447852394</x:v>
      </x:c>
      <x:c r="K129" s="9" t="n">
        <x:v>46282.72949074074</x:v>
      </x:c>
      <x:c r="L129" s="2" t="n">
        <x:v>2</x:v>
      </x:c>
      <x:c r="M129" s="2" t="n">
        <x:v>232</x:v>
      </x:c>
      <x:c r="N129" s="2" t="str">
        <x:v>987VwvJZ5FRjWCY9ZwC2tRUGL8FbMT1aF4pUrT7XjPjD</x:v>
      </x:c>
      <x:c r="O129" s="2" t="str">
        <x:v>https://solscan.io/tx/4XBdKwrXG7omGEGWseL2rBcWPfz92bRDwFB3pcCbSvK757R5wU4AvT7uuC5wscSAcdJfLxBGrgmffmfSAwMPSw8G</x:v>
      </x:c>
      <x:c r="P129" s="2" t="str">
        <x:v>ok</x:v>
      </x:c>
      <x:c r="Q129" s="2" t="str">
        <x:v>61R1ndXxvsWXXkWSyNkCxnzwd3zUNB8Q2ibmkiLPC8ht; slot 447851662; age 232s</x:v>
      </x:c>
      <x:c r="R129" s="14" t="str">
        <x:f>IF(AND(C129="Нулевой остаток",I129="Есть цена"),G129,"")</x:f>
      </x:c>
      <x:c r="S129" s="14" t="n">
        <x:f>IF(AND(C129="Докупка",I129="Есть цена"),G129,"")</x:f>
        <x:v>-0.03616903691369455</x:v>
      </x:c>
    </x:row>
    <x:row r="130" ht="21" customHeight="1">
      <x:c r="A130" s="2" t="n">
        <x:v>13</x:v>
      </x:c>
      <x:c r="B130" s="2" t="n">
        <x:v>30</x:v>
      </x:c>
      <x:c r="C130" s="2" t="str">
        <x:f>'Покупки'!C20</x:f>
        <x:v>Докупка</x:v>
      </x:c>
      <x:c r="D130" s="9" t="n">
        <x:v>46282.7296875</x:v>
      </x:c>
      <x:c r="E130" s="12" t="n">
        <x:v>0.007762818378584573</x:v>
      </x:c>
      <x:c r="F130" s="12" t="n">
        <x:f>'Покупки'!H20</x:f>
        <x:v>0.007987494993122079</x:v>
      </x:c>
      <x:c r="G130" s="14" t="n">
        <x:f>IF(I130="Есть цена",IF(AND(ISNUMBER(E130),E130&gt;0,F130&gt;0),E130/F130-1,NA()),"")</x:f>
        <x:v>-0.028128545273702454</x:v>
      </x:c>
      <x:c r="H130" s="14" t="n">
        <x:f>IF(AND(I130="Есть цена",I128="Есть цена"),IF(AND(E130&gt;0,E128&gt;0),E130/E128-1,NA()),"")</x:f>
        <x:v>0.012419306126957741</x:v>
      </x:c>
      <x:c r="I130" s="2" t="str">
        <x:v>Есть цена</x:v>
      </x:c>
      <x:c r="J130" s="2" t="n">
        <x:v>447852446</x:v>
      </x:c>
      <x:c r="K130" s="9" t="n">
        <x:v>46282.729675925926</x:v>
      </x:c>
      <x:c r="L130" s="2" t="n">
        <x:v>1</x:v>
      </x:c>
      <x:c r="M130" s="2" t="n">
        <x:v>247</x:v>
      </x:c>
      <x:c r="N130" s="2" t="str">
        <x:v>987VwvJZ5FRjWCY9ZwC2tRUGL8FbMT1aF4pUrT7XjPjD</x:v>
      </x:c>
      <x:c r="O130" s="2" t="str">
        <x:v>https://solscan.io/tx/44dDrx9HaMMPVAdwSFLLPV8Abd1ugyvxJN6S8aRz4DyeAqizisC8pDiGXDzwQNZwYEekDtUDWKds8s8Hri5u5uos</x:v>
      </x:c>
      <x:c r="P130" s="2" t="str">
        <x:v>ok</x:v>
      </x:c>
      <x:c r="Q130" s="2" t="str">
        <x:v>61R1ndXxvsWXXkWSyNkCxnzwd3zUNB8Q2ibmkiLPC8ht; slot 447851662; age 247s</x:v>
      </x:c>
      <x:c r="R130" s="14" t="str">
        <x:f>IF(AND(C130="Нулевой остаток",I130="Есть цена"),G130,"")</x:f>
      </x:c>
      <x:c r="S130" s="14" t="n">
        <x:f>IF(AND(C130="Докупка",I130="Есть цена"),G130,"")</x:f>
        <x:v>-0.028128545273702454</x:v>
      </x:c>
    </x:row>
    <x:row r="131" ht="21" customHeight="1">
      <x:c r="A131" s="2" t="n">
        <x:v>13</x:v>
      </x:c>
      <x:c r="B131" s="2" t="n">
        <x:v>60</x:v>
      </x:c>
      <x:c r="C131" s="2" t="str">
        <x:f>'Покупки'!C20</x:f>
        <x:v>Докупка</x:v>
      </x:c>
      <x:c r="D131" s="9" t="n">
        <x:v>46282.73003472222</x:v>
      </x:c>
      <x:c r="E131" s="12" t="n">
        <x:v>0.007771921443506945</x:v>
      </x:c>
      <x:c r="F131" s="12" t="n">
        <x:f>'Покупки'!H20</x:f>
        <x:v>0.007987494993122079</x:v>
      </x:c>
      <x:c r="G131" s="14" t="n">
        <x:f>IF(I131="Есть цена",IF(AND(ISNUMBER(E131),E131&gt;0,F131&gt;0),E131/F131-1,NA()),"")</x:f>
        <x:v>-0.026988880719269526</x:v>
      </x:c>
      <x:c r="H131" s="14" t="n">
        <x:f>IF(AND(I131="Есть цена",I128="Есть цена"),IF(AND(E131&gt;0,E128&gt;0),E131/E128-1,NA()),"")</x:f>
        <x:v>0.013606519098184888</x:v>
      </x:c>
      <x:c r="I131" s="2" t="str">
        <x:v>Есть цена</x:v>
      </x:c>
      <x:c r="J131" s="2" t="n">
        <x:v>447852535</x:v>
      </x:c>
      <x:c r="K131" s="9" t="n">
        <x:v>46282.73001157407</x:v>
      </x:c>
      <x:c r="L131" s="2" t="n">
        <x:v>2</x:v>
      </x:c>
      <x:c r="M131" s="2" t="n">
        <x:v>23</x:v>
      </x:c>
      <x:c r="N131" s="2" t="str">
        <x:v>987VwvJZ5FRjWCY9ZwC2tRUGL8FbMT1aF4pUrT7XjPjD</x:v>
      </x:c>
      <x:c r="O131" s="2" t="str">
        <x:v>https://solscan.io/tx/2uWe6m9tQostwxFqUdh74aLRAv3UjVFbs3VHKrT9nQpQPRm8K8h9kvKsdd1h7wjzeK5zY87KD3wDTRoajYtcmY5S</x:v>
      </x:c>
      <x:c r="P131" s="2" t="str">
        <x:v>ok</x:v>
      </x:c>
      <x:c r="Q131" s="2" t="str">
        <x:v>61R1ndXxvsWXXkWSyNkCxnzwd3zUNB8Q2ibmkiLPC8ht; slot 447852468; age 23s</x:v>
      </x:c>
      <x:c r="R131" s="14" t="str">
        <x:f>IF(AND(C131="Нулевой остаток",I131="Есть цена"),G131,"")</x:f>
      </x:c>
      <x:c r="S131" s="14" t="n">
        <x:f>IF(AND(C131="Докупка",I131="Есть цена"),G131,"")</x:f>
        <x:v>-0.026988880719269526</x:v>
      </x:c>
    </x:row>
    <x:row r="132" ht="21" customHeight="1">
      <x:c r="A132" s="2" t="n">
        <x:v>13</x:v>
      </x:c>
      <x:c r="B132" s="2" t="n">
        <x:v>180</x:v>
      </x:c>
      <x:c r="C132" s="2" t="str">
        <x:f>'Покупки'!C20</x:f>
        <x:v>Докупка</x:v>
      </x:c>
      <x:c r="D132" s="9" t="n">
        <x:v>46282.73142361111</x:v>
      </x:c>
      <x:c r="E132" s="12" t="n">
        <x:v>0.007632754895597132</x:v>
      </x:c>
      <x:c r="F132" s="12" t="n">
        <x:f>'Покупки'!H20</x:f>
        <x:v>0.007987494993122079</x:v>
      </x:c>
      <x:c r="G132" s="14" t="n">
        <x:f>IF(I132="Есть цена",IF(AND(ISNUMBER(E132),E132&gt;0,F132&gt;0),E132/F132-1,NA()),"")</x:f>
        <x:v>-0.04441193363256046</x:v>
      </x:c>
      <x:c r="H132" s="14" t="n">
        <x:f>IF(AND(I132="Есть цена",I128="Есть цена"),IF(AND(E132&gt;0,E128&gt;0),E132/E128-1,NA()),"")</x:f>
        <x:v>-0.004543448220337587</x:v>
      </x:c>
      <x:c r="I132" s="2" t="str">
        <x:v>Есть цена</x:v>
      </x:c>
      <x:c r="J132" s="2" t="n">
        <x:v>447852882</x:v>
      </x:c>
      <x:c r="K132" s="9" t="n">
        <x:v>46282.731307870374</x:v>
      </x:c>
      <x:c r="L132" s="2" t="n">
        <x:v>10</x:v>
      </x:c>
      <x:c r="M132" s="2" t="n">
        <x:v>116</x:v>
      </x:c>
      <x:c r="N132" s="2" t="str">
        <x:v>987VwvJZ5FRjWCY9ZwC2tRUGL8FbMT1aF4pUrT7XjPjD</x:v>
      </x:c>
      <x:c r="O132" s="2" t="str">
        <x:v>https://solscan.io/tx/XjYzFnVJSNfguFMRpCk9AwkYapmQsnD34aqpnWdpdH2XHozWtj5Uk4VUbRS5tGbyp8J65DVRtgLb19P9SmSoGG7</x:v>
      </x:c>
      <x:c r="P132" s="2" t="str">
        <x:v>ok</x:v>
      </x:c>
      <x:c r="Q132" s="2" t="str">
        <x:v>61R1ndXxvsWXXkWSyNkCxnzwd3zUNB8Q2ibmkiLPC8ht; slot 447852552; age 116s</x:v>
      </x:c>
      <x:c r="R132" s="14" t="str">
        <x:f>IF(AND(C132="Нулевой остаток",I132="Есть цена"),G132,"")</x:f>
      </x:c>
      <x:c r="S132" s="14" t="n">
        <x:f>IF(AND(C132="Докупка",I132="Есть цена"),G132,"")</x:f>
        <x:v>-0.04441193363256046</x:v>
      </x:c>
    </x:row>
    <x:row r="133" ht="21" customHeight="1">
      <x:c r="A133" s="2" t="n">
        <x:v>13</x:v>
      </x:c>
      <x:c r="B133" s="2" t="n">
        <x:v>300</x:v>
      </x:c>
      <x:c r="C133" s="2" t="str">
        <x:f>'Покупки'!C20</x:f>
        <x:v>Докупка</x:v>
      </x:c>
      <x:c r="D133" s="9" t="n">
        <x:v>46282.7328125</x:v>
      </x:c>
      <x:c r="E133" s="12" t="n">
        <x:v>0.007584362451249913</x:v>
      </x:c>
      <x:c r="F133" s="12" t="n">
        <x:f>'Покупки'!H20</x:f>
        <x:v>0.007987494993122079</x:v>
      </x:c>
      <x:c r="G133" s="14" t="n">
        <x:f>IF(I133="Есть цена",IF(AND(ISNUMBER(E133),E133&gt;0,F133&gt;0),E133/F133-1,NA()),"")</x:f>
        <x:v>-0.050470459414284186</x:v>
      </x:c>
      <x:c r="H133" s="14" t="n">
        <x:f>IF(AND(I133="Есть цена",I128="Есть цена"),IF(AND(E133&gt;0,E128&gt;0),E133/E128-1,NA()),"")</x:f>
        <x:v>-0.010854744264949256</x:v>
      </x:c>
      <x:c r="I133" s="2" t="str">
        <x:v>Есть цена</x:v>
      </x:c>
      <x:c r="J133" s="2" t="n">
        <x:v>447853286</x:v>
      </x:c>
      <x:c r="K133" s="9" t="n">
        <x:v>46282.73280092593</x:v>
      </x:c>
      <x:c r="L133" s="2" t="n">
        <x:v>1</x:v>
      </x:c>
      <x:c r="M133" s="2" t="n">
        <x:v>0</x:v>
      </x:c>
      <x:c r="N133" s="2" t="str">
        <x:v>987VwvJZ5FRjWCY9ZwC2tRUGL8FbMT1aF4pUrT7XjPjD</x:v>
      </x:c>
      <x:c r="O133" s="2" t="str">
        <x:v>https://solscan.io/tx/4tbZkNi3bu2xLBPCQiqVcCS3jG5fphrJkx1vqfesBcFFsFAiCSwxJDhH72z7YUSGAQjDFk3Ce9fYGGrJd67BVvet</x:v>
      </x:c>
      <x:c r="P133" s="2" t="str">
        <x:v>ok</x:v>
      </x:c>
      <x:c r="Q133" s="2" t="str">
        <x:v>61R1ndXxvsWXXkWSyNkCxnzwd3zUNB8Q2ibmkiLPC8ht; slot 447853289; age 0s</x:v>
      </x:c>
      <x:c r="R133" s="14" t="str">
        <x:f>IF(AND(C133="Нулевой остаток",I133="Есть цена"),G133,"")</x:f>
      </x:c>
      <x:c r="S133" s="14" t="n">
        <x:f>IF(AND(C133="Докупка",I133="Есть цена"),G133,"")</x:f>
        <x:v>-0.050470459414284186</x:v>
      </x:c>
    </x:row>
    <x:row r="134" ht="21" customHeight="1">
      <x:c r="A134" s="2" t="n">
        <x:v>13</x:v>
      </x:c>
      <x:c r="B134" s="2" t="n">
        <x:v>900</x:v>
      </x:c>
      <x:c r="C134" s="2" t="str">
        <x:f>'Покупки'!C20</x:f>
        <x:v>Докупка</x:v>
      </x:c>
      <x:c r="D134" s="9" t="n">
        <x:v>46282.739756944444</x:v>
      </x:c>
      <x:c r="E134" s="12" t="n">
        <x:v>0.00717716121902329</x:v>
      </x:c>
      <x:c r="F134" s="12" t="n">
        <x:f>'Покупки'!H20</x:f>
        <x:v>0.007987494993122079</x:v>
      </x:c>
      <x:c r="G134" s="14" t="n">
        <x:f>IF(I134="Есть цена",IF(AND(ISNUMBER(E134),E134&gt;0,F134&gt;0),E134/F134-1,NA()),"")</x:f>
        <x:v>-0.10145030135187016</x:v>
      </x:c>
      <x:c r="H134" s="14" t="n">
        <x:f>IF(AND(I134="Есть цена",I128="Есть цена"),IF(AND(E134&gt;0,E128&gt;0),E134/E128-1,NA()),"")</x:f>
        <x:v>-0.06396153729803433</x:v>
      </x:c>
      <x:c r="I134" s="2" t="str">
        <x:v>Есть цена</x:v>
      </x:c>
      <x:c r="J134" s="2" t="n">
        <x:v>447855098</x:v>
      </x:c>
      <x:c r="K134" s="9" t="n">
        <x:v>46282.73945601852</x:v>
      </x:c>
      <x:c r="L134" s="2" t="n">
        <x:v>26</x:v>
      </x:c>
      <x:c r="M134" s="2" t="n">
        <x:v>29</x:v>
      </x:c>
      <x:c r="N134" s="2" t="str">
        <x:v>987VwvJZ5FRjWCY9ZwC2tRUGL8FbMT1aF4pUrT7XjPjD</x:v>
      </x:c>
      <x:c r="O134" s="2" t="str">
        <x:v>https://solscan.io/tx/5uZRJ3vLmrsHcqMZjUBweZmyD1dPXoi82YRUM4hUBmSJqj8BLtBKcjQUSneio67YbcsXfkwwhzHC6DDKBKQfHZtx</x:v>
      </x:c>
      <x:c r="P134" s="2" t="str">
        <x:v>ok</x:v>
      </x:c>
      <x:c r="Q134" s="2" t="str">
        <x:v>61R1ndXxvsWXXkWSyNkCxnzwd3zUNB8Q2ibmkiLPC8ht; slot 447855090; age 29s</x:v>
      </x:c>
      <x:c r="R134" s="14" t="str">
        <x:f>IF(AND(C134="Нулевой остаток",I134="Есть цена"),G134,"")</x:f>
      </x:c>
      <x:c r="S134" s="14" t="n">
        <x:f>IF(AND(C134="Докупка",I134="Есть цена"),G134,"")</x:f>
        <x:v>-0.10145030135187016</x:v>
      </x:c>
    </x:row>
    <x:row r="135" ht="21" customHeight="1">
      <x:c r="A135" s="2" t="n">
        <x:v>13</x:v>
      </x:c>
      <x:c r="B135" s="2" t="n">
        <x:v>3600</x:v>
      </x:c>
      <x:c r="C135" s="2" t="str">
        <x:f>'Покупки'!C20</x:f>
        <x:v>Докупка</x:v>
      </x:c>
      <x:c r="D135" s="9" t="n">
        <x:v>46282.771006944444</x:v>
      </x:c>
      <x:c r="E135" s="12" t="n">
        <x:v>0.00710221975884167</x:v>
      </x:c>
      <x:c r="F135" s="12" t="n">
        <x:f>'Покупки'!H20</x:f>
        <x:v>0.007987494993122079</x:v>
      </x:c>
      <x:c r="G135" s="14" t="n">
        <x:f>IF(I135="Есть цена",IF(AND(ISNUMBER(E135),E135&gt;0,F135&gt;0),E135/F135-1,NA()),"")</x:f>
        <x:v>-0.11083264966584727</x:v>
      </x:c>
      <x:c r="H135" s="14" t="n">
        <x:f>IF(AND(I135="Есть цена",I128="Есть цена"),IF(AND(E135&gt;0,E128&gt;0),E135/E128-1,NA()),"")</x:f>
        <x:v>-0.07373533045111469</x:v>
      </x:c>
      <x:c r="I135" s="2" t="str">
        <x:v>Есть цена</x:v>
      </x:c>
      <x:c r="J135" s="2" t="n">
        <x:v>447863708</x:v>
      </x:c>
      <x:c r="K135" s="9" t="n">
        <x:v>46282.771006944444</x:v>
      </x:c>
      <x:c r="L135" s="2" t="n">
        <x:v>0</x:v>
      </x:c>
      <x:c r="M135" s="2" t="n">
        <x:v>168</x:v>
      </x:c>
      <x:c r="N135" s="2" t="str">
        <x:v>987VwvJZ5FRjWCY9ZwC2tRUGL8FbMT1aF4pUrT7XjPjD</x:v>
      </x:c>
      <x:c r="O135" s="2" t="str">
        <x:v>https://solscan.io/tx/3zjF6jArteP7CTmdJ58MKSzipk4VBfvRze8cHvMSzP94iYVw1nbdfNh7g96ut3S3bYCJVgRzKbbbFHf9dbdiFFi1</x:v>
      </x:c>
      <x:c r="P135" s="2" t="str">
        <x:v>ok</x:v>
      </x:c>
      <x:c r="Q135" s="2" t="str">
        <x:v>61R1ndXxvsWXXkWSyNkCxnzwd3zUNB8Q2ibmkiLPC8ht; slot 447863174; age 168s</x:v>
      </x:c>
      <x:c r="R135" s="14" t="str">
        <x:f>IF(AND(C135="Нулевой остаток",I135="Есть цена"),G135,"")</x:f>
      </x:c>
      <x:c r="S135" s="14" t="n">
        <x:f>IF(AND(C135="Докупка",I135="Есть цена"),G135,"")</x:f>
        <x:v>-0.11083264966584727</x:v>
      </x:c>
    </x:row>
    <x:row r="136" ht="21" customHeight="1">
      <x:c r="A136" s="2" t="n">
        <x:v>13</x:v>
      </x:c>
      <x:c r="B136" s="2" t="n">
        <x:v>21600</x:v>
      </x:c>
      <x:c r="C136" s="2" t="str">
        <x:f>'Покупки'!C20</x:f>
        <x:v>Докупка</x:v>
      </x:c>
      <x:c r="D136" s="9" t="n">
        <x:v>46282.97934027778</x:v>
      </x:c>
      <x:c r="E136" s="12"/>
      <x:c r="F136" s="12" t="n">
        <x:f>'Покупки'!H20</x:f>
        <x:v>0.007987494993122079</x:v>
      </x:c>
      <x:c r="G136" s="14" t="str">
        <x:f>IF(I136="Есть цена",IF(AND(ISNUMBER(E136),E136&gt;0,F136&gt;0),E136/F136-1,NA()),"")</x:f>
      </x:c>
      <x:c r="H136" s="14" t="str">
        <x:f>IF(AND(I136="Есть цена",I128="Есть цена"),IF(AND(E136&gt;0,E128&gt;0),E136/E128-1,NA()),"")</x:f>
      </x:c>
      <x:c r="I136" s="2" t="str">
        <x:v>Ещё рано</x:v>
      </x:c>
      <x:c r="J136" s="2"/>
      <x:c r="K136" s="9"/>
      <x:c r="L136" s="2"/>
      <x:c r="M136" s="2"/>
      <x:c r="N136" s="2"/>
      <x:c r="O136" s="2"/>
      <x:c r="P136" s="2" t="str">
        <x:v>future</x:v>
      </x:c>
      <x:c r="Q136" s="2" t="str"/>
      <x:c r="R136" s="14" t="str">
        <x:f>IF(AND(C136="Нулевой остаток",I136="Есть цена"),G136,"")</x:f>
      </x:c>
      <x:c r="S136" s="14" t="str">
        <x:f>IF(AND(C136="Докупка",I136="Есть цена"),G136,"")</x:f>
      </x:c>
    </x:row>
    <x:row r="137" ht="21" customHeight="1">
      <x:c r="A137" s="2" t="n">
        <x:v>13</x:v>
      </x:c>
      <x:c r="B137" s="2" t="n">
        <x:v>86400</x:v>
      </x:c>
      <x:c r="C137" s="2" t="str">
        <x:f>'Покупки'!C20</x:f>
        <x:v>Докупка</x:v>
      </x:c>
      <x:c r="D137" s="9" t="n">
        <x:v>46283.72934027778</x:v>
      </x:c>
      <x:c r="E137" s="12"/>
      <x:c r="F137" s="12" t="n">
        <x:f>'Покупки'!H20</x:f>
        <x:v>0.007987494993122079</x:v>
      </x:c>
      <x:c r="G137" s="14" t="str">
        <x:f>IF(I137="Есть цена",IF(AND(ISNUMBER(E137),E137&gt;0,F137&gt;0),E137/F137-1,NA()),"")</x:f>
      </x:c>
      <x:c r="H137" s="14" t="str">
        <x:f>IF(AND(I137="Есть цена",I128="Есть цена"),IF(AND(E137&gt;0,E128&gt;0),E137/E128-1,NA()),"")</x:f>
      </x:c>
      <x:c r="I137" s="2" t="str">
        <x:v>Ещё рано</x:v>
      </x:c>
      <x:c r="J137" s="2"/>
      <x:c r="K137" s="9"/>
      <x:c r="L137" s="2"/>
      <x:c r="M137" s="2"/>
      <x:c r="N137" s="2"/>
      <x:c r="O137" s="2"/>
      <x:c r="P137" s="2" t="str">
        <x:v>future</x:v>
      </x:c>
      <x:c r="Q137" s="2" t="str"/>
      <x:c r="R137" s="14" t="str">
        <x:f>IF(AND(C137="Нулевой остаток",I137="Есть цена"),G137,"")</x:f>
      </x:c>
      <x:c r="S137" s="14" t="str">
        <x:f>IF(AND(C137="Докупка",I137="Есть цена"),G137,"")</x:f>
      </x:c>
    </x:row>
    <x:row r="138" ht="21" customHeight="1">
      <x:c r="A138" s="2" t="n">
        <x:v>14</x:v>
      </x:c>
      <x:c r="B138" s="2" t="n">
        <x:v>5</x:v>
      </x:c>
      <x:c r="C138" s="2" t="str">
        <x:f>'Покупки'!C21</x:f>
        <x:v>Нулевой остаток</x:v>
      </x:c>
      <x:c r="D138" s="9" t="n">
        <x:v>46282.709652777776</x:v>
      </x:c>
      <x:c r="E138" s="12" t="n">
        <x:v>0.0009246553520132077</x:v>
      </x:c>
      <x:c r="F138" s="12" t="n">
        <x:f>'Покупки'!H21</x:f>
        <x:v>0.0008887954192400935</x:v>
      </x:c>
      <x:c r="G138" s="14" t="n">
        <x:f>IF(I138="Есть цена",IF(AND(ISNUMBER(E138),E138&gt;0,F138&gt;0),E138/F138-1,NA()),"")</x:f>
        <x:v>0.04034666695714284</x:v>
      </x:c>
      <x:c r="H138" s="14" t="n">
        <x:f>IF(AND(I138="Есть цена",I138="Есть цена"),IF(AND(E138&gt;0,E138&gt;0),E138/E138-1,NA()),"")</x:f>
        <x:v>0</x:v>
      </x:c>
      <x:c r="I138" s="2" t="str">
        <x:v>Есть цена</x:v>
      </x:c>
      <x:c r="J138" s="2" t="n">
        <x:v>447846989</x:v>
      </x:c>
      <x:c r="K138" s="9" t="n">
        <x:v>46282.709641203706</x:v>
      </x:c>
      <x:c r="L138" s="2" t="n">
        <x:v>1</x:v>
      </x:c>
      <x:c r="M138" s="2" t="n">
        <x:v>0</x:v>
      </x:c>
      <x:c r="N138" s="2" t="str">
        <x:v>GtmPDVPVepVJjENBNharAsBRLwifdD9PktYVj5f1VCWe</x:v>
      </x:c>
      <x:c r="O138" s="2" t="str">
        <x:v>https://solscan.io/tx/2nJiivwWrViQPoQQMAf5S7JQ2YLfFJ7qpLzp2L7sVZV1aBQ3rJxgy4JaVBz5kwAaFXzAV5MAdkjQ2PiVj9pHbJNp</x:v>
      </x:c>
      <x:c r="P138" s="2" t="str">
        <x:v>ok</x:v>
      </x:c>
      <x:c r="Q138" s="2" t="str">
        <x:v>cPK91ascbHz3pXHVqLbhBbbQs3ztMvu1681w5EfoGyP; slot 447846991; age 0s</x:v>
      </x:c>
      <x:c r="R138" s="14" t="n">
        <x:f>IF(AND(C138="Нулевой остаток",I138="Есть цена"),G138,"")</x:f>
        <x:v>0.04034666695714284</x:v>
      </x:c>
      <x:c r="S138" s="14" t="str">
        <x:f>IF(AND(C138="Докупка",I138="Есть цена"),G138,"")</x:f>
      </x:c>
    </x:row>
    <x:row r="139" ht="21" customHeight="1">
      <x:c r="A139" s="2" t="n">
        <x:v>14</x:v>
      </x:c>
      <x:c r="B139" s="2" t="n">
        <x:v>15</x:v>
      </x:c>
      <x:c r="C139" s="2" t="str">
        <x:f>'Покупки'!C21</x:f>
        <x:v>Нулевой остаток</x:v>
      </x:c>
      <x:c r="D139" s="9" t="n">
        <x:v>46282.70976851852</x:v>
      </x:c>
      <x:c r="E139" s="12" t="n">
        <x:v>0.0009422229795718203</x:v>
      </x:c>
      <x:c r="F139" s="12" t="n">
        <x:f>'Покупки'!H21</x:f>
        <x:v>0.0008887954192400935</x:v>
      </x:c>
      <x:c r="G139" s="14" t="n">
        <x:f>IF(I139="Есть цена",IF(AND(ISNUMBER(E139),E139&gt;0,F139&gt;0),E139/F139-1,NA()),"")</x:f>
        <x:v>0.06011232638598263</x:v>
      </x:c>
      <x:c r="H139" s="14" t="n">
        <x:f>IF(AND(I139="Есть цена",I138="Есть цена"),IF(AND(E139&gt;0,E138&gt;0),E139/E138-1,NA()),"")</x:f>
        <x:v>0.018999108716954316</x:v>
      </x:c>
      <x:c r="I139" s="2" t="str">
        <x:v>Есть цена</x:v>
      </x:c>
      <x:c r="J139" s="2" t="n">
        <x:v>447847022</x:v>
      </x:c>
      <x:c r="K139" s="9" t="n">
        <x:v>46282.70976851852</x:v>
      </x:c>
      <x:c r="L139" s="2" t="n">
        <x:v>0</x:v>
      </x:c>
      <x:c r="M139" s="2" t="n">
        <x:v>0</x:v>
      </x:c>
      <x:c r="N139" s="2" t="str">
        <x:v>GtmPDVPVepVJjENBNharAsBRLwifdD9PktYVj5f1VCWe</x:v>
      </x:c>
      <x:c r="O139" s="2" t="str">
        <x:v>https://solscan.io/tx/4v3QGafy112uJpXm8VtnoyoSpEMW6yB76mEQzpCZxu3v3sfa4LNJkJ2WXpxug7L5zphwrquSFA6KqUSAJMbGgNQK</x:v>
      </x:c>
      <x:c r="P139" s="2" t="str">
        <x:v>ok</x:v>
      </x:c>
      <x:c r="Q139" s="2" t="str">
        <x:v>cPK91ascbHz3pXHVqLbhBbbQs3ztMvu1681w5EfoGyP; slot 447847023; age 0s</x:v>
      </x:c>
      <x:c r="R139" s="14" t="n">
        <x:f>IF(AND(C139="Нулевой остаток",I139="Есть цена"),G139,"")</x:f>
        <x:v>0.06011232638598263</x:v>
      </x:c>
      <x:c r="S139" s="14" t="str">
        <x:f>IF(AND(C139="Докупка",I139="Есть цена"),G139,"")</x:f>
      </x:c>
    </x:row>
    <x:row r="140" ht="21" customHeight="1">
      <x:c r="A140" s="2" t="n">
        <x:v>14</x:v>
      </x:c>
      <x:c r="B140" s="2" t="n">
        <x:v>30</x:v>
      </x:c>
      <x:c r="C140" s="2" t="str">
        <x:f>'Покупки'!C21</x:f>
        <x:v>Нулевой остаток</x:v>
      </x:c>
      <x:c r="D140" s="9" t="n">
        <x:v>46282.70994212963</x:v>
      </x:c>
      <x:c r="E140" s="12" t="n">
        <x:v>0.0009427648602894371</x:v>
      </x:c>
      <x:c r="F140" s="12" t="n">
        <x:f>'Покупки'!H21</x:f>
        <x:v>0.0008887954192400935</x:v>
      </x:c>
      <x:c r="G140" s="14" t="n">
        <x:f>IF(I140="Есть цена",IF(AND(ISNUMBER(E140),E140&gt;0,F140&gt;0),E140/F140-1,NA()),"")</x:f>
        <x:v>0.06072200630319036</x:v>
      </x:c>
      <x:c r="H140" s="14" t="n">
        <x:f>IF(AND(I140="Есть цена",I138="Есть цена"),IF(AND(E140&gt;0,E138&gt;0),E140/E138-1,NA()),"")</x:f>
        <x:v>0.01958514406129863</x:v>
      </x:c>
      <x:c r="I140" s="2" t="str">
        <x:v>Есть цена</x:v>
      </x:c>
      <x:c r="J140" s="2" t="n">
        <x:v>447847068</x:v>
      </x:c>
      <x:c r="K140" s="9" t="n">
        <x:v>46282.70994212963</x:v>
      </x:c>
      <x:c r="L140" s="2" t="n">
        <x:v>0</x:v>
      </x:c>
      <x:c r="M140" s="2" t="n">
        <x:v>2</x:v>
      </x:c>
      <x:c r="N140" s="2" t="str">
        <x:v>GtmPDVPVepVJjENBNharAsBRLwifdD9PktYVj5f1VCWe</x:v>
      </x:c>
      <x:c r="O140" s="2" t="str">
        <x:v>https://solscan.io/tx/3muaB3zRPsmS2pxnXM9ePuzafWcpTteDxy17iY1S2U2QGduBpSSp777VUmwu4VU1zzUvmB7iAazvWGpD6pABNLMD</x:v>
      </x:c>
      <x:c r="P140" s="2" t="str">
        <x:v>ok</x:v>
      </x:c>
      <x:c r="Q140" s="2" t="str">
        <x:v>cPK91ascbHz3pXHVqLbhBbbQs3ztMvu1681w5EfoGyP; slot 447847062; age 2s</x:v>
      </x:c>
      <x:c r="R140" s="14" t="n">
        <x:f>IF(AND(C140="Нулевой остаток",I140="Есть цена"),G140,"")</x:f>
        <x:v>0.06072200630319036</x:v>
      </x:c>
      <x:c r="S140" s="14" t="str">
        <x:f>IF(AND(C140="Докупка",I140="Есть цена"),G140,"")</x:f>
      </x:c>
    </x:row>
    <x:row r="141" ht="21" customHeight="1">
      <x:c r="A141" s="2" t="n">
        <x:v>14</x:v>
      </x:c>
      <x:c r="B141" s="2" t="n">
        <x:v>60</x:v>
      </x:c>
      <x:c r="C141" s="2" t="str">
        <x:f>'Покупки'!C21</x:f>
        <x:v>Нулевой остаток</x:v>
      </x:c>
      <x:c r="D141" s="9" t="n">
        <x:v>46282.71028935185</x:v>
      </x:c>
      <x:c r="E141" s="12" t="n">
        <x:v>0.0008957521554649395</x:v>
      </x:c>
      <x:c r="F141" s="12" t="n">
        <x:f>'Покупки'!H21</x:f>
        <x:v>0.0008887954192400935</x:v>
      </x:c>
      <x:c r="G141" s="14" t="n">
        <x:f>IF(I141="Есть цена",IF(AND(ISNUMBER(E141),E141&gt;0,F141&gt;0),E141/F141-1,NA()),"")</x:f>
        <x:v>0.007827151304170554</x:v>
      </x:c>
      <x:c r="H141" s="14" t="n">
        <x:f>IF(AND(I141="Есть цена",I138="Есть цена"),IF(AND(E141&gt;0,E138&gt;0),E141/E138-1,NA()),"")</x:f>
        <x:v>-0.03125834559367291</x:v>
      </x:c>
      <x:c r="I141" s="2" t="str">
        <x:v>Есть цена</x:v>
      </x:c>
      <x:c r="J141" s="2" t="n">
        <x:v>447847160</x:v>
      </x:c>
      <x:c r="K141" s="9" t="n">
        <x:v>46282.710277777776</x:v>
      </x:c>
      <x:c r="L141" s="2" t="n">
        <x:v>1</x:v>
      </x:c>
      <x:c r="M141" s="2" t="n">
        <x:v>27</x:v>
      </x:c>
      <x:c r="N141" s="2" t="str">
        <x:v>GtmPDVPVepVJjENBNharAsBRLwifdD9PktYVj5f1VCWe</x:v>
      </x:c>
      <x:c r="O141" s="2" t="str">
        <x:v>https://solscan.io/tx/dGezso5mfQXWo6drpVPQcmMgpk1yFWv2HJ81QfCsopenmNTckx7366AXdKydRyJCTvN4RqeELy7VR97Gv3TMofs</x:v>
      </x:c>
      <x:c r="P141" s="2" t="str">
        <x:v>ok</x:v>
      </x:c>
      <x:c r="Q141" s="2" t="str">
        <x:v>cPK91ascbHz3pXHVqLbhBbbQs3ztMvu1681w5EfoGyP; slot 447847078; age 27s</x:v>
      </x:c>
      <x:c r="R141" s="14" t="n">
        <x:f>IF(AND(C141="Нулевой остаток",I141="Есть цена"),G141,"")</x:f>
        <x:v>0.007827151304170554</x:v>
      </x:c>
      <x:c r="S141" s="14" t="str">
        <x:f>IF(AND(C141="Докупка",I141="Есть цена"),G141,"")</x:f>
      </x:c>
    </x:row>
    <x:row r="142" ht="21" customHeight="1">
      <x:c r="A142" s="2" t="n">
        <x:v>14</x:v>
      </x:c>
      <x:c r="B142" s="2" t="n">
        <x:v>180</x:v>
      </x:c>
      <x:c r="C142" s="2" t="str">
        <x:f>'Покупки'!C21</x:f>
        <x:v>Нулевой остаток</x:v>
      </x:c>
      <x:c r="D142" s="9" t="n">
        <x:v>46282.71167824074</x:v>
      </x:c>
      <x:c r="E142" s="12" t="n">
        <x:v>0.0008895752667425992</x:v>
      </x:c>
      <x:c r="F142" s="12" t="n">
        <x:f>'Покупки'!H21</x:f>
        <x:v>0.0008887954192400935</x:v>
      </x:c>
      <x:c r="G142" s="14" t="n">
        <x:f>IF(I142="Есть цена",IF(AND(ISNUMBER(E142),E142&gt;0,F142&gt;0),E142/F142-1,NA()),"")</x:f>
        <x:v>0.000877420704049614</x:v>
      </x:c>
      <x:c r="H142" s="14" t="n">
        <x:f>IF(AND(I142="Есть цена",I138="Есть цена"),IF(AND(E142&gt;0,E138&gt;0),E142/E138-1,NA()),"")</x:f>
        <x:v>-0.037938552125643676</x:v>
      </x:c>
      <x:c r="I142" s="2" t="str">
        <x:v>Есть цена</x:v>
      </x:c>
      <x:c r="J142" s="2" t="n">
        <x:v>447847516</x:v>
      </x:c>
      <x:c r="K142" s="9" t="n">
        <x:v>46282.71158564815</x:v>
      </x:c>
      <x:c r="L142" s="2" t="n">
        <x:v>8</x:v>
      </x:c>
      <x:c r="M142" s="2" t="n">
        <x:v>1</x:v>
      </x:c>
      <x:c r="N142" s="2" t="str">
        <x:v>GtmPDVPVepVJjENBNharAsBRLwifdD9PktYVj5f1VCWe</x:v>
      </x:c>
      <x:c r="O142" s="2" t="str">
        <x:v>https://solscan.io/tx/4vJjpwrYbWbS8GPbvFhMGyY1GAAw9Puqa8soYg8geUnj9kFpACxHqCr6vM2uFRTT63bH3ZGAhzyT5vZfiqYitEX8</x:v>
      </x:c>
      <x:c r="P142" s="2" t="str">
        <x:v>ok</x:v>
      </x:c>
      <x:c r="Q142" s="2" t="str">
        <x:v>cPK91ascbHz3pXHVqLbhBbbQs3ztMvu1681w5EfoGyP; slot 447847537; age 1s</x:v>
      </x:c>
      <x:c r="R142" s="14" t="n">
        <x:f>IF(AND(C142="Нулевой остаток",I142="Есть цена"),G142,"")</x:f>
        <x:v>0.000877420704049614</x:v>
      </x:c>
      <x:c r="S142" s="14" t="str">
        <x:f>IF(AND(C142="Докупка",I142="Есть цена"),G142,"")</x:f>
      </x:c>
    </x:row>
    <x:row r="143" ht="21" customHeight="1">
      <x:c r="A143" s="2" t="n">
        <x:v>14</x:v>
      </x:c>
      <x:c r="B143" s="2" t="n">
        <x:v>300</x:v>
      </x:c>
      <x:c r="C143" s="2" t="str">
        <x:f>'Покупки'!C21</x:f>
        <x:v>Нулевой остаток</x:v>
      </x:c>
      <x:c r="D143" s="9" t="n">
        <x:v>46282.71306712963</x:v>
      </x:c>
      <x:c r="E143" s="12" t="n">
        <x:v>0.0010210021472925803</x:v>
      </x:c>
      <x:c r="F143" s="12" t="n">
        <x:f>'Покупки'!H21</x:f>
        <x:v>0.0008887954192400935</x:v>
      </x:c>
      <x:c r="G143" s="14" t="n">
        <x:f>IF(I143="Есть цена",IF(AND(ISNUMBER(E143),E143&gt;0,F143&gt;0),E143/F143-1,NA()),"")</x:f>
        <x:v>0.14874821043240916</x:v>
      </x:c>
      <x:c r="H143" s="14" t="n">
        <x:f>IF(AND(I143="Есть цена",I138="Есть цена"),IF(AND(E143&gt;0,E138&gt;0),E143/E138-1,NA()),"")</x:f>
        <x:v>0.10419752080556433</x:v>
      </x:c>
      <x:c r="I143" s="2" t="str">
        <x:v>Есть цена</x:v>
      </x:c>
      <x:c r="J143" s="2" t="n">
        <x:v>447847908</x:v>
      </x:c>
      <x:c r="K143" s="9" t="n">
        <x:v>46282.71304398148</x:v>
      </x:c>
      <x:c r="L143" s="2" t="n">
        <x:v>2</x:v>
      </x:c>
      <x:c r="M143" s="2" t="n">
        <x:v>5</x:v>
      </x:c>
      <x:c r="N143" s="2" t="str">
        <x:v>GtmPDVPVepVJjENBNharAsBRLwifdD9PktYVj5f1VCWe</x:v>
      </x:c>
      <x:c r="O143" s="2" t="str">
        <x:v>https://solscan.io/tx/fSNERjmRwewHXCg1axJSLi1Vq6hReHXkX7Y82XSjQzRs62WGgwuTKBvACtosUF7KqDagHyDLChBfVZsMadiUCTH</x:v>
      </x:c>
      <x:c r="P143" s="2" t="str">
        <x:v>ok</x:v>
      </x:c>
      <x:c r="Q143" s="2" t="str">
        <x:v>cPK91ascbHz3pXHVqLbhBbbQs3ztMvu1681w5EfoGyP; slot 447847898; age 5s</x:v>
      </x:c>
      <x:c r="R143" s="14" t="n">
        <x:f>IF(AND(C143="Нулевой остаток",I143="Есть цена"),G143,"")</x:f>
        <x:v>0.14874821043240916</x:v>
      </x:c>
      <x:c r="S143" s="14" t="str">
        <x:f>IF(AND(C143="Докупка",I143="Есть цена"),G143,"")</x:f>
      </x:c>
    </x:row>
    <x:row r="144" ht="21" customHeight="1">
      <x:c r="A144" s="2" t="n">
        <x:v>14</x:v>
      </x:c>
      <x:c r="B144" s="2" t="n">
        <x:v>900</x:v>
      </x:c>
      <x:c r="C144" s="2" t="str">
        <x:f>'Покупки'!C21</x:f>
        <x:v>Нулевой остаток</x:v>
      </x:c>
      <x:c r="D144" s="9" t="n">
        <x:v>46282.72001157407</x:v>
      </x:c>
      <x:c r="E144" s="12" t="n">
        <x:v>0.0009388494586318916</x:v>
      </x:c>
      <x:c r="F144" s="12" t="n">
        <x:f>'Покупки'!H21</x:f>
        <x:v>0.0008887954192400935</x:v>
      </x:c>
      <x:c r="G144" s="14" t="n">
        <x:f>IF(I144="Есть цена",IF(AND(ISNUMBER(E144),E144&gt;0,F144&gt;0),E144/F144-1,NA()),"")</x:f>
        <x:v>0.05631671620741874</x:v>
      </x:c>
      <x:c r="H144" s="14" t="n">
        <x:f>IF(AND(I144="Есть цена",I138="Есть цена"),IF(AND(E144&gt;0,E138&gt;0),E144/E138-1,NA()),"")</x:f>
        <x:v>0.015350699682622038</x:v>
      </x:c>
      <x:c r="I144" s="2" t="str">
        <x:v>Есть цена</x:v>
      </x:c>
      <x:c r="J144" s="2" t="n">
        <x:v>447849774</x:v>
      </x:c>
      <x:c r="K144" s="9" t="n">
        <x:v>46282.71989583333</x:v>
      </x:c>
      <x:c r="L144" s="2" t="n">
        <x:v>10</x:v>
      </x:c>
      <x:c r="M144" s="2" t="n">
        <x:v>10</x:v>
      </x:c>
      <x:c r="N144" s="2" t="str">
        <x:v>GtmPDVPVepVJjENBNharAsBRLwifdD9PktYVj5f1VCWe</x:v>
      </x:c>
      <x:c r="O144" s="2" t="str">
        <x:v>https://solscan.io/tx/HMuU1R4mU51iDi1LakKbhRH8WDhpCFF8g54LedvzfexHSzrGd7ZU8EQwsb5JK7MPq3F92itrbCjQvvXX4GJyZGo</x:v>
      </x:c>
      <x:c r="P144" s="2" t="str">
        <x:v>ok</x:v>
      </x:c>
      <x:c r="Q144" s="2" t="str">
        <x:v>cPK91ascbHz3pXHVqLbhBbbQs3ztMvu1681w5EfoGyP; slot 447849773; age 10s</x:v>
      </x:c>
      <x:c r="R144" s="14" t="n">
        <x:f>IF(AND(C144="Нулевой остаток",I144="Есть цена"),G144,"")</x:f>
        <x:v>0.05631671620741874</x:v>
      </x:c>
      <x:c r="S144" s="14" t="str">
        <x:f>IF(AND(C144="Докупка",I144="Есть цена"),G144,"")</x:f>
      </x:c>
    </x:row>
    <x:row r="145" ht="21" customHeight="1">
      <x:c r="A145" s="2" t="n">
        <x:v>14</x:v>
      </x:c>
      <x:c r="B145" s="2" t="n">
        <x:v>3600</x:v>
      </x:c>
      <x:c r="C145" s="2" t="str">
        <x:f>'Покупки'!C21</x:f>
        <x:v>Нулевой остаток</x:v>
      </x:c>
      <x:c r="D145" s="9" t="n">
        <x:v>46282.75126157407</x:v>
      </x:c>
      <x:c r="E145" s="12" t="n">
        <x:v>0.0009706989038485693</x:v>
      </x:c>
      <x:c r="F145" s="12" t="n">
        <x:f>'Покупки'!H21</x:f>
        <x:v>0.0008887954192400935</x:v>
      </x:c>
      <x:c r="G145" s="14" t="n">
        <x:f>IF(I145="Есть цена",IF(AND(ISNUMBER(E145),E145&gt;0,F145&gt;0),E145/F145-1,NA()),"")</x:f>
        <x:v>0.09215111018292821</x:v>
      </x:c>
      <x:c r="H145" s="14" t="n">
        <x:f>IF(AND(I145="Есть цена",I138="Есть цена"),IF(AND(E145&gt;0,E138&gt;0),E145/E138-1,NA()),"")</x:f>
        <x:v>0.049795366170880095</x:v>
      </x:c>
      <x:c r="I145" s="2" t="str">
        <x:v>Есть цена</x:v>
      </x:c>
      <x:c r="J145" s="2" t="n">
        <x:v>447856634</x:v>
      </x:c>
      <x:c r="K145" s="9" t="n">
        <x:v>46282.74511574074</x:v>
      </x:c>
      <x:c r="L145" s="2" t="n">
        <x:v>531</x:v>
      </x:c>
      <x:c r="M145" s="2" t="n">
        <x:v>233</x:v>
      </x:c>
      <x:c r="N145" s="2" t="str">
        <x:v>GtmPDVPVepVJjENBNharAsBRLwifdD9PktYVj5f1VCWe</x:v>
      </x:c>
      <x:c r="O145" s="2" t="str">
        <x:v>https://solscan.io/tx/5DhLm6Eae97XJQWyiWR9YmtGGaWSoDisppHbvuCm77j3gWbSNfp21kxAiEAHg4fCx88D61akiLvbN6nWApUo1Ksf</x:v>
      </x:c>
      <x:c r="P145" s="2" t="str">
        <x:v>ok</x:v>
      </x:c>
      <x:c r="Q145" s="2" t="str">
        <x:v>cPK91ascbHz3pXHVqLbhBbbQs3ztMvu1681w5EfoGyP; slot 447857579; age 233s</x:v>
      </x:c>
      <x:c r="R145" s="14" t="n">
        <x:f>IF(AND(C145="Нулевой остаток",I145="Есть цена"),G145,"")</x:f>
        <x:v>0.09215111018292821</x:v>
      </x:c>
      <x:c r="S145" s="14" t="str">
        <x:f>IF(AND(C145="Докупка",I145="Есть цена"),G145,"")</x:f>
      </x:c>
    </x:row>
    <x:row r="146" ht="21" customHeight="1">
      <x:c r="A146" s="2" t="n">
        <x:v>14</x:v>
      </x:c>
      <x:c r="B146" s="2" t="n">
        <x:v>21600</x:v>
      </x:c>
      <x:c r="C146" s="2" t="str">
        <x:f>'Покупки'!C21</x:f>
        <x:v>Нулевой остаток</x:v>
      </x:c>
      <x:c r="D146" s="9" t="n">
        <x:v>46282.95959490741</x:v>
      </x:c>
      <x:c r="E146" s="12"/>
      <x:c r="F146" s="12" t="n">
        <x:f>'Покупки'!H21</x:f>
        <x:v>0.0008887954192400935</x:v>
      </x:c>
      <x:c r="G146" s="14" t="str">
        <x:f>IF(I146="Есть цена",IF(AND(ISNUMBER(E146),E146&gt;0,F146&gt;0),E146/F146-1,NA()),"")</x:f>
      </x:c>
      <x:c r="H146" s="14" t="str">
        <x:f>IF(AND(I146="Есть цена",I138="Есть цена"),IF(AND(E146&gt;0,E138&gt;0),E146/E138-1,NA()),"")</x:f>
      </x:c>
      <x:c r="I146" s="2" t="str">
        <x:v>Ещё рано</x:v>
      </x:c>
      <x:c r="J146" s="2"/>
      <x:c r="K146" s="9"/>
      <x:c r="L146" s="2"/>
      <x:c r="M146" s="2"/>
      <x:c r="N146" s="2"/>
      <x:c r="O146" s="2"/>
      <x:c r="P146" s="2" t="str">
        <x:v>future</x:v>
      </x:c>
      <x:c r="Q146" s="2" t="str"/>
      <x:c r="R146" s="14" t="str">
        <x:f>IF(AND(C146="Нулевой остаток",I146="Есть цена"),G146,"")</x:f>
      </x:c>
      <x:c r="S146" s="14" t="str">
        <x:f>IF(AND(C146="Докупка",I146="Есть цена"),G146,"")</x:f>
      </x:c>
    </x:row>
    <x:row r="147" ht="21" customHeight="1">
      <x:c r="A147" s="2" t="n">
        <x:v>14</x:v>
      </x:c>
      <x:c r="B147" s="2" t="n">
        <x:v>86400</x:v>
      </x:c>
      <x:c r="C147" s="2" t="str">
        <x:f>'Покупки'!C21</x:f>
        <x:v>Нулевой остаток</x:v>
      </x:c>
      <x:c r="D147" s="9" t="n">
        <x:v>46283.70959490741</x:v>
      </x:c>
      <x:c r="E147" s="12"/>
      <x:c r="F147" s="12" t="n">
        <x:f>'Покупки'!H21</x:f>
        <x:v>0.0008887954192400935</x:v>
      </x:c>
      <x:c r="G147" s="14" t="str">
        <x:f>IF(I147="Есть цена",IF(AND(ISNUMBER(E147),E147&gt;0,F147&gt;0),E147/F147-1,NA()),"")</x:f>
      </x:c>
      <x:c r="H147" s="14" t="str">
        <x:f>IF(AND(I147="Есть цена",I138="Есть цена"),IF(AND(E147&gt;0,E138&gt;0),E147/E138-1,NA()),"")</x:f>
      </x:c>
      <x:c r="I147" s="2" t="str">
        <x:v>Ещё рано</x:v>
      </x:c>
      <x:c r="J147" s="2"/>
      <x:c r="K147" s="9"/>
      <x:c r="L147" s="2"/>
      <x:c r="M147" s="2"/>
      <x:c r="N147" s="2"/>
      <x:c r="O147" s="2"/>
      <x:c r="P147" s="2" t="str">
        <x:v>future</x:v>
      </x:c>
      <x:c r="Q147" s="2" t="str"/>
      <x:c r="R147" s="14" t="str">
        <x:f>IF(AND(C147="Нулевой остаток",I147="Есть цена"),G147,"")</x:f>
      </x:c>
      <x:c r="S147" s="14" t="str">
        <x:f>IF(AND(C147="Докупка",I147="Есть цена"),G147,"")</x:f>
      </x:c>
    </x:row>
    <x:row r="148" ht="21" customHeight="1">
      <x:c r="A148" s="2" t="n">
        <x:v>15</x:v>
      </x:c>
      <x:c r="B148" s="2" t="n">
        <x:v>5</x:v>
      </x:c>
      <x:c r="C148" s="2" t="str">
        <x:f>'Покупки'!C22</x:f>
        <x:v>Докупка</x:v>
      </x:c>
      <x:c r="D148" s="9" t="n">
        <x:v>46282.70826388889</x:v>
      </x:c>
      <x:c r="E148" s="12" t="n">
        <x:v>0.0069162226009167145</x:v>
      </x:c>
      <x:c r="F148" s="12" t="n">
        <x:f>'Покупки'!H22</x:f>
        <x:v>0.007219283744629555</x:v>
      </x:c>
      <x:c r="G148" s="14" t="n">
        <x:f>IF(I148="Есть цена",IF(AND(ISNUMBER(E148),E148&gt;0,F148&gt;0),E148/F148-1,NA()),"")</x:f>
        <x:v>-0.041979392199162247</x:v>
      </x:c>
      <x:c r="H148" s="14" t="n">
        <x:f>IF(AND(I148="Есть цена",I148="Есть цена"),IF(AND(E148&gt;0,E148&gt;0),E148/E148-1,NA()),"")</x:f>
        <x:v>0</x:v>
      </x:c>
      <x:c r="I148" s="2" t="str">
        <x:v>Есть цена</x:v>
      </x:c>
      <x:c r="J148" s="2" t="n">
        <x:v>447846598</x:v>
      </x:c>
      <x:c r="K148" s="9" t="n">
        <x:v>46282.70820601852</x:v>
      </x:c>
      <x:c r="L148" s="2" t="n">
        <x:v>5</x:v>
      </x:c>
      <x:c r="M148" s="2" t="n">
        <x:v>51</x:v>
      </x:c>
      <x:c r="N148" s="2" t="str">
        <x:v>987VwvJZ5FRjWCY9ZwC2tRUGL8FbMT1aF4pUrT7XjPjD</x:v>
      </x:c>
      <x:c r="O148" s="2" t="str">
        <x:v>https://solscan.io/tx/B5j77uv1WB1VfET8vmEPdENVLoE713328VqntgFjJRaL2MRNxwJ9VUTejNvDfaQJ3pBuno6tWqEQutetkYWpM31</x:v>
      </x:c>
      <x:c r="P148" s="2" t="str">
        <x:v>ok</x:v>
      </x:c>
      <x:c r="Q148" s="2" t="str">
        <x:v>61R1ndXxvsWXXkWSyNkCxnzwd3zUNB8Q2ibmkiLPC8ht; slot 447846452; age 51s</x:v>
      </x:c>
      <x:c r="R148" s="14" t="str">
        <x:f>IF(AND(C148="Нулевой остаток",I148="Есть цена"),G148,"")</x:f>
      </x:c>
      <x:c r="S148" s="14" t="n">
        <x:f>IF(AND(C148="Докупка",I148="Есть цена"),G148,"")</x:f>
        <x:v>-0.041979392199162247</x:v>
      </x:c>
    </x:row>
    <x:row r="149" ht="21" customHeight="1">
      <x:c r="A149" s="2" t="n">
        <x:v>15</x:v>
      </x:c>
      <x:c r="B149" s="2" t="n">
        <x:v>15</x:v>
      </x:c>
      <x:c r="C149" s="2" t="str">
        <x:f>'Покупки'!C22</x:f>
        <x:v>Докупка</x:v>
      </x:c>
      <x:c r="D149" s="9" t="n">
        <x:v>46282.70837962963</x:v>
      </x:c>
      <x:c r="E149" s="12" t="n">
        <x:v>0.006928190905001809</x:v>
      </x:c>
      <x:c r="F149" s="12" t="n">
        <x:f>'Покупки'!H22</x:f>
        <x:v>0.007219283744629555</x:v>
      </x:c>
      <x:c r="G149" s="14" t="n">
        <x:f>IF(I149="Есть цена",IF(AND(ISNUMBER(E149),E149&gt;0,F149&gt;0),E149/F149-1,NA()),"")</x:f>
        <x:v>-0.04032156789020669</x:v>
      </x:c>
      <x:c r="H149" s="14" t="n">
        <x:f>IF(AND(I149="Есть цена",I148="Есть цена"),IF(AND(E149&gt;0,E148&gt;0),E149/E148-1,NA()),"")</x:f>
        <x:v>0.0017304683171284196</x:v>
      </x:c>
      <x:c r="I149" s="2" t="str">
        <x:v>Есть цена</x:v>
      </x:c>
      <x:c r="J149" s="2" t="n">
        <x:v>447846644</x:v>
      </x:c>
      <x:c r="K149" s="9" t="n">
        <x:v>46282.70837962963</x:v>
      </x:c>
      <x:c r="L149" s="2" t="n">
        <x:v>0</x:v>
      </x:c>
      <x:c r="M149" s="2" t="n">
        <x:v>0</x:v>
      </x:c>
      <x:c r="N149" s="2" t="str">
        <x:v>987VwvJZ5FRjWCY9ZwC2tRUGL8FbMT1aF4pUrT7XjPjD</x:v>
      </x:c>
      <x:c r="O149" s="2" t="str">
        <x:v>https://solscan.io/tx/5YgZSeL8HbE6Y3jPH3xqzCBgQ6wQzLz2Spok9Wi62xDkT4kqke8uPgt6XBp1ttjSw6SitceBqtabtLeHJiRm3DLy</x:v>
      </x:c>
      <x:c r="P149" s="2" t="str">
        <x:v>ok</x:v>
      </x:c>
      <x:c r="Q149" s="2" t="str">
        <x:v>61R1ndXxvsWXXkWSyNkCxnzwd3zUNB8Q2ibmkiLPC8ht; slot 447846644; age 0s</x:v>
      </x:c>
      <x:c r="R149" s="14" t="str">
        <x:f>IF(AND(C149="Нулевой остаток",I149="Есть цена"),G149,"")</x:f>
      </x:c>
      <x:c r="S149" s="14" t="n">
        <x:f>IF(AND(C149="Докупка",I149="Есть цена"),G149,"")</x:f>
        <x:v>-0.04032156789020669</x:v>
      </x:c>
    </x:row>
    <x:row r="150" ht="21" customHeight="1">
      <x:c r="A150" s="2" t="n">
        <x:v>15</x:v>
      </x:c>
      <x:c r="B150" s="2" t="n">
        <x:v>30</x:v>
      </x:c>
      <x:c r="C150" s="2" t="str">
        <x:f>'Покупки'!C22</x:f>
        <x:v>Докупка</x:v>
      </x:c>
      <x:c r="D150" s="9" t="n">
        <x:v>46282.708553240744</x:v>
      </x:c>
      <x:c r="E150" s="12" t="n">
        <x:v>0.006973845593610332</x:v>
      </x:c>
      <x:c r="F150" s="12" t="n">
        <x:f>'Покупки'!H22</x:f>
        <x:v>0.007219283744629555</x:v>
      </x:c>
      <x:c r="G150" s="14" t="n">
        <x:f>IF(I150="Есть цена",IF(AND(ISNUMBER(E150),E150&gt;0,F150&gt;0),E150/F150-1,NA()),"")</x:f>
        <x:v>-0.033997576449575795</x:v>
      </x:c>
      <x:c r="H150" s="14" t="n">
        <x:f>IF(AND(I150="Есть цена",I148="Есть цена"),IF(AND(E150&gt;0,E148&gt;0),E150/E148-1,NA()),"")</x:f>
        <x:v>0.008331569993999421</x:v>
      </x:c>
      <x:c r="I150" s="2" t="str">
        <x:v>Есть цена</x:v>
      </x:c>
      <x:c r="J150" s="2" t="n">
        <x:v>447846693</x:v>
      </x:c>
      <x:c r="K150" s="9" t="n">
        <x:v>46282.708553240744</x:v>
      </x:c>
      <x:c r="L150" s="2" t="n">
        <x:v>0</x:v>
      </x:c>
      <x:c r="M150" s="2" t="n">
        <x:v>13</x:v>
      </x:c>
      <x:c r="N150" s="2" t="str">
        <x:v>987VwvJZ5FRjWCY9ZwC2tRUGL8FbMT1aF4pUrT7XjPjD</x:v>
      </x:c>
      <x:c r="O150" s="2" t="str">
        <x:v>https://solscan.io/tx/5XHkRRyXaXXm6fuomFCaiUreHuSvyzrzUHrLjPnEugikoC84dm86oZyk485duP2Nutgqc8BV1BfgHjUP3B8W4JVX</x:v>
      </x:c>
      <x:c r="P150" s="2" t="str">
        <x:v>ok</x:v>
      </x:c>
      <x:c r="Q150" s="2" t="str">
        <x:v>61R1ndXxvsWXXkWSyNkCxnzwd3zUNB8Q2ibmkiLPC8ht; slot 447846649; age 13s</x:v>
      </x:c>
      <x:c r="R150" s="14" t="str">
        <x:f>IF(AND(C150="Нулевой остаток",I150="Есть цена"),G150,"")</x:f>
      </x:c>
      <x:c r="S150" s="14" t="n">
        <x:f>IF(AND(C150="Докупка",I150="Есть цена"),G150,"")</x:f>
        <x:v>-0.033997576449575795</x:v>
      </x:c>
    </x:row>
    <x:row r="151" ht="21" customHeight="1">
      <x:c r="A151" s="2" t="n">
        <x:v>15</x:v>
      </x:c>
      <x:c r="B151" s="2" t="n">
        <x:v>60</x:v>
      </x:c>
      <x:c r="C151" s="2" t="str">
        <x:f>'Покупки'!C22</x:f>
        <x:v>Докупка</x:v>
      </x:c>
      <x:c r="D151" s="9" t="n">
        <x:v>46282.70890046296</x:v>
      </x:c>
      <x:c r="E151" s="12" t="n">
        <x:v>0.007017546546755191</x:v>
      </x:c>
      <x:c r="F151" s="12" t="n">
        <x:f>'Покупки'!H22</x:f>
        <x:v>0.007219283744629555</x:v>
      </x:c>
      <x:c r="G151" s="14" t="n">
        <x:f>IF(I151="Есть цена",IF(AND(ISNUMBER(E151),E151&gt;0,F151&gt;0),E151/F151-1,NA()),"")</x:f>
        <x:v>-0.027944212336083463</x:v>
      </x:c>
      <x:c r="H151" s="14" t="n">
        <x:f>IF(AND(I151="Есть цена",I148="Есть цена"),IF(AND(E151&gt;0,E148&gt;0),E151/E148-1,NA()),"")</x:f>
        <x:v>0.014650185756752032</x:v>
      </x:c>
      <x:c r="I151" s="2" t="str">
        <x:v>Есть цена</x:v>
      </x:c>
      <x:c r="J151" s="2" t="n">
        <x:v>447846788</x:v>
      </x:c>
      <x:c r="K151" s="9" t="n">
        <x:v>46282.70890046296</x:v>
      </x:c>
      <x:c r="L151" s="2" t="n">
        <x:v>0</x:v>
      </x:c>
      <x:c r="M151" s="2" t="n">
        <x:v>6</x:v>
      </x:c>
      <x:c r="N151" s="2" t="str">
        <x:v>987VwvJZ5FRjWCY9ZwC2tRUGL8FbMT1aF4pUrT7XjPjD</x:v>
      </x:c>
      <x:c r="O151" s="2" t="str">
        <x:v>https://solscan.io/tx/2rGD9uHUvyQ26mnNBiJdobDkPMRuER9F9mXSu4xUdMs3RKEMKnKyhbcsMKoTB7ZJrwifU6yjbcobNmekYkrfUDDj</x:v>
      </x:c>
      <x:c r="P151" s="2" t="str">
        <x:v>ok</x:v>
      </x:c>
      <x:c r="Q151" s="2" t="str">
        <x:v>61R1ndXxvsWXXkWSyNkCxnzwd3zUNB8Q2ibmkiLPC8ht; slot 447846768; age 6s</x:v>
      </x:c>
      <x:c r="R151" s="14" t="str">
        <x:f>IF(AND(C151="Нулевой остаток",I151="Есть цена"),G151,"")</x:f>
      </x:c>
      <x:c r="S151" s="14" t="n">
        <x:f>IF(AND(C151="Докупка",I151="Есть цена"),G151,"")</x:f>
        <x:v>-0.027944212336083463</x:v>
      </x:c>
    </x:row>
    <x:row r="152" ht="21" customHeight="1">
      <x:c r="A152" s="2" t="n">
        <x:v>15</x:v>
      </x:c>
      <x:c r="B152" s="2" t="n">
        <x:v>180</x:v>
      </x:c>
      <x:c r="C152" s="2" t="str">
        <x:f>'Покупки'!C22</x:f>
        <x:v>Докупка</x:v>
      </x:c>
      <x:c r="D152" s="9" t="n">
        <x:v>46282.71028935185</x:v>
      </x:c>
      <x:c r="E152" s="12" t="n">
        <x:v>0.007241595101755434</x:v>
      </x:c>
      <x:c r="F152" s="12" t="n">
        <x:f>'Покупки'!H22</x:f>
        <x:v>0.007219283744629555</x:v>
      </x:c>
      <x:c r="G152" s="14" t="n">
        <x:f>IF(I152="Есть цена",IF(AND(ISNUMBER(E152),E152&gt;0,F152&gt;0),E152/F152-1,NA()),"")</x:f>
        <x:v>0.00309052226164086</x:v>
      </x:c>
      <x:c r="H152" s="14" t="n">
        <x:f>IF(AND(I152="Есть цена",I148="Есть цена"),IF(AND(E152&gt;0,E148&gt;0),E152/E148-1,NA()),"")</x:f>
        <x:v>0.047044827735242656</x:v>
      </x:c>
      <x:c r="I152" s="2" t="str">
        <x:v>Есть цена</x:v>
      </x:c>
      <x:c r="J152" s="2" t="n">
        <x:v>447847157</x:v>
      </x:c>
      <x:c r="K152" s="9" t="n">
        <x:v>46282.71026620371</x:v>
      </x:c>
      <x:c r="L152" s="2" t="n">
        <x:v>2</x:v>
      </x:c>
      <x:c r="M152" s="2" t="n">
        <x:v>30</x:v>
      </x:c>
      <x:c r="N152" s="2" t="str">
        <x:v>987VwvJZ5FRjWCY9ZwC2tRUGL8FbMT1aF4pUrT7XjPjD</x:v>
      </x:c>
      <x:c r="O152" s="2" t="str">
        <x:v>https://solscan.io/tx/3aRZ1ACF15HMGaz8M9M3qjeWzjY7WAw1v9wvVX2tuPm8eN3MWdqtwWeSdkctVGLsykPzu4HZiQhcnXLVyjc3XK6q</x:v>
      </x:c>
      <x:c r="P152" s="2" t="str">
        <x:v>ok</x:v>
      </x:c>
      <x:c r="Q152" s="2" t="str">
        <x:v>61R1ndXxvsWXXkWSyNkCxnzwd3zUNB8Q2ibmkiLPC8ht; slot 447847070; age 30s</x:v>
      </x:c>
      <x:c r="R152" s="14" t="str">
        <x:f>IF(AND(C152="Нулевой остаток",I152="Есть цена"),G152,"")</x:f>
      </x:c>
      <x:c r="S152" s="14" t="n">
        <x:f>IF(AND(C152="Докупка",I152="Есть цена"),G152,"")</x:f>
        <x:v>0.00309052226164086</x:v>
      </x:c>
    </x:row>
    <x:row r="153" ht="21" customHeight="1">
      <x:c r="A153" s="2" t="n">
        <x:v>15</x:v>
      </x:c>
      <x:c r="B153" s="2" t="n">
        <x:v>300</x:v>
      </x:c>
      <x:c r="C153" s="2" t="str">
        <x:f>'Покупки'!C22</x:f>
        <x:v>Докупка</x:v>
      </x:c>
      <x:c r="D153" s="9" t="n">
        <x:v>46282.71167824074</x:v>
      </x:c>
      <x:c r="E153" s="12" t="n">
        <x:v>0.007149335469209853</x:v>
      </x:c>
      <x:c r="F153" s="12" t="n">
        <x:f>'Покупки'!H22</x:f>
        <x:v>0.007219283744629555</x:v>
      </x:c>
      <x:c r="G153" s="14" t="n">
        <x:f>IF(I153="Есть цена",IF(AND(ISNUMBER(E153),E153&gt;0,F153&gt;0),E153/F153-1,NA()),"")</x:f>
        <x:v>-0.00968908798905943</x:v>
      </x:c>
      <x:c r="H153" s="14" t="n">
        <x:f>IF(AND(I153="Есть цена",I148="Есть цена"),IF(AND(E153&gt;0,E148&gt;0),E153/E148-1,NA()),"")</x:f>
        <x:v>0.03370522924786146</x:v>
      </x:c>
      <x:c r="I153" s="2" t="str">
        <x:v>Есть цена</x:v>
      </x:c>
      <x:c r="J153" s="2" t="n">
        <x:v>447847512</x:v>
      </x:c>
      <x:c r="K153" s="9" t="n">
        <x:v>46282.71157407408</x:v>
      </x:c>
      <x:c r="L153" s="2" t="n">
        <x:v>9</x:v>
      </x:c>
      <x:c r="M153" s="2" t="n">
        <x:v>63</x:v>
      </x:c>
      <x:c r="N153" s="2" t="str">
        <x:v>987VwvJZ5FRjWCY9ZwC2tRUGL8FbMT1aF4pUrT7XjPjD</x:v>
      </x:c>
      <x:c r="O153" s="2" t="str">
        <x:v>https://solscan.io/tx/3kyPTtvC9QsTUUpBdTdoGkptiwoyQA3DJzjiYeQVBrfXVreShsdVdkykCtsaps1KcUJzHQYsurPKpwi1wGhMwYFM</x:v>
      </x:c>
      <x:c r="P153" s="2" t="str">
        <x:v>ok</x:v>
      </x:c>
      <x:c r="Q153" s="2" t="str">
        <x:v>61R1ndXxvsWXXkWSyNkCxnzwd3zUNB8Q2ibmkiLPC8ht; slot 447847342; age 63s</x:v>
      </x:c>
      <x:c r="R153" s="14" t="str">
        <x:f>IF(AND(C153="Нулевой остаток",I153="Есть цена"),G153,"")</x:f>
      </x:c>
      <x:c r="S153" s="14" t="n">
        <x:f>IF(AND(C153="Докупка",I153="Есть цена"),G153,"")</x:f>
        <x:v>-0.00968908798905943</x:v>
      </x:c>
    </x:row>
    <x:row r="154" ht="21" customHeight="1">
      <x:c r="A154" s="2" t="n">
        <x:v>15</x:v>
      </x:c>
      <x:c r="B154" s="2" t="n">
        <x:v>900</x:v>
      </x:c>
      <x:c r="C154" s="2" t="str">
        <x:f>'Покупки'!C22</x:f>
        <x:v>Докупка</x:v>
      </x:c>
      <x:c r="D154" s="9" t="n">
        <x:v>46282.718622685185</x:v>
      </x:c>
      <x:c r="E154" s="12"/>
      <x:c r="F154" s="12" t="n">
        <x:f>'Покупки'!H22</x:f>
        <x:v>0.007219283744629555</x:v>
      </x:c>
      <x:c r="G154" s="14" t="str">
        <x:f>IF(I154="Есть цена",IF(AND(ISNUMBER(E154),E154&gt;0,F154&gt;0),E154/F154-1,NA()),"")</x:f>
      </x:c>
      <x:c r="H154" s="14" t="str">
        <x:f>IF(AND(I154="Есть цена",I148="Есть цена"),IF(AND(E154&gt;0,E148&gt;0),E154/E148-1,NA()),"")</x:f>
      </x:c>
      <x:c r="I154" s="2" t="str">
        <x:v>RPC: данные не загружены</x:v>
      </x:c>
      <x:c r="J154" s="2"/>
      <x:c r="K154" s="9"/>
      <x:c r="L154" s="2"/>
      <x:c r="M154" s="2"/>
      <x:c r="N154" s="2"/>
      <x:c r="O154" s="2"/>
      <x:c r="P154" s="2" t="str">
        <x:v>not_cached:getBlock:block_447849184</x:v>
      </x:c>
      <x:c r="Q154" s="2" t="str"/>
      <x:c r="R154" s="14" t="str">
        <x:f>IF(AND(C154="Нулевой остаток",I154="Есть цена"),G154,"")</x:f>
      </x:c>
      <x:c r="S154" s="14" t="str">
        <x:f>IF(AND(C154="Докупка",I154="Есть цена"),G154,"")</x:f>
      </x:c>
    </x:row>
    <x:row r="155" ht="21" customHeight="1">
      <x:c r="A155" s="2" t="n">
        <x:v>15</x:v>
      </x:c>
      <x:c r="B155" s="2" t="n">
        <x:v>3600</x:v>
      </x:c>
      <x:c r="C155" s="2" t="str">
        <x:f>'Покупки'!C22</x:f>
        <x:v>Докупка</x:v>
      </x:c>
      <x:c r="D155" s="9" t="n">
        <x:v>46282.749872685185</x:v>
      </x:c>
      <x:c r="E155" s="12" t="n">
        <x:v>0.007195823424071606</x:v>
      </x:c>
      <x:c r="F155" s="12" t="n">
        <x:f>'Покупки'!H22</x:f>
        <x:v>0.007219283744629555</x:v>
      </x:c>
      <x:c r="G155" s="14" t="n">
        <x:f>IF(I155="Есть цена",IF(AND(ISNUMBER(E155),E155&gt;0,F155&gt;0),E155/F155-1,NA()),"")</x:f>
        <x:v>-0.003249674259638513</x:v>
      </x:c>
      <x:c r="H155" s="14" t="n">
        <x:f>IF(AND(I155="Есть цена",I148="Есть цена"),IF(AND(E155&gt;0,E148&gt;0),E155/E148-1,NA()),"")</x:f>
        <x:v>0.04042681088920297</x:v>
      </x:c>
      <x:c r="I155" s="2" t="str">
        <x:v>Есть цена</x:v>
      </x:c>
      <x:c r="J155" s="2" t="n">
        <x:v>447857925</x:v>
      </x:c>
      <x:c r="K155" s="9" t="n">
        <x:v>46282.749814814815</x:v>
      </x:c>
      <x:c r="L155" s="2" t="n">
        <x:v>5</x:v>
      </x:c>
      <x:c r="M155" s="2" t="n">
        <x:v>41</x:v>
      </x:c>
      <x:c r="N155" s="2" t="str">
        <x:v>987VwvJZ5FRjWCY9ZwC2tRUGL8FbMT1aF4pUrT7XjPjD</x:v>
      </x:c>
      <x:c r="O155" s="2" t="str">
        <x:v>https://solscan.io/tx/3RXqyrpULQUq3VbSzkFWBKBbJi87zYjcVvMg5zQetfBygExWtqPywt6tzH2wsvLDQpSV1HLmoJuTpAWSju3MM1LN</x:v>
      </x:c>
      <x:c r="P155" s="2" t="str">
        <x:v>ok</x:v>
      </x:c>
      <x:c r="Q155" s="2" t="str">
        <x:v>61R1ndXxvsWXXkWSyNkCxnzwd3zUNB8Q2ibmkiLPC8ht; slot 447857809; age 41s</x:v>
      </x:c>
      <x:c r="R155" s="14" t="str">
        <x:f>IF(AND(C155="Нулевой остаток",I155="Есть цена"),G155,"")</x:f>
      </x:c>
      <x:c r="S155" s="14" t="n">
        <x:f>IF(AND(C155="Докупка",I155="Есть цена"),G155,"")</x:f>
        <x:v>-0.003249674259638513</x:v>
      </x:c>
    </x:row>
    <x:row r="156" ht="21" customHeight="1">
      <x:c r="A156" s="2" t="n">
        <x:v>15</x:v>
      </x:c>
      <x:c r="B156" s="2" t="n">
        <x:v>21600</x:v>
      </x:c>
      <x:c r="C156" s="2" t="str">
        <x:f>'Покупки'!C22</x:f>
        <x:v>Докупка</x:v>
      </x:c>
      <x:c r="D156" s="9" t="n">
        <x:v>46282.95820601852</x:v>
      </x:c>
      <x:c r="E156" s="12"/>
      <x:c r="F156" s="12" t="n">
        <x:f>'Покупки'!H22</x:f>
        <x:v>0.007219283744629555</x:v>
      </x:c>
      <x:c r="G156" s="14" t="str">
        <x:f>IF(I156="Есть цена",IF(AND(ISNUMBER(E156),E156&gt;0,F156&gt;0),E156/F156-1,NA()),"")</x:f>
      </x:c>
      <x:c r="H156" s="14" t="str">
        <x:f>IF(AND(I156="Есть цена",I148="Есть цена"),IF(AND(E156&gt;0,E148&gt;0),E156/E148-1,NA()),"")</x:f>
      </x:c>
      <x:c r="I156" s="2" t="str">
        <x:v>Ещё рано</x:v>
      </x:c>
      <x:c r="J156" s="2"/>
      <x:c r="K156" s="9"/>
      <x:c r="L156" s="2"/>
      <x:c r="M156" s="2"/>
      <x:c r="N156" s="2"/>
      <x:c r="O156" s="2"/>
      <x:c r="P156" s="2" t="str">
        <x:v>future</x:v>
      </x:c>
      <x:c r="Q156" s="2" t="str"/>
      <x:c r="R156" s="14" t="str">
        <x:f>IF(AND(C156="Нулевой остаток",I156="Есть цена"),G156,"")</x:f>
      </x:c>
      <x:c r="S156" s="14" t="str">
        <x:f>IF(AND(C156="Докупка",I156="Есть цена"),G156,"")</x:f>
      </x:c>
    </x:row>
    <x:row r="157" ht="21" customHeight="1">
      <x:c r="A157" s="2" t="n">
        <x:v>15</x:v>
      </x:c>
      <x:c r="B157" s="2" t="n">
        <x:v>86400</x:v>
      </x:c>
      <x:c r="C157" s="2" t="str">
        <x:f>'Покупки'!C22</x:f>
        <x:v>Докупка</x:v>
      </x:c>
      <x:c r="D157" s="9" t="n">
        <x:v>46283.70820601852</x:v>
      </x:c>
      <x:c r="E157" s="12"/>
      <x:c r="F157" s="12" t="n">
        <x:f>'Покупки'!H22</x:f>
        <x:v>0.007219283744629555</x:v>
      </x:c>
      <x:c r="G157" s="14" t="str">
        <x:f>IF(I157="Есть цена",IF(AND(ISNUMBER(E157),E157&gt;0,F157&gt;0),E157/F157-1,NA()),"")</x:f>
      </x:c>
      <x:c r="H157" s="14" t="str">
        <x:f>IF(AND(I157="Есть цена",I148="Есть цена"),IF(AND(E157&gt;0,E148&gt;0),E157/E148-1,NA()),"")</x:f>
      </x:c>
      <x:c r="I157" s="2" t="str">
        <x:v>Ещё рано</x:v>
      </x:c>
      <x:c r="J157" s="2"/>
      <x:c r="K157" s="9"/>
      <x:c r="L157" s="2"/>
      <x:c r="M157" s="2"/>
      <x:c r="N157" s="2"/>
      <x:c r="O157" s="2"/>
      <x:c r="P157" s="2" t="str">
        <x:v>future</x:v>
      </x:c>
      <x:c r="Q157" s="2" t="str"/>
      <x:c r="R157" s="14" t="str">
        <x:f>IF(AND(C157="Нулевой остаток",I157="Есть цена"),G157,"")</x:f>
      </x:c>
      <x:c r="S157" s="14" t="str">
        <x:f>IF(AND(C157="Докупка",I157="Есть цена"),G157,"")</x:f>
      </x:c>
    </x:row>
    <x:row r="158" ht="21" customHeight="1">
      <x:c r="A158" s="2" t="n">
        <x:v>16</x:v>
      </x:c>
      <x:c r="B158" s="2" t="n">
        <x:v>5</x:v>
      </x:c>
      <x:c r="C158" s="2" t="str">
        <x:f>'Покупки'!C23</x:f>
        <x:v>Докупка</x:v>
      </x:c>
      <x:c r="D158" s="9" t="n">
        <x:v>46282.707870370374</x:v>
      </x:c>
      <x:c r="E158" s="12"/>
      <x:c r="F158" s="12" t="n">
        <x:f>'Покупки'!H23</x:f>
        <x:v>0.0029038989719704</x:v>
      </x:c>
      <x:c r="G158" s="14" t="str">
        <x:f>IF(I158="Есть цена",IF(AND(ISNUMBER(E158),E158&gt;0,F158&gt;0),E158/F158-1,NA()),"")</x:f>
      </x:c>
      <x:c r="H158" s="14" t="str">
        <x:f>IF(AND(I158="Есть цена",I158="Есть цена"),IF(AND(E158&gt;0,E158&gt;0),E158/E158-1,NA()),"")</x:f>
      </x:c>
      <x:c r="I158" s="2" t="str">
        <x:v>RPC: данные не загружены</x:v>
      </x:c>
      <x:c r="J158" s="2"/>
      <x:c r="K158" s="9"/>
      <x:c r="L158" s="2"/>
      <x:c r="M158" s="2"/>
      <x:c r="N158" s="2"/>
      <x:c r="O158" s="2"/>
      <x:c r="P158" s="2" t="str">
        <x:v>not_cached:getBlock:block_447846495</x:v>
      </x:c>
      <x:c r="Q158" s="2" t="str"/>
      <x:c r="R158" s="14" t="str">
        <x:f>IF(AND(C158="Нулевой остаток",I158="Есть цена"),G158,"")</x:f>
      </x:c>
      <x:c r="S158" s="14" t="str">
        <x:f>IF(AND(C158="Докупка",I158="Есть цена"),G158,"")</x:f>
      </x:c>
    </x:row>
    <x:row r="159" ht="21" customHeight="1">
      <x:c r="A159" s="2" t="n">
        <x:v>16</x:v>
      </x:c>
      <x:c r="B159" s="2" t="n">
        <x:v>15</x:v>
      </x:c>
      <x:c r="C159" s="2" t="str">
        <x:f>'Покупки'!C23</x:f>
        <x:v>Докупка</x:v>
      </x:c>
      <x:c r="D159" s="9" t="n">
        <x:v>46282.70798611111</x:v>
      </x:c>
      <x:c r="E159" s="12" t="n">
        <x:v>0.002868380845414707</x:v>
      </x:c>
      <x:c r="F159" s="12" t="n">
        <x:f>'Покупки'!H23</x:f>
        <x:v>0.0029038989719704</x:v>
      </x:c>
      <x:c r="G159" s="14" t="n">
        <x:f>IF(I159="Есть цена",IF(AND(ISNUMBER(E159),E159&gt;0,F159&gt;0),E159/F159-1,NA()),"")</x:f>
        <x:v>-0.012231185347192919</x:v>
      </x:c>
      <x:c r="H159" s="14" t="str">
        <x:f>IF(AND(I159="Есть цена",I158="Есть цена"),IF(AND(E159&gt;0,E158&gt;0),E159/E158-1,NA()),"")</x:f>
      </x:c>
      <x:c r="I159" s="2" t="str">
        <x:v>Есть цена</x:v>
      </x:c>
      <x:c r="J159" s="2" t="n">
        <x:v>447846538</x:v>
      </x:c>
      <x:c r="K159" s="9" t="n">
        <x:v>46282.70798611111</x:v>
      </x:c>
      <x:c r="L159" s="2" t="n">
        <x:v>0</x:v>
      </x:c>
      <x:c r="M159" s="2" t="n">
        <x:v>1</x:v>
      </x:c>
      <x:c r="N159" s="2" t="str">
        <x:v>AjgCfyw7FV8xVxAtKpzhkB43swJFHH3cczsbu6wx22ss</x:v>
      </x:c>
      <x:c r="O159" s="2" t="str">
        <x:v>https://solscan.io/tx/4ESWFtWA6kiXT7owf5JQzg3q5eBycFvo9ULXCGR91WFUVZ8pPwa8o91pAarV7bD94DcBa5v48FmDHvQR2Uzxr34R</x:v>
      </x:c>
      <x:c r="P159" s="2" t="str">
        <x:v>ok</x:v>
      </x:c>
      <x:c r="Q159" s="2" t="str">
        <x:v>3ucNos4NbumPLZNWztqGHNFFgkHeRMBQAVemeeomsUxv; slot 447846535; age 1s</x:v>
      </x:c>
      <x:c r="R159" s="14" t="str">
        <x:f>IF(AND(C159="Нулевой остаток",I159="Есть цена"),G159,"")</x:f>
      </x:c>
      <x:c r="S159" s="14" t="n">
        <x:f>IF(AND(C159="Докупка",I159="Есть цена"),G159,"")</x:f>
        <x:v>-0.012231185347192919</x:v>
      </x:c>
    </x:row>
    <x:row r="160" ht="21" customHeight="1">
      <x:c r="A160" s="2" t="n">
        <x:v>16</x:v>
      </x:c>
      <x:c r="B160" s="2" t="n">
        <x:v>30</x:v>
      </x:c>
      <x:c r="C160" s="2" t="str">
        <x:f>'Покупки'!C23</x:f>
        <x:v>Докупка</x:v>
      </x:c>
      <x:c r="D160" s="9" t="n">
        <x:v>46282.70815972222</x:v>
      </x:c>
      <x:c r="E160" s="12" t="n">
        <x:v>0.003043929237516807</x:v>
      </x:c>
      <x:c r="F160" s="12" t="n">
        <x:f>'Покупки'!H23</x:f>
        <x:v>0.0029038989719704</x:v>
      </x:c>
      <x:c r="G160" s="14" t="n">
        <x:f>IF(I160="Есть цена",IF(AND(ISNUMBER(E160),E160&gt;0,F160&gt;0),E160/F160-1,NA()),"")</x:f>
        <x:v>0.048221466000723634</x:v>
      </x:c>
      <x:c r="H160" s="14" t="str">
        <x:f>IF(AND(I160="Есть цена",I158="Есть цена"),IF(AND(E160&gt;0,E158&gt;0),E160/E158-1,NA()),"")</x:f>
      </x:c>
      <x:c r="I160" s="2" t="str">
        <x:v>Есть цена</x:v>
      </x:c>
      <x:c r="J160" s="2" t="n">
        <x:v>447846577</x:v>
      </x:c>
      <x:c r="K160" s="9" t="n">
        <x:v>46282.708125</x:v>
      </x:c>
      <x:c r="L160" s="2" t="n">
        <x:v>3</x:v>
      </x:c>
      <x:c r="M160" s="2" t="n">
        <x:v>3</x:v>
      </x:c>
      <x:c r="N160" s="2" t="str">
        <x:v>AjgCfyw7FV8xVxAtKpzhkB43swJFHH3cczsbu6wx22ss</x:v>
      </x:c>
      <x:c r="O160" s="2" t="str">
        <x:v>https://solscan.io/tx/3fM42HRnS7aoTp4ErcmQPrGF5uzUi7V5qEZcdUHurKJUdxE298bJycnYixzQqc7SX7rPHWQokH5TrTzFUj27dNeP</x:v>
      </x:c>
      <x:c r="P160" s="2" t="str">
        <x:v>ok</x:v>
      </x:c>
      <x:c r="Q160" s="2" t="str">
        <x:v>3ucNos4NbumPLZNWztqGHNFFgkHeRMBQAVemeeomsUxv; slot 447846577; age 3s</x:v>
      </x:c>
      <x:c r="R160" s="14" t="str">
        <x:f>IF(AND(C160="Нулевой остаток",I160="Есть цена"),G160,"")</x:f>
      </x:c>
      <x:c r="S160" s="14" t="n">
        <x:f>IF(AND(C160="Докупка",I160="Есть цена"),G160,"")</x:f>
        <x:v>0.048221466000723634</x:v>
      </x:c>
    </x:row>
    <x:row r="161" ht="21" customHeight="1">
      <x:c r="A161" s="2" t="n">
        <x:v>16</x:v>
      </x:c>
      <x:c r="B161" s="2" t="n">
        <x:v>60</x:v>
      </x:c>
      <x:c r="C161" s="2" t="str">
        <x:f>'Покупки'!C23</x:f>
        <x:v>Докупка</x:v>
      </x:c>
      <x:c r="D161" s="9" t="n">
        <x:v>46282.708506944444</x:v>
      </x:c>
      <x:c r="E161" s="12" t="n">
        <x:v>0.003105294829753923</x:v>
      </x:c>
      <x:c r="F161" s="12" t="n">
        <x:f>'Покупки'!H23</x:f>
        <x:v>0.0029038989719704</x:v>
      </x:c>
      <x:c r="G161" s="14" t="n">
        <x:f>IF(I161="Есть цена",IF(AND(ISNUMBER(E161),E161&gt;0,F161&gt;0),E161/F161-1,NA()),"")</x:f>
        <x:v>0.06935360345779129</x:v>
      </x:c>
      <x:c r="H161" s="14" t="str">
        <x:f>IF(AND(I161="Есть цена",I158="Есть цена"),IF(AND(E161&gt;0,E158&gt;0),E161/E158-1,NA()),"")</x:f>
      </x:c>
      <x:c r="I161" s="2" t="str">
        <x:v>Есть цена</x:v>
      </x:c>
      <x:c r="J161" s="2" t="n">
        <x:v>447846679</x:v>
      </x:c>
      <x:c r="K161" s="9" t="n">
        <x:v>46282.708506944444</x:v>
      </x:c>
      <x:c r="L161" s="2" t="n">
        <x:v>0</x:v>
      </x:c>
      <x:c r="M161" s="2" t="n">
        <x:v>3</x:v>
      </x:c>
      <x:c r="N161" s="2" t="str">
        <x:v>AjgCfyw7FV8xVxAtKpzhkB43swJFHH3cczsbu6wx22ss</x:v>
      </x:c>
      <x:c r="O161" s="2" t="str">
        <x:v>https://solscan.io/tx/5YJiGpjT7vnYZXe7PsYpkFP4vMThhhz5twkT6JUZf4Bk6faXFi5EBG4cpnC2Msqg7mRXCN6aZ8vybNYqmbJGtw2f</x:v>
      </x:c>
      <x:c r="P161" s="2" t="str">
        <x:v>ok</x:v>
      </x:c>
      <x:c r="Q161" s="2" t="str">
        <x:v>3ucNos4NbumPLZNWztqGHNFFgkHeRMBQAVemeeomsUxv; slot 447846671; age 3s</x:v>
      </x:c>
      <x:c r="R161" s="14" t="str">
        <x:f>IF(AND(C161="Нулевой остаток",I161="Есть цена"),G161,"")</x:f>
      </x:c>
      <x:c r="S161" s="14" t="n">
        <x:f>IF(AND(C161="Докупка",I161="Есть цена"),G161,"")</x:f>
        <x:v>0.06935360345779129</x:v>
      </x:c>
    </x:row>
    <x:row r="162" ht="21" customHeight="1">
      <x:c r="A162" s="2" t="n">
        <x:v>16</x:v>
      </x:c>
      <x:c r="B162" s="2" t="n">
        <x:v>180</x:v>
      </x:c>
      <x:c r="C162" s="2" t="str">
        <x:f>'Покупки'!C23</x:f>
        <x:v>Докупка</x:v>
      </x:c>
      <x:c r="D162" s="9" t="n">
        <x:v>46282.70989583333</x:v>
      </x:c>
      <x:c r="E162" s="12" t="n">
        <x:v>0.003046379025122747</x:v>
      </x:c>
      <x:c r="F162" s="12" t="n">
        <x:f>'Покупки'!H23</x:f>
        <x:v>0.0029038989719704</x:v>
      </x:c>
      <x:c r="G162" s="14" t="n">
        <x:f>IF(I162="Есть цена",IF(AND(ISNUMBER(E162),E162&gt;0,F162&gt;0),E162/F162-1,NA()),"")</x:f>
        <x:v>0.049065086123044166</x:v>
      </x:c>
      <x:c r="H162" s="14" t="str">
        <x:f>IF(AND(I162="Есть цена",I158="Есть цена"),IF(AND(E162&gt;0,E158&gt;0),E162/E158-1,NA()),"")</x:f>
      </x:c>
      <x:c r="I162" s="2" t="str">
        <x:v>Есть цена</x:v>
      </x:c>
      <x:c r="J162" s="2" t="n">
        <x:v>447847054</x:v>
      </x:c>
      <x:c r="K162" s="9" t="n">
        <x:v>46282.70989583333</x:v>
      </x:c>
      <x:c r="L162" s="2" t="n">
        <x:v>0</x:v>
      </x:c>
      <x:c r="M162" s="2" t="n">
        <x:v>1</x:v>
      </x:c>
      <x:c r="N162" s="2" t="str">
        <x:v>AjgCfyw7FV8xVxAtKpzhkB43swJFHH3cczsbu6wx22ss</x:v>
      </x:c>
      <x:c r="O162" s="2" t="str">
        <x:v>https://solscan.io/tx/44w1c883A4ZoeuGzW3WihSQZcP74AYFsXvwtNqtU5Fd7gcBoQmSeDAGTp95qqWjPFXXnM9Nz3SvPPDGTb4A4LJh6</x:v>
      </x:c>
      <x:c r="P162" s="2" t="str">
        <x:v>ok</x:v>
      </x:c>
      <x:c r="Q162" s="2" t="str">
        <x:v>3ucNos4NbumPLZNWztqGHNFFgkHeRMBQAVemeeomsUxv; slot 447847053; age 1s</x:v>
      </x:c>
      <x:c r="R162" s="14" t="str">
        <x:f>IF(AND(C162="Нулевой остаток",I162="Есть цена"),G162,"")</x:f>
      </x:c>
      <x:c r="S162" s="14" t="n">
        <x:f>IF(AND(C162="Докупка",I162="Есть цена"),G162,"")</x:f>
        <x:v>0.049065086123044166</x:v>
      </x:c>
    </x:row>
    <x:row r="163" ht="21" customHeight="1">
      <x:c r="A163" s="2" t="n">
        <x:v>16</x:v>
      </x:c>
      <x:c r="B163" s="2" t="n">
        <x:v>300</x:v>
      </x:c>
      <x:c r="C163" s="2" t="str">
        <x:f>'Покупки'!C23</x:f>
        <x:v>Докупка</x:v>
      </x:c>
      <x:c r="D163" s="9" t="n">
        <x:v>46282.71128472222</x:v>
      </x:c>
      <x:c r="E163" s="12" t="n">
        <x:v>0.003049764857017943</x:v>
      </x:c>
      <x:c r="F163" s="12" t="n">
        <x:f>'Покупки'!H23</x:f>
        <x:v>0.0029038989719704</x:v>
      </x:c>
      <x:c r="G163" s="14" t="n">
        <x:f>IF(I163="Есть цена",IF(AND(ISNUMBER(E163),E163&gt;0,F163&gt;0),E163/F163-1,NA()),"")</x:f>
        <x:v>0.05023104676006285</x:v>
      </x:c>
      <x:c r="H163" s="14" t="str">
        <x:f>IF(AND(I163="Есть цена",I158="Есть цена"),IF(AND(E163&gt;0,E158&gt;0),E163/E158-1,NA()),"")</x:f>
      </x:c>
      <x:c r="I163" s="2" t="str">
        <x:v>Есть цена</x:v>
      </x:c>
      <x:c r="J163" s="2" t="n">
        <x:v>447847349</x:v>
      </x:c>
      <x:c r="K163" s="9" t="n">
        <x:v>46282.71097222222</x:v>
      </x:c>
      <x:c r="L163" s="2" t="n">
        <x:v>27</x:v>
      </x:c>
      <x:c r="M163" s="2" t="n">
        <x:v>9</x:v>
      </x:c>
      <x:c r="N163" s="2" t="str">
        <x:v>AjgCfyw7FV8xVxAtKpzhkB43swJFHH3cczsbu6wx22ss</x:v>
      </x:c>
      <x:c r="O163" s="2" t="str">
        <x:v>https://solscan.io/tx/5MvhkCNGZrGXWi6FrtRABv8dZk8YNNqqzE38T8hEy4msUDLTR5gk7eJCNjFY3xn4LNJA3hv7ceScgqTWX2mcL4HJ</x:v>
      </x:c>
      <x:c r="P163" s="2" t="str">
        <x:v>ok</x:v>
      </x:c>
      <x:c r="Q163" s="2" t="str">
        <x:v>3ucNos4NbumPLZNWztqGHNFFgkHeRMBQAVemeeomsUxv; slot 447847404; age 9s</x:v>
      </x:c>
      <x:c r="R163" s="14" t="str">
        <x:f>IF(AND(C163="Нулевой остаток",I163="Есть цена"),G163,"")</x:f>
      </x:c>
      <x:c r="S163" s="14" t="n">
        <x:f>IF(AND(C163="Докупка",I163="Есть цена"),G163,"")</x:f>
        <x:v>0.05023104676006285</x:v>
      </x:c>
    </x:row>
    <x:row r="164" ht="21" customHeight="1">
      <x:c r="A164" s="2" t="n">
        <x:v>16</x:v>
      </x:c>
      <x:c r="B164" s="2" t="n">
        <x:v>900</x:v>
      </x:c>
      <x:c r="C164" s="2" t="str">
        <x:f>'Покупки'!C23</x:f>
        <x:v>Докупка</x:v>
      </x:c>
      <x:c r="D164" s="9" t="n">
        <x:v>46282.71822916667</x:v>
      </x:c>
      <x:c r="E164" s="12"/>
      <x:c r="F164" s="12" t="n">
        <x:f>'Покупки'!H23</x:f>
        <x:v>0.0029038989719704</x:v>
      </x:c>
      <x:c r="G164" s="14" t="str">
        <x:f>IF(I164="Есть цена",IF(AND(ISNUMBER(E164),E164&gt;0,F164&gt;0),E164/F164-1,NA()),"")</x:f>
      </x:c>
      <x:c r="H164" s="14" t="str">
        <x:f>IF(AND(I164="Есть цена",I158="Есть цена"),IF(AND(E164&gt;0,E158&gt;0),E164/E158-1,NA()),"")</x:f>
      </x:c>
      <x:c r="I164" s="2" t="str">
        <x:v>RPC: данные не загружены</x:v>
      </x:c>
      <x:c r="J164" s="2"/>
      <x:c r="K164" s="9"/>
      <x:c r="L164" s="2"/>
      <x:c r="M164" s="2"/>
      <x:c r="N164" s="2"/>
      <x:c r="O164" s="2"/>
      <x:c r="P164" s="2" t="str">
        <x:v>not_cached:getBlock:block_447849318</x:v>
      </x:c>
      <x:c r="Q164" s="2" t="str"/>
      <x:c r="R164" s="14" t="str">
        <x:f>IF(AND(C164="Нулевой остаток",I164="Есть цена"),G164,"")</x:f>
      </x:c>
      <x:c r="S164" s="14" t="str">
        <x:f>IF(AND(C164="Докупка",I164="Есть цена"),G164,"")</x:f>
      </x:c>
    </x:row>
    <x:row r="165" ht="21" customHeight="1">
      <x:c r="A165" s="2" t="n">
        <x:v>16</x:v>
      </x:c>
      <x:c r="B165" s="2" t="n">
        <x:v>3600</x:v>
      </x:c>
      <x:c r="C165" s="2" t="str">
        <x:f>'Покупки'!C23</x:f>
        <x:v>Докупка</x:v>
      </x:c>
      <x:c r="D165" s="9" t="n">
        <x:v>46282.74947916667</x:v>
      </x:c>
      <x:c r="E165" s="12" t="n">
        <x:v>0.0026018822335798814</x:v>
      </x:c>
      <x:c r="F165" s="12" t="n">
        <x:f>'Покупки'!H23</x:f>
        <x:v>0.0029038989719704</x:v>
      </x:c>
      <x:c r="G165" s="14" t="n">
        <x:f>IF(I165="Есть цена",IF(AND(ISNUMBER(E165),E165&gt;0,F165&gt;0),E165/F165-1,NA()),"")</x:f>
        <x:v>-0.1040038724851331</x:v>
      </x:c>
      <x:c r="H165" s="14" t="str">
        <x:f>IF(AND(I165="Есть цена",I158="Есть цена"),IF(AND(E165&gt;0,E158&gt;0),E165/E158-1,NA()),"")</x:f>
      </x:c>
      <x:c r="I165" s="2" t="str">
        <x:v>Есть цена</x:v>
      </x:c>
      <x:c r="J165" s="2" t="n">
        <x:v>447857815</x:v>
      </x:c>
      <x:c r="K165" s="9" t="n">
        <x:v>46282.7494212963</x:v>
      </x:c>
      <x:c r="L165" s="2" t="n">
        <x:v>5</x:v>
      </x:c>
      <x:c r="M165" s="2" t="n">
        <x:v>3</x:v>
      </x:c>
      <x:c r="N165" s="2" t="str">
        <x:v>AjgCfyw7FV8xVxAtKpzhkB43swJFHH3cczsbu6wx22ss</x:v>
      </x:c>
      <x:c r="O165" s="2" t="str">
        <x:v>https://solscan.io/tx/3SscpykGGU632Et2K2wRCRr6gErAZaLSUxiGDkvbvFXJoqYsDT2PqpK7Jmy9dvrLmPwVNpP8Q775W4g46YjtHRVS</x:v>
      </x:c>
      <x:c r="P165" s="2" t="str">
        <x:v>ok</x:v>
      </x:c>
      <x:c r="Q165" s="2" t="str">
        <x:v>3ucNos4NbumPLZNWztqGHNFFgkHeRMBQAVemeeomsUxv; slot 447857822; age 3s</x:v>
      </x:c>
      <x:c r="R165" s="14" t="str">
        <x:f>IF(AND(C165="Нулевой остаток",I165="Есть цена"),G165,"")</x:f>
      </x:c>
      <x:c r="S165" s="14" t="n">
        <x:f>IF(AND(C165="Докупка",I165="Есть цена"),G165,"")</x:f>
        <x:v>-0.1040038724851331</x:v>
      </x:c>
    </x:row>
    <x:row r="166" ht="21" customHeight="1">
      <x:c r="A166" s="2" t="n">
        <x:v>16</x:v>
      </x:c>
      <x:c r="B166" s="2" t="n">
        <x:v>21600</x:v>
      </x:c>
      <x:c r="C166" s="2" t="str">
        <x:f>'Покупки'!C23</x:f>
        <x:v>Докупка</x:v>
      </x:c>
      <x:c r="D166" s="9" t="n">
        <x:v>46282.9578125</x:v>
      </x:c>
      <x:c r="E166" s="12"/>
      <x:c r="F166" s="12" t="n">
        <x:f>'Покупки'!H23</x:f>
        <x:v>0.0029038989719704</x:v>
      </x:c>
      <x:c r="G166" s="14" t="str">
        <x:f>IF(I166="Есть цена",IF(AND(ISNUMBER(E166),E166&gt;0,F166&gt;0),E166/F166-1,NA()),"")</x:f>
      </x:c>
      <x:c r="H166" s="14" t="str">
        <x:f>IF(AND(I166="Есть цена",I158="Есть цена"),IF(AND(E166&gt;0,E158&gt;0),E166/E158-1,NA()),"")</x:f>
      </x:c>
      <x:c r="I166" s="2" t="str">
        <x:v>Ещё рано</x:v>
      </x:c>
      <x:c r="J166" s="2"/>
      <x:c r="K166" s="9"/>
      <x:c r="L166" s="2"/>
      <x:c r="M166" s="2"/>
      <x:c r="N166" s="2"/>
      <x:c r="O166" s="2"/>
      <x:c r="P166" s="2" t="str">
        <x:v>future</x:v>
      </x:c>
      <x:c r="Q166" s="2" t="str"/>
      <x:c r="R166" s="14" t="str">
        <x:f>IF(AND(C166="Нулевой остаток",I166="Есть цена"),G166,"")</x:f>
      </x:c>
      <x:c r="S166" s="14" t="str">
        <x:f>IF(AND(C166="Докупка",I166="Есть цена"),G166,"")</x:f>
      </x:c>
    </x:row>
    <x:row r="167" ht="21" customHeight="1">
      <x:c r="A167" s="2" t="n">
        <x:v>16</x:v>
      </x:c>
      <x:c r="B167" s="2" t="n">
        <x:v>86400</x:v>
      </x:c>
      <x:c r="C167" s="2" t="str">
        <x:f>'Покупки'!C23</x:f>
        <x:v>Докупка</x:v>
      </x:c>
      <x:c r="D167" s="9" t="n">
        <x:v>46283.7078125</x:v>
      </x:c>
      <x:c r="E167" s="12"/>
      <x:c r="F167" s="12" t="n">
        <x:f>'Покупки'!H23</x:f>
        <x:v>0.0029038989719704</x:v>
      </x:c>
      <x:c r="G167" s="14" t="str">
        <x:f>IF(I167="Есть цена",IF(AND(ISNUMBER(E167),E167&gt;0,F167&gt;0),E167/F167-1,NA()),"")</x:f>
      </x:c>
      <x:c r="H167" s="14" t="str">
        <x:f>IF(AND(I167="Есть цена",I158="Есть цена"),IF(AND(E167&gt;0,E158&gt;0),E167/E158-1,NA()),"")</x:f>
      </x:c>
      <x:c r="I167" s="2" t="str">
        <x:v>Ещё рано</x:v>
      </x:c>
      <x:c r="J167" s="2"/>
      <x:c r="K167" s="9"/>
      <x:c r="L167" s="2"/>
      <x:c r="M167" s="2"/>
      <x:c r="N167" s="2"/>
      <x:c r="O167" s="2"/>
      <x:c r="P167" s="2" t="str">
        <x:v>future</x:v>
      </x:c>
      <x:c r="Q167" s="2" t="str"/>
      <x:c r="R167" s="14" t="str">
        <x:f>IF(AND(C167="Нулевой остаток",I167="Есть цена"),G167,"")</x:f>
      </x:c>
      <x:c r="S167" s="14" t="str">
        <x:f>IF(AND(C167="Докупка",I167="Есть цена"),G167,"")</x:f>
      </x:c>
    </x:row>
    <x:row r="168" ht="21" customHeight="1">
      <x:c r="A168" s="2" t="n">
        <x:v>17</x:v>
      </x:c>
      <x:c r="B168" s="2" t="n">
        <x:v>5</x:v>
      </x:c>
      <x:c r="C168" s="2" t="str">
        <x:f>'Покупки'!C24</x:f>
        <x:v>Нулевой остаток</x:v>
      </x:c>
      <x:c r="D168" s="9" t="n">
        <x:v>46282.70427083333</x:v>
      </x:c>
      <x:c r="E168" s="12"/>
      <x:c r="F168" s="12" t="n">
        <x:f>'Покупки'!H24</x:f>
        <x:v>0.00005619313267948778</x:v>
      </x:c>
      <x:c r="G168" s="14" t="str">
        <x:f>IF(I168="Есть цена",IF(AND(ISNUMBER(E168),E168&gt;0,F168&gt;0),E168/F168-1,NA()),"")</x:f>
      </x:c>
      <x:c r="H168" s="14" t="str">
        <x:f>IF(AND(I168="Есть цена",I168="Есть цена"),IF(AND(E168&gt;0,E168&gt;0),E168/E168-1,NA()),"")</x:f>
      </x:c>
      <x:c r="I168" s="2" t="str">
        <x:v>Нужен пул после миграции</x:v>
      </x:c>
      <x:c r="J168" s="2" t="n">
        <x:v>447845514</x:v>
      </x:c>
      <x:c r="K168" s="9" t="n">
        <x:v>46282.70422453704</x:v>
      </x:c>
      <x:c r="L168" s="2" t="n">
        <x:v>4</x:v>
      </x:c>
      <x:c r="M168" s="2"/>
      <x:c r="N168" s="2" t="str">
        <x:v>CBiJPxHT3rBo39yzHpaTDZtqUi9YWxiXc4dBGDLsJbAU</x:v>
      </x:c>
      <x:c r="O168" s="2" t="str">
        <x:v>https://solscan.io/tx/5zCyZVNRuKZHdG5vYYnSMf4g62Qj6ToK5RTwfDjTYQj7EX7ZbCTfD7WqNbcLJu4zMNcdKu6BRBPnNhbPUe68QrnB</x:v>
      </x:c>
      <x:c r="P168" s="2" t="str">
        <x:v>launch_migration_requires_new_pool</x:v>
      </x:c>
      <x:c r="Q168" s="2" t="str"/>
      <x:c r="R168" s="14" t="str">
        <x:f>IF(AND(C168="Нулевой остаток",I168="Есть цена"),G168,"")</x:f>
      </x:c>
      <x:c r="S168" s="14" t="str">
        <x:f>IF(AND(C168="Докупка",I168="Есть цена"),G168,"")</x:f>
      </x:c>
    </x:row>
    <x:row r="169" ht="21" customHeight="1">
      <x:c r="A169" s="2" t="n">
        <x:v>17</x:v>
      </x:c>
      <x:c r="B169" s="2" t="n">
        <x:v>15</x:v>
      </x:c>
      <x:c r="C169" s="2" t="str">
        <x:f>'Покупки'!C24</x:f>
        <x:v>Нулевой остаток</x:v>
      </x:c>
      <x:c r="D169" s="9" t="n">
        <x:v>46282.70438657407</x:v>
      </x:c>
      <x:c r="E169" s="12"/>
      <x:c r="F169" s="12" t="n">
        <x:f>'Покупки'!H24</x:f>
        <x:v>0.00005619313267948778</x:v>
      </x:c>
      <x:c r="G169" s="14" t="str">
        <x:f>IF(I169="Есть цена",IF(AND(ISNUMBER(E169),E169&gt;0,F169&gt;0),E169/F169-1,NA()),"")</x:f>
      </x:c>
      <x:c r="H169" s="14" t="str">
        <x:f>IF(AND(I169="Есть цена",I168="Есть цена"),IF(AND(E169&gt;0,E168&gt;0),E169/E168-1,NA()),"")</x:f>
      </x:c>
      <x:c r="I169" s="2" t="str">
        <x:v>Нужен пул после миграции</x:v>
      </x:c>
      <x:c r="J169" s="2" t="n">
        <x:v>447845514</x:v>
      </x:c>
      <x:c r="K169" s="9" t="n">
        <x:v>46282.70422453704</x:v>
      </x:c>
      <x:c r="L169" s="2" t="n">
        <x:v>14</x:v>
      </x:c>
      <x:c r="M169" s="2"/>
      <x:c r="N169" s="2" t="str">
        <x:v>CBiJPxHT3rBo39yzHpaTDZtqUi9YWxiXc4dBGDLsJbAU</x:v>
      </x:c>
      <x:c r="O169" s="2" t="str">
        <x:v>https://solscan.io/tx/5zCyZVNRuKZHdG5vYYnSMf4g62Qj6ToK5RTwfDjTYQj7EX7ZbCTfD7WqNbcLJu4zMNcdKu6BRBPnNhbPUe68QrnB</x:v>
      </x:c>
      <x:c r="P169" s="2" t="str">
        <x:v>launch_migration_requires_new_pool</x:v>
      </x:c>
      <x:c r="Q169" s="2" t="str"/>
      <x:c r="R169" s="14" t="str">
        <x:f>IF(AND(C169="Нулевой остаток",I169="Есть цена"),G169,"")</x:f>
      </x:c>
      <x:c r="S169" s="14" t="str">
        <x:f>IF(AND(C169="Докупка",I169="Есть цена"),G169,"")</x:f>
      </x:c>
    </x:row>
    <x:row r="170" ht="21" customHeight="1">
      <x:c r="A170" s="2" t="n">
        <x:v>17</x:v>
      </x:c>
      <x:c r="B170" s="2" t="n">
        <x:v>30</x:v>
      </x:c>
      <x:c r="C170" s="2" t="str">
        <x:f>'Покупки'!C24</x:f>
        <x:v>Нулевой остаток</x:v>
      </x:c>
      <x:c r="D170" s="9" t="n">
        <x:v>46282.704560185186</x:v>
      </x:c>
      <x:c r="E170" s="12"/>
      <x:c r="F170" s="12" t="n">
        <x:f>'Покупки'!H24</x:f>
        <x:v>0.00005619313267948778</x:v>
      </x:c>
      <x:c r="G170" s="14" t="str">
        <x:f>IF(I170="Есть цена",IF(AND(ISNUMBER(E170),E170&gt;0,F170&gt;0),E170/F170-1,NA()),"")</x:f>
      </x:c>
      <x:c r="H170" s="14" t="str">
        <x:f>IF(AND(I170="Есть цена",I168="Есть цена"),IF(AND(E170&gt;0,E168&gt;0),E170/E168-1,NA()),"")</x:f>
      </x:c>
      <x:c r="I170" s="2" t="str">
        <x:v>Нужен пул после миграции</x:v>
      </x:c>
      <x:c r="J170" s="2" t="n">
        <x:v>447845514</x:v>
      </x:c>
      <x:c r="K170" s="9" t="n">
        <x:v>46282.70422453704</x:v>
      </x:c>
      <x:c r="L170" s="2" t="n">
        <x:v>29</x:v>
      </x:c>
      <x:c r="M170" s="2"/>
      <x:c r="N170" s="2" t="str">
        <x:v>CBiJPxHT3rBo39yzHpaTDZtqUi9YWxiXc4dBGDLsJbAU</x:v>
      </x:c>
      <x:c r="O170" s="2" t="str">
        <x:v>https://solscan.io/tx/5zCyZVNRuKZHdG5vYYnSMf4g62Qj6ToK5RTwfDjTYQj7EX7ZbCTfD7WqNbcLJu4zMNcdKu6BRBPnNhbPUe68QrnB</x:v>
      </x:c>
      <x:c r="P170" s="2" t="str">
        <x:v>launch_migration_requires_new_pool</x:v>
      </x:c>
      <x:c r="Q170" s="2" t="str"/>
      <x:c r="R170" s="14" t="str">
        <x:f>IF(AND(C170="Нулевой остаток",I170="Есть цена"),G170,"")</x:f>
      </x:c>
      <x:c r="S170" s="14" t="str">
        <x:f>IF(AND(C170="Докупка",I170="Есть цена"),G170,"")</x:f>
      </x:c>
    </x:row>
    <x:row r="171" ht="21" customHeight="1">
      <x:c r="A171" s="2" t="n">
        <x:v>17</x:v>
      </x:c>
      <x:c r="B171" s="2" t="n">
        <x:v>60</x:v>
      </x:c>
      <x:c r="C171" s="2" t="str">
        <x:f>'Покупки'!C24</x:f>
        <x:v>Нулевой остаток</x:v>
      </x:c>
      <x:c r="D171" s="9" t="n">
        <x:v>46282.70490740741</x:v>
      </x:c>
      <x:c r="E171" s="12"/>
      <x:c r="F171" s="12" t="n">
        <x:f>'Покупки'!H24</x:f>
        <x:v>0.00005619313267948778</x:v>
      </x:c>
      <x:c r="G171" s="14" t="str">
        <x:f>IF(I171="Есть цена",IF(AND(ISNUMBER(E171),E171&gt;0,F171&gt;0),E171/F171-1,NA()),"")</x:f>
      </x:c>
      <x:c r="H171" s="14" t="str">
        <x:f>IF(AND(I171="Есть цена",I168="Есть цена"),IF(AND(E171&gt;0,E168&gt;0),E171/E168-1,NA()),"")</x:f>
      </x:c>
      <x:c r="I171" s="2" t="str">
        <x:v>Нужен пул после миграции</x:v>
      </x:c>
      <x:c r="J171" s="2" t="n">
        <x:v>447845514</x:v>
      </x:c>
      <x:c r="K171" s="9" t="n">
        <x:v>46282.70422453704</x:v>
      </x:c>
      <x:c r="L171" s="2" t="n">
        <x:v>59</x:v>
      </x:c>
      <x:c r="M171" s="2"/>
      <x:c r="N171" s="2" t="str">
        <x:v>CBiJPxHT3rBo39yzHpaTDZtqUi9YWxiXc4dBGDLsJbAU</x:v>
      </x:c>
      <x:c r="O171" s="2" t="str">
        <x:v>https://solscan.io/tx/5zCyZVNRuKZHdG5vYYnSMf4g62Qj6ToK5RTwfDjTYQj7EX7ZbCTfD7WqNbcLJu4zMNcdKu6BRBPnNhbPUe68QrnB</x:v>
      </x:c>
      <x:c r="P171" s="2" t="str">
        <x:v>launch_migration_requires_new_pool</x:v>
      </x:c>
      <x:c r="Q171" s="2" t="str"/>
      <x:c r="R171" s="14" t="str">
        <x:f>IF(AND(C171="Нулевой остаток",I171="Есть цена"),G171,"")</x:f>
      </x:c>
      <x:c r="S171" s="14" t="str">
        <x:f>IF(AND(C171="Докупка",I171="Есть цена"),G171,"")</x:f>
      </x:c>
    </x:row>
    <x:row r="172" ht="21" customHeight="1">
      <x:c r="A172" s="2" t="n">
        <x:v>17</x:v>
      </x:c>
      <x:c r="B172" s="2" t="n">
        <x:v>180</x:v>
      </x:c>
      <x:c r="C172" s="2" t="str">
        <x:f>'Покупки'!C24</x:f>
        <x:v>Нулевой остаток</x:v>
      </x:c>
      <x:c r="D172" s="9" t="n">
        <x:v>46282.706296296295</x:v>
      </x:c>
      <x:c r="E172" s="12"/>
      <x:c r="F172" s="12" t="n">
        <x:f>'Покупки'!H24</x:f>
        <x:v>0.00005619313267948778</x:v>
      </x:c>
      <x:c r="G172" s="14" t="str">
        <x:f>IF(I172="Есть цена",IF(AND(ISNUMBER(E172),E172&gt;0,F172&gt;0),E172/F172-1,NA()),"")</x:f>
      </x:c>
      <x:c r="H172" s="14" t="str">
        <x:f>IF(AND(I172="Есть цена",I168="Есть цена"),IF(AND(E172&gt;0,E168&gt;0),E172/E168-1,NA()),"")</x:f>
      </x:c>
      <x:c r="I172" s="2" t="str">
        <x:v>Нужен пул после миграции</x:v>
      </x:c>
      <x:c r="J172" s="2" t="n">
        <x:v>447845514</x:v>
      </x:c>
      <x:c r="K172" s="9" t="n">
        <x:v>46282.70422453704</x:v>
      </x:c>
      <x:c r="L172" s="2" t="n">
        <x:v>179</x:v>
      </x:c>
      <x:c r="M172" s="2"/>
      <x:c r="N172" s="2" t="str">
        <x:v>CBiJPxHT3rBo39yzHpaTDZtqUi9YWxiXc4dBGDLsJbAU</x:v>
      </x:c>
      <x:c r="O172" s="2" t="str">
        <x:v>https://solscan.io/tx/5zCyZVNRuKZHdG5vYYnSMf4g62Qj6ToK5RTwfDjTYQj7EX7ZbCTfD7WqNbcLJu4zMNcdKu6BRBPnNhbPUe68QrnB</x:v>
      </x:c>
      <x:c r="P172" s="2" t="str">
        <x:v>launch_migration_requires_new_pool</x:v>
      </x:c>
      <x:c r="Q172" s="2" t="str"/>
      <x:c r="R172" s="14" t="str">
        <x:f>IF(AND(C172="Нулевой остаток",I172="Есть цена"),G172,"")</x:f>
      </x:c>
      <x:c r="S172" s="14" t="str">
        <x:f>IF(AND(C172="Докупка",I172="Есть цена"),G172,"")</x:f>
      </x:c>
    </x:row>
    <x:row r="173" ht="21" customHeight="1">
      <x:c r="A173" s="2" t="n">
        <x:v>17</x:v>
      </x:c>
      <x:c r="B173" s="2" t="n">
        <x:v>300</x:v>
      </x:c>
      <x:c r="C173" s="2" t="str">
        <x:f>'Покупки'!C24</x:f>
        <x:v>Нулевой остаток</x:v>
      </x:c>
      <x:c r="D173" s="9" t="n">
        <x:v>46282.70768518518</x:v>
      </x:c>
      <x:c r="E173" s="12"/>
      <x:c r="F173" s="12" t="n">
        <x:f>'Покупки'!H24</x:f>
        <x:v>0.00005619313267948778</x:v>
      </x:c>
      <x:c r="G173" s="14" t="str">
        <x:f>IF(I173="Есть цена",IF(AND(ISNUMBER(E173),E173&gt;0,F173&gt;0),E173/F173-1,NA()),"")</x:f>
      </x:c>
      <x:c r="H173" s="14" t="str">
        <x:f>IF(AND(I173="Есть цена",I168="Есть цена"),IF(AND(E173&gt;0,E168&gt;0),E173/E168-1,NA()),"")</x:f>
      </x:c>
      <x:c r="I173" s="2" t="str">
        <x:v>Нужен пул после миграции</x:v>
      </x:c>
      <x:c r="J173" s="2" t="n">
        <x:v>447845514</x:v>
      </x:c>
      <x:c r="K173" s="9" t="n">
        <x:v>46282.70422453704</x:v>
      </x:c>
      <x:c r="L173" s="2" t="n">
        <x:v>299</x:v>
      </x:c>
      <x:c r="M173" s="2"/>
      <x:c r="N173" s="2" t="str">
        <x:v>CBiJPxHT3rBo39yzHpaTDZtqUi9YWxiXc4dBGDLsJbAU</x:v>
      </x:c>
      <x:c r="O173" s="2" t="str">
        <x:v>https://solscan.io/tx/5zCyZVNRuKZHdG5vYYnSMf4g62Qj6ToK5RTwfDjTYQj7EX7ZbCTfD7WqNbcLJu4zMNcdKu6BRBPnNhbPUe68QrnB</x:v>
      </x:c>
      <x:c r="P173" s="2" t="str">
        <x:v>launch_migration_requires_new_pool</x:v>
      </x:c>
      <x:c r="Q173" s="2" t="str"/>
      <x:c r="R173" s="14" t="str">
        <x:f>IF(AND(C173="Нулевой остаток",I173="Есть цена"),G173,"")</x:f>
      </x:c>
      <x:c r="S173" s="14" t="str">
        <x:f>IF(AND(C173="Докупка",I173="Есть цена"),G173,"")</x:f>
      </x:c>
    </x:row>
    <x:row r="174" ht="21" customHeight="1">
      <x:c r="A174" s="2" t="n">
        <x:v>17</x:v>
      </x:c>
      <x:c r="B174" s="2" t="n">
        <x:v>900</x:v>
      </x:c>
      <x:c r="C174" s="2" t="str">
        <x:f>'Покупки'!C24</x:f>
        <x:v>Нулевой остаток</x:v>
      </x:c>
      <x:c r="D174" s="9" t="n">
        <x:v>46282.71462962963</x:v>
      </x:c>
      <x:c r="E174" s="12"/>
      <x:c r="F174" s="12" t="n">
        <x:f>'Покупки'!H24</x:f>
        <x:v>0.00005619313267948778</x:v>
      </x:c>
      <x:c r="G174" s="14" t="str">
        <x:f>IF(I174="Есть цена",IF(AND(ISNUMBER(E174),E174&gt;0,F174&gt;0),E174/F174-1,NA()),"")</x:f>
      </x:c>
      <x:c r="H174" s="14" t="str">
        <x:f>IF(AND(I174="Есть цена",I168="Есть цена"),IF(AND(E174&gt;0,E168&gt;0),E174/E168-1,NA()),"")</x:f>
      </x:c>
      <x:c r="I174" s="2" t="str">
        <x:v>Нужен пул после миграции</x:v>
      </x:c>
      <x:c r="J174" s="2" t="n">
        <x:v>447845514</x:v>
      </x:c>
      <x:c r="K174" s="9" t="n">
        <x:v>46282.70422453704</x:v>
      </x:c>
      <x:c r="L174" s="2" t="n">
        <x:v>899</x:v>
      </x:c>
      <x:c r="M174" s="2"/>
      <x:c r="N174" s="2" t="str">
        <x:v>CBiJPxHT3rBo39yzHpaTDZtqUi9YWxiXc4dBGDLsJbAU</x:v>
      </x:c>
      <x:c r="O174" s="2" t="str">
        <x:v>https://solscan.io/tx/5zCyZVNRuKZHdG5vYYnSMf4g62Qj6ToK5RTwfDjTYQj7EX7ZbCTfD7WqNbcLJu4zMNcdKu6BRBPnNhbPUe68QrnB</x:v>
      </x:c>
      <x:c r="P174" s="2" t="str">
        <x:v>launch_migration_requires_new_pool</x:v>
      </x:c>
      <x:c r="Q174" s="2" t="str"/>
      <x:c r="R174" s="14" t="str">
        <x:f>IF(AND(C174="Нулевой остаток",I174="Есть цена"),G174,"")</x:f>
      </x:c>
      <x:c r="S174" s="14" t="str">
        <x:f>IF(AND(C174="Докупка",I174="Есть цена"),G174,"")</x:f>
      </x:c>
    </x:row>
    <x:row r="175" ht="21" customHeight="1">
      <x:c r="A175" s="2" t="n">
        <x:v>17</x:v>
      </x:c>
      <x:c r="B175" s="2" t="n">
        <x:v>3600</x:v>
      </x:c>
      <x:c r="C175" s="2" t="str">
        <x:f>'Покупки'!C24</x:f>
        <x:v>Нулевой остаток</x:v>
      </x:c>
      <x:c r="D175" s="9" t="n">
        <x:v>46282.74587962963</x:v>
      </x:c>
      <x:c r="E175" s="12"/>
      <x:c r="F175" s="12" t="n">
        <x:f>'Покупки'!H24</x:f>
        <x:v>0.00005619313267948778</x:v>
      </x:c>
      <x:c r="G175" s="14" t="str">
        <x:f>IF(I175="Есть цена",IF(AND(ISNUMBER(E175),E175&gt;0,F175&gt;0),E175/F175-1,NA()),"")</x:f>
      </x:c>
      <x:c r="H175" s="14" t="str">
        <x:f>IF(AND(I175="Есть цена",I168="Есть цена"),IF(AND(E175&gt;0,E168&gt;0),E175/E168-1,NA()),"")</x:f>
      </x:c>
      <x:c r="I175" s="2" t="str">
        <x:v>Нужен пул после миграции</x:v>
      </x:c>
      <x:c r="J175" s="2" t="n">
        <x:v>447845514</x:v>
      </x:c>
      <x:c r="K175" s="9" t="n">
        <x:v>46282.70422453704</x:v>
      </x:c>
      <x:c r="L175" s="2" t="n">
        <x:v>3599</x:v>
      </x:c>
      <x:c r="M175" s="2"/>
      <x:c r="N175" s="2" t="str">
        <x:v>CBiJPxHT3rBo39yzHpaTDZtqUi9YWxiXc4dBGDLsJbAU</x:v>
      </x:c>
      <x:c r="O175" s="2" t="str">
        <x:v>https://solscan.io/tx/5zCyZVNRuKZHdG5vYYnSMf4g62Qj6ToK5RTwfDjTYQj7EX7ZbCTfD7WqNbcLJu4zMNcdKu6BRBPnNhbPUe68QrnB</x:v>
      </x:c>
      <x:c r="P175" s="2" t="str">
        <x:v>launch_migration_requires_new_pool</x:v>
      </x:c>
      <x:c r="Q175" s="2" t="str"/>
      <x:c r="R175" s="14" t="str">
        <x:f>IF(AND(C175="Нулевой остаток",I175="Есть цена"),G175,"")</x:f>
      </x:c>
      <x:c r="S175" s="14" t="str">
        <x:f>IF(AND(C175="Докупка",I175="Есть цена"),G175,"")</x:f>
      </x:c>
    </x:row>
    <x:row r="176" ht="21" customHeight="1">
      <x:c r="A176" s="2" t="n">
        <x:v>17</x:v>
      </x:c>
      <x:c r="B176" s="2" t="n">
        <x:v>21600</x:v>
      </x:c>
      <x:c r="C176" s="2" t="str">
        <x:f>'Покупки'!C24</x:f>
        <x:v>Нулевой остаток</x:v>
      </x:c>
      <x:c r="D176" s="9" t="n">
        <x:v>46282.95421296296</x:v>
      </x:c>
      <x:c r="E176" s="12"/>
      <x:c r="F176" s="12" t="n">
        <x:f>'Покупки'!H24</x:f>
        <x:v>0.00005619313267948778</x:v>
      </x:c>
      <x:c r="G176" s="14" t="str">
        <x:f>IF(I176="Есть цена",IF(AND(ISNUMBER(E176),E176&gt;0,F176&gt;0),E176/F176-1,NA()),"")</x:f>
      </x:c>
      <x:c r="H176" s="14" t="str">
        <x:f>IF(AND(I176="Есть цена",I168="Есть цена"),IF(AND(E176&gt;0,E168&gt;0),E176/E168-1,NA()),"")</x:f>
      </x:c>
      <x:c r="I176" s="2" t="str">
        <x:v>Ещё рано</x:v>
      </x:c>
      <x:c r="J176" s="2"/>
      <x:c r="K176" s="9"/>
      <x:c r="L176" s="2"/>
      <x:c r="M176" s="2"/>
      <x:c r="N176" s="2"/>
      <x:c r="O176" s="2"/>
      <x:c r="P176" s="2" t="str">
        <x:v>future</x:v>
      </x:c>
      <x:c r="Q176" s="2" t="str"/>
      <x:c r="R176" s="14" t="str">
        <x:f>IF(AND(C176="Нулевой остаток",I176="Есть цена"),G176,"")</x:f>
      </x:c>
      <x:c r="S176" s="14" t="str">
        <x:f>IF(AND(C176="Докупка",I176="Есть цена"),G176,"")</x:f>
      </x:c>
    </x:row>
    <x:row r="177" ht="21" customHeight="1">
      <x:c r="A177" s="2" t="n">
        <x:v>17</x:v>
      </x:c>
      <x:c r="B177" s="2" t="n">
        <x:v>86400</x:v>
      </x:c>
      <x:c r="C177" s="2" t="str">
        <x:f>'Покупки'!C24</x:f>
        <x:v>Нулевой остаток</x:v>
      </x:c>
      <x:c r="D177" s="9" t="n">
        <x:v>46283.70421296296</x:v>
      </x:c>
      <x:c r="E177" s="12"/>
      <x:c r="F177" s="12" t="n">
        <x:f>'Покупки'!H24</x:f>
        <x:v>0.00005619313267948778</x:v>
      </x:c>
      <x:c r="G177" s="14" t="str">
        <x:f>IF(I177="Есть цена",IF(AND(ISNUMBER(E177),E177&gt;0,F177&gt;0),E177/F177-1,NA()),"")</x:f>
      </x:c>
      <x:c r="H177" s="14" t="str">
        <x:f>IF(AND(I177="Есть цена",I168="Есть цена"),IF(AND(E177&gt;0,E168&gt;0),E177/E168-1,NA()),"")</x:f>
      </x:c>
      <x:c r="I177" s="2" t="str">
        <x:v>Ещё рано</x:v>
      </x:c>
      <x:c r="J177" s="2"/>
      <x:c r="K177" s="9"/>
      <x:c r="L177" s="2"/>
      <x:c r="M177" s="2"/>
      <x:c r="N177" s="2"/>
      <x:c r="O177" s="2"/>
      <x:c r="P177" s="2" t="str">
        <x:v>future</x:v>
      </x:c>
      <x:c r="Q177" s="2" t="str"/>
      <x:c r="R177" s="14" t="str">
        <x:f>IF(AND(C177="Нулевой остаток",I177="Есть цена"),G177,"")</x:f>
      </x:c>
      <x:c r="S177" s="14" t="str">
        <x:f>IF(AND(C177="Докупка",I177="Есть цена"),G177,"")</x:f>
      </x:c>
    </x:row>
    <x:row r="178" ht="21" customHeight="1">
      <x:c r="A178" s="2" t="n">
        <x:v>18</x:v>
      </x:c>
      <x:c r="B178" s="2" t="n">
        <x:v>5</x:v>
      </x:c>
      <x:c r="C178" s="2" t="str">
        <x:f>'Покупки'!C25</x:f>
        <x:v>Нулевой остаток</x:v>
      </x:c>
      <x:c r="D178" s="9" t="n">
        <x:v>46282.70402777778</x:v>
      </x:c>
      <x:c r="E178" s="12"/>
      <x:c r="F178" s="12" t="n">
        <x:f>'Покупки'!H25</x:f>
        <x:v>0.000040624260113832176</x:v>
      </x:c>
      <x:c r="G178" s="14" t="str">
        <x:f>IF(I178="Есть цена",IF(AND(ISNUMBER(E178),E178&gt;0,F178&gt;0),E178/F178-1,NA()),"")</x:f>
      </x:c>
      <x:c r="H178" s="14" t="str">
        <x:f>IF(AND(I178="Есть цена",I178="Есть цена"),IF(AND(E178&gt;0,E178&gt;0),E178/E178-1,NA()),"")</x:f>
      </x:c>
      <x:c r="I178" s="2" t="str">
        <x:v>RPC: данные не загружены</x:v>
      </x:c>
      <x:c r="J178" s="2"/>
      <x:c r="K178" s="9"/>
      <x:c r="L178" s="2"/>
      <x:c r="M178" s="2"/>
      <x:c r="N178" s="2"/>
      <x:c r="O178" s="2"/>
      <x:c r="P178" s="2" t="str">
        <x:v>not_cached:getBlock:block_447845460</x:v>
      </x:c>
      <x:c r="Q178" s="2" t="str"/>
      <x:c r="R178" s="14" t="str">
        <x:f>IF(AND(C178="Нулевой остаток",I178="Есть цена"),G178,"")</x:f>
      </x:c>
      <x:c r="S178" s="14" t="str">
        <x:f>IF(AND(C178="Докупка",I178="Есть цена"),G178,"")</x:f>
      </x:c>
    </x:row>
    <x:row r="179" ht="21" customHeight="1">
      <x:c r="A179" s="2" t="n">
        <x:v>18</x:v>
      </x:c>
      <x:c r="B179" s="2" t="n">
        <x:v>15</x:v>
      </x:c>
      <x:c r="C179" s="2" t="str">
        <x:f>'Покупки'!C25</x:f>
        <x:v>Нулевой остаток</x:v>
      </x:c>
      <x:c r="D179" s="9" t="n">
        <x:v>46282.70414351852</x:v>
      </x:c>
      <x:c r="E179" s="12"/>
      <x:c r="F179" s="12" t="n">
        <x:f>'Покупки'!H25</x:f>
        <x:v>0.000040624260113832176</x:v>
      </x:c>
      <x:c r="G179" s="14" t="str">
        <x:f>IF(I179="Есть цена",IF(AND(ISNUMBER(E179),E179&gt;0,F179&gt;0),E179/F179-1,NA()),"")</x:f>
      </x:c>
      <x:c r="H179" s="14" t="str">
        <x:f>IF(AND(I179="Есть цена",I178="Есть цена"),IF(AND(E179&gt;0,E178&gt;0),E179/E178-1,NA()),"")</x:f>
      </x:c>
      <x:c r="I179" s="2" t="str">
        <x:v>RPC: данные не загружены</x:v>
      </x:c>
      <x:c r="J179" s="2"/>
      <x:c r="K179" s="9"/>
      <x:c r="L179" s="2"/>
      <x:c r="M179" s="2"/>
      <x:c r="N179" s="2"/>
      <x:c r="O179" s="2"/>
      <x:c r="P179" s="2" t="str">
        <x:v>not_cached:getBlock:block_447845492</x:v>
      </x:c>
      <x:c r="Q179" s="2" t="str"/>
      <x:c r="R179" s="14" t="str">
        <x:f>IF(AND(C179="Нулевой остаток",I179="Есть цена"),G179,"")</x:f>
      </x:c>
      <x:c r="S179" s="14" t="str">
        <x:f>IF(AND(C179="Докупка",I179="Есть цена"),G179,"")</x:f>
      </x:c>
    </x:row>
    <x:row r="180" ht="21" customHeight="1">
      <x:c r="A180" s="2" t="n">
        <x:v>18</x:v>
      </x:c>
      <x:c r="B180" s="2" t="n">
        <x:v>30</x:v>
      </x:c>
      <x:c r="C180" s="2" t="str">
        <x:f>'Покупки'!C25</x:f>
        <x:v>Нулевой остаток</x:v>
      </x:c>
      <x:c r="D180" s="9" t="n">
        <x:v>46282.70431712963</x:v>
      </x:c>
      <x:c r="E180" s="12"/>
      <x:c r="F180" s="12" t="n">
        <x:f>'Покупки'!H25</x:f>
        <x:v>0.000040624260113832176</x:v>
      </x:c>
      <x:c r="G180" s="14" t="str">
        <x:f>IF(I180="Есть цена",IF(AND(ISNUMBER(E180),E180&gt;0,F180&gt;0),E180/F180-1,NA()),"")</x:f>
      </x:c>
      <x:c r="H180" s="14" t="str">
        <x:f>IF(AND(I180="Есть цена",I178="Есть цена"),IF(AND(E180&gt;0,E178&gt;0),E180/E178-1,NA()),"")</x:f>
      </x:c>
      <x:c r="I180" s="2" t="str">
        <x:v>RPC: данные не загружены</x:v>
      </x:c>
      <x:c r="J180" s="2"/>
      <x:c r="K180" s="9"/>
      <x:c r="L180" s="2"/>
      <x:c r="M180" s="2"/>
      <x:c r="N180" s="2"/>
      <x:c r="O180" s="2"/>
      <x:c r="P180" s="2" t="str">
        <x:v>not_cached:getBlock:block_447845542</x:v>
      </x:c>
      <x:c r="Q180" s="2" t="str"/>
      <x:c r="R180" s="14" t="str">
        <x:f>IF(AND(C180="Нулевой остаток",I180="Есть цена"),G180,"")</x:f>
      </x:c>
      <x:c r="S180" s="14" t="str">
        <x:f>IF(AND(C180="Докупка",I180="Есть цена"),G180,"")</x:f>
      </x:c>
    </x:row>
    <x:row r="181" ht="21" customHeight="1">
      <x:c r="A181" s="2" t="n">
        <x:v>18</x:v>
      </x:c>
      <x:c r="B181" s="2" t="n">
        <x:v>60</x:v>
      </x:c>
      <x:c r="C181" s="2" t="str">
        <x:f>'Покупки'!C25</x:f>
        <x:v>Нулевой остаток</x:v>
      </x:c>
      <x:c r="D181" s="9" t="n">
        <x:v>46282.704664351855</x:v>
      </x:c>
      <x:c r="E181" s="12"/>
      <x:c r="F181" s="12" t="n">
        <x:f>'Покупки'!H25</x:f>
        <x:v>0.000040624260113832176</x:v>
      </x:c>
      <x:c r="G181" s="14" t="str">
        <x:f>IF(I181="Есть цена",IF(AND(ISNUMBER(E181),E181&gt;0,F181&gt;0),E181/F181-1,NA()),"")</x:f>
      </x:c>
      <x:c r="H181" s="14" t="str">
        <x:f>IF(AND(I181="Есть цена",I178="Есть цена"),IF(AND(E181&gt;0,E178&gt;0),E181/E178-1,NA()),"")</x:f>
      </x:c>
      <x:c r="I181" s="2" t="str">
        <x:v>RPC: данные не загружены</x:v>
      </x:c>
      <x:c r="J181" s="2"/>
      <x:c r="K181" s="9"/>
      <x:c r="L181" s="2"/>
      <x:c r="M181" s="2"/>
      <x:c r="N181" s="2"/>
      <x:c r="O181" s="2"/>
      <x:c r="P181" s="2" t="str">
        <x:v>not_cached:getBlock:block_447845633</x:v>
      </x:c>
      <x:c r="Q181" s="2" t="str"/>
      <x:c r="R181" s="14" t="str">
        <x:f>IF(AND(C181="Нулевой остаток",I181="Есть цена"),G181,"")</x:f>
      </x:c>
      <x:c r="S181" s="14" t="str">
        <x:f>IF(AND(C181="Докупка",I181="Есть цена"),G181,"")</x:f>
      </x:c>
    </x:row>
    <x:row r="182" ht="21" customHeight="1">
      <x:c r="A182" s="2" t="n">
        <x:v>18</x:v>
      </x:c>
      <x:c r="B182" s="2" t="n">
        <x:v>180</x:v>
      </x:c>
      <x:c r="C182" s="2" t="str">
        <x:f>'Покупки'!C25</x:f>
        <x:v>Нулевой остаток</x:v>
      </x:c>
      <x:c r="D182" s="9" t="n">
        <x:v>46282.70605324074</x:v>
      </x:c>
      <x:c r="E182" s="12"/>
      <x:c r="F182" s="12" t="n">
        <x:f>'Покупки'!H25</x:f>
        <x:v>0.000040624260113832176</x:v>
      </x:c>
      <x:c r="G182" s="14" t="str">
        <x:f>IF(I182="Есть цена",IF(AND(ISNUMBER(E182),E182&gt;0,F182&gt;0),E182/F182-1,NA()),"")</x:f>
      </x:c>
      <x:c r="H182" s="14" t="str">
        <x:f>IF(AND(I182="Есть цена",I178="Есть цена"),IF(AND(E182&gt;0,E178&gt;0),E182/E178-1,NA()),"")</x:f>
      </x:c>
      <x:c r="I182" s="2" t="str">
        <x:v>RPC: данные не загружены</x:v>
      </x:c>
      <x:c r="J182" s="2"/>
      <x:c r="K182" s="9"/>
      <x:c r="L182" s="2"/>
      <x:c r="M182" s="2"/>
      <x:c r="N182" s="2"/>
      <x:c r="O182" s="2"/>
      <x:c r="P182" s="2" t="str">
        <x:v>not_cached:getBlock:block_447846012</x:v>
      </x:c>
      <x:c r="Q182" s="2" t="str"/>
      <x:c r="R182" s="14" t="str">
        <x:f>IF(AND(C182="Нулевой остаток",I182="Есть цена"),G182,"")</x:f>
      </x:c>
      <x:c r="S182" s="14" t="str">
        <x:f>IF(AND(C182="Докупка",I182="Есть цена"),G182,"")</x:f>
      </x:c>
    </x:row>
    <x:row r="183" ht="21" customHeight="1">
      <x:c r="A183" s="2" t="n">
        <x:v>18</x:v>
      </x:c>
      <x:c r="B183" s="2" t="n">
        <x:v>300</x:v>
      </x:c>
      <x:c r="C183" s="2" t="str">
        <x:f>'Покупки'!C25</x:f>
        <x:v>Нулевой остаток</x:v>
      </x:c>
      <x:c r="D183" s="9" t="n">
        <x:v>46282.70744212963</x:v>
      </x:c>
      <x:c r="E183" s="12"/>
      <x:c r="F183" s="12" t="n">
        <x:f>'Покупки'!H25</x:f>
        <x:v>0.000040624260113832176</x:v>
      </x:c>
      <x:c r="G183" s="14" t="str">
        <x:f>IF(I183="Есть цена",IF(AND(ISNUMBER(E183),E183&gt;0,F183&gt;0),E183/F183-1,NA()),"")</x:f>
      </x:c>
      <x:c r="H183" s="14" t="str">
        <x:f>IF(AND(I183="Есть цена",I178="Есть цена"),IF(AND(E183&gt;0,E178&gt;0),E183/E178-1,NA()),"")</x:f>
      </x:c>
      <x:c r="I183" s="2" t="str">
        <x:v>RPC: данные не загружены</x:v>
      </x:c>
      <x:c r="J183" s="2"/>
      <x:c r="K183" s="9"/>
      <x:c r="L183" s="2"/>
      <x:c r="M183" s="2"/>
      <x:c r="N183" s="2"/>
      <x:c r="O183" s="2"/>
      <x:c r="P183" s="2" t="str">
        <x:v>not_cached:getBlock:block_447846384</x:v>
      </x:c>
      <x:c r="Q183" s="2" t="str"/>
      <x:c r="R183" s="14" t="str">
        <x:f>IF(AND(C183="Нулевой остаток",I183="Есть цена"),G183,"")</x:f>
      </x:c>
      <x:c r="S183" s="14" t="str">
        <x:f>IF(AND(C183="Докупка",I183="Есть цена"),G183,"")</x:f>
      </x:c>
    </x:row>
    <x:row r="184" ht="21" customHeight="1">
      <x:c r="A184" s="2" t="n">
        <x:v>18</x:v>
      </x:c>
      <x:c r="B184" s="2" t="n">
        <x:v>900</x:v>
      </x:c>
      <x:c r="C184" s="2" t="str">
        <x:f>'Покупки'!C25</x:f>
        <x:v>Нулевой остаток</x:v>
      </x:c>
      <x:c r="D184" s="9" t="n">
        <x:v>46282.71438657407</x:v>
      </x:c>
      <x:c r="E184" s="12"/>
      <x:c r="F184" s="12" t="n">
        <x:f>'Покупки'!H25</x:f>
        <x:v>0.000040624260113832176</x:v>
      </x:c>
      <x:c r="G184" s="14" t="str">
        <x:f>IF(I184="Есть цена",IF(AND(ISNUMBER(E184),E184&gt;0,F184&gt;0),E184/F184-1,NA()),"")</x:f>
      </x:c>
      <x:c r="H184" s="14" t="str">
        <x:f>IF(AND(I184="Есть цена",I178="Есть цена"),IF(AND(E184&gt;0,E178&gt;0),E184/E178-1,NA()),"")</x:f>
      </x:c>
      <x:c r="I184" s="2" t="str">
        <x:v>RPC: данные не загружены</x:v>
      </x:c>
      <x:c r="J184" s="2"/>
      <x:c r="K184" s="9"/>
      <x:c r="L184" s="2"/>
      <x:c r="M184" s="2"/>
      <x:c r="N184" s="2"/>
      <x:c r="O184" s="2"/>
      <x:c r="P184" s="2" t="str">
        <x:v>not_cached:getSignaturesForAddress:history/63997b4b7e2870845c6d6905</x:v>
      </x:c>
      <x:c r="Q184" s="2" t="str"/>
      <x:c r="R184" s="14" t="str">
        <x:f>IF(AND(C184="Нулевой остаток",I184="Есть цена"),G184,"")</x:f>
      </x:c>
      <x:c r="S184" s="14" t="str">
        <x:f>IF(AND(C184="Докупка",I184="Есть цена"),G184,"")</x:f>
      </x:c>
    </x:row>
    <x:row r="185" ht="21" customHeight="1">
      <x:c r="A185" s="2" t="n">
        <x:v>18</x:v>
      </x:c>
      <x:c r="B185" s="2" t="n">
        <x:v>3600</x:v>
      </x:c>
      <x:c r="C185" s="2" t="str">
        <x:f>'Покупки'!C25</x:f>
        <x:v>Нулевой остаток</x:v>
      </x:c>
      <x:c r="D185" s="9" t="n">
        <x:v>46282.74563657407</x:v>
      </x:c>
      <x:c r="E185" s="12"/>
      <x:c r="F185" s="12" t="n">
        <x:f>'Покупки'!H25</x:f>
        <x:v>0.000040624260113832176</x:v>
      </x:c>
      <x:c r="G185" s="14" t="str">
        <x:f>IF(I185="Есть цена",IF(AND(ISNUMBER(E185),E185&gt;0,F185&gt;0),E185/F185-1,NA()),"")</x:f>
      </x:c>
      <x:c r="H185" s="14" t="str">
        <x:f>IF(AND(I185="Есть цена",I178="Есть цена"),IF(AND(E185&gt;0,E178&gt;0),E185/E178-1,NA()),"")</x:f>
      </x:c>
      <x:c r="I185" s="2" t="str">
        <x:v>RPC: данные не загружены</x:v>
      </x:c>
      <x:c r="J185" s="2"/>
      <x:c r="K185" s="9"/>
      <x:c r="L185" s="2"/>
      <x:c r="M185" s="2"/>
      <x:c r="N185" s="2"/>
      <x:c r="O185" s="2"/>
      <x:c r="P185" s="2" t="str">
        <x:v>not_cached:getBlock:block_447855938</x:v>
      </x:c>
      <x:c r="Q185" s="2" t="str"/>
      <x:c r="R185" s="14" t="str">
        <x:f>IF(AND(C185="Нулевой остаток",I185="Есть цена"),G185,"")</x:f>
      </x:c>
      <x:c r="S185" s="14" t="str">
        <x:f>IF(AND(C185="Докупка",I185="Есть цена"),G185,"")</x:f>
      </x:c>
    </x:row>
    <x:row r="186" ht="21" customHeight="1">
      <x:c r="A186" s="2" t="n">
        <x:v>18</x:v>
      </x:c>
      <x:c r="B186" s="2" t="n">
        <x:v>21600</x:v>
      </x:c>
      <x:c r="C186" s="2" t="str">
        <x:f>'Покупки'!C25</x:f>
        <x:v>Нулевой остаток</x:v>
      </x:c>
      <x:c r="D186" s="9" t="n">
        <x:v>46282.95396990741</x:v>
      </x:c>
      <x:c r="E186" s="12"/>
      <x:c r="F186" s="12" t="n">
        <x:f>'Покупки'!H25</x:f>
        <x:v>0.000040624260113832176</x:v>
      </x:c>
      <x:c r="G186" s="14" t="str">
        <x:f>IF(I186="Есть цена",IF(AND(ISNUMBER(E186),E186&gt;0,F186&gt;0),E186/F186-1,NA()),"")</x:f>
      </x:c>
      <x:c r="H186" s="14" t="str">
        <x:f>IF(AND(I186="Есть цена",I178="Есть цена"),IF(AND(E186&gt;0,E178&gt;0),E186/E178-1,NA()),"")</x:f>
      </x:c>
      <x:c r="I186" s="2" t="str">
        <x:v>Ещё рано</x:v>
      </x:c>
      <x:c r="J186" s="2"/>
      <x:c r="K186" s="9"/>
      <x:c r="L186" s="2"/>
      <x:c r="M186" s="2"/>
      <x:c r="N186" s="2"/>
      <x:c r="O186" s="2"/>
      <x:c r="P186" s="2" t="str">
        <x:v>future</x:v>
      </x:c>
      <x:c r="Q186" s="2" t="str"/>
      <x:c r="R186" s="14" t="str">
        <x:f>IF(AND(C186="Нулевой остаток",I186="Есть цена"),G186,"")</x:f>
      </x:c>
      <x:c r="S186" s="14" t="str">
        <x:f>IF(AND(C186="Докупка",I186="Есть цена"),G186,"")</x:f>
      </x:c>
    </x:row>
    <x:row r="187" ht="21" customHeight="1">
      <x:c r="A187" s="2" t="n">
        <x:v>18</x:v>
      </x:c>
      <x:c r="B187" s="2" t="n">
        <x:v>86400</x:v>
      </x:c>
      <x:c r="C187" s="2" t="str">
        <x:f>'Покупки'!C25</x:f>
        <x:v>Нулевой остаток</x:v>
      </x:c>
      <x:c r="D187" s="9" t="n">
        <x:v>46283.70396990741</x:v>
      </x:c>
      <x:c r="E187" s="12"/>
      <x:c r="F187" s="12" t="n">
        <x:f>'Покупки'!H25</x:f>
        <x:v>0.000040624260113832176</x:v>
      </x:c>
      <x:c r="G187" s="14" t="str">
        <x:f>IF(I187="Есть цена",IF(AND(ISNUMBER(E187),E187&gt;0,F187&gt;0),E187/F187-1,NA()),"")</x:f>
      </x:c>
      <x:c r="H187" s="14" t="str">
        <x:f>IF(AND(I187="Есть цена",I178="Есть цена"),IF(AND(E187&gt;0,E178&gt;0),E187/E178-1,NA()),"")</x:f>
      </x:c>
      <x:c r="I187" s="2" t="str">
        <x:v>Ещё рано</x:v>
      </x:c>
      <x:c r="J187" s="2"/>
      <x:c r="K187" s="9"/>
      <x:c r="L187" s="2"/>
      <x:c r="M187" s="2"/>
      <x:c r="N187" s="2"/>
      <x:c r="O187" s="2"/>
      <x:c r="P187" s="2" t="str">
        <x:v>future</x:v>
      </x:c>
      <x:c r="Q187" s="2" t="str"/>
      <x:c r="R187" s="14" t="str">
        <x:f>IF(AND(C187="Нулевой остаток",I187="Есть цена"),G187,"")</x:f>
      </x:c>
      <x:c r="S187" s="14" t="str">
        <x:f>IF(AND(C187="Докупка",I187="Есть цена"),G187,"")</x:f>
      </x:c>
    </x:row>
    <x:row r="188" ht="21" customHeight="1">
      <x:c r="A188" s="2" t="n">
        <x:v>19</x:v>
      </x:c>
      <x:c r="B188" s="2" t="n">
        <x:v>5</x:v>
      </x:c>
      <x:c r="C188" s="2" t="str">
        <x:f>'Покупки'!C26</x:f>
        <x:v>Нулевой остаток</x:v>
      </x:c>
      <x:c r="D188" s="9" t="n">
        <x:v>46282.70390046296</x:v>
      </x:c>
      <x:c r="E188" s="12" t="n">
        <x:v>0.0001486520987432387</x:v>
      </x:c>
      <x:c r="F188" s="12" t="n">
        <x:f>'Покупки'!H26</x:f>
        <x:v>0.00009542391929152729</x:v>
      </x:c>
      <x:c r="G188" s="14" t="n">
        <x:f>IF(I188="Есть цена",IF(AND(ISNUMBER(E188),E188&gt;0,F188&gt;0),E188/F188-1,NA()),"")</x:f>
        <x:v>0.5578075166782377</x:v>
      </x:c>
      <x:c r="H188" s="14" t="n">
        <x:f>IF(AND(I188="Есть цена",I188="Есть цена"),IF(AND(E188&gt;0,E188&gt;0),E188/E188-1,NA()),"")</x:f>
        <x:v>0</x:v>
      </x:c>
      <x:c r="I188" s="2" t="str">
        <x:v>Есть цена</x:v>
      </x:c>
      <x:c r="J188" s="2" t="n">
        <x:v>447845424</x:v>
      </x:c>
      <x:c r="K188" s="9" t="n">
        <x:v>46282.70390046296</x:v>
      </x:c>
      <x:c r="L188" s="2" t="n">
        <x:v>0</x:v>
      </x:c>
      <x:c r="M188" s="2" t="n">
        <x:v>0</x:v>
      </x:c>
      <x:c r="N188" s="2" t="str">
        <x:v>71JH7ZFZdSkYP9oyXtCnk2U4dGD8S6fg8tGMowsaPWs8</x:v>
      </x:c>
      <x:c r="O188" s="2"/>
      <x:c r="P188" s="2" t="str">
        <x:v>previous_three_tokens_calculation</x:v>
      </x:c>
      <x:c r="Q188" s="2" t="str">
        <x:v>8S2XFMPBNnUNBuzKTb1ZFC1B2DMJSRUFZQsbpSwFXhkx; slot 447845424; age 0s | 3ucNos4NbumPLZNWztqGHNFFgkHeRMBQAVemeeomsUxv; slot 447845424; age 0s</x:v>
      </x:c>
      <x:c r="R188" s="14" t="n">
        <x:f>IF(AND(C188="Нулевой остаток",I188="Есть цена"),G188,"")</x:f>
        <x:v>0.5578075166782377</x:v>
      </x:c>
      <x:c r="S188" s="14" t="str">
        <x:f>IF(AND(C188="Докупка",I188="Есть цена"),G188,"")</x:f>
      </x:c>
    </x:row>
    <x:row r="189" ht="21" customHeight="1">
      <x:c r="A189" s="2" t="n">
        <x:v>19</x:v>
      </x:c>
      <x:c r="B189" s="2" t="n">
        <x:v>15</x:v>
      </x:c>
      <x:c r="C189" s="2" t="str">
        <x:f>'Покупки'!C26</x:f>
        <x:v>Нулевой остаток</x:v>
      </x:c>
      <x:c r="D189" s="9" t="n">
        <x:v>46282.7040162037</x:v>
      </x:c>
      <x:c r="E189" s="12" t="n">
        <x:v>0.00019018705166322798</x:v>
      </x:c>
      <x:c r="F189" s="12" t="n">
        <x:f>'Покупки'!H26</x:f>
        <x:v>0.00009542391929152729</x:v>
      </x:c>
      <x:c r="G189" s="14" t="n">
        <x:f>IF(I189="Есть цена",IF(AND(ISNUMBER(E189),E189&gt;0,F189&gt;0),E189/F189-1,NA()),"")</x:f>
        <x:v>0.9930752485882723</x:v>
      </x:c>
      <x:c r="H189" s="14" t="n">
        <x:f>IF(AND(I189="Есть цена",I188="Есть цена"),IF(AND(E189&gt;0,E188&gt;0),E189/E188-1,NA()),"")</x:f>
        <x:v>0.27941047096638094</x:v>
      </x:c>
      <x:c r="I189" s="2" t="str">
        <x:v>Есть цена</x:v>
      </x:c>
      <x:c r="J189" s="2" t="n">
        <x:v>447845456</x:v>
      </x:c>
      <x:c r="K189" s="9" t="n">
        <x:v>46282.7040162037</x:v>
      </x:c>
      <x:c r="L189" s="2" t="n">
        <x:v>0</x:v>
      </x:c>
      <x:c r="M189" s="2" t="n">
        <x:v>0</x:v>
      </x:c>
      <x:c r="N189" s="2" t="str">
        <x:v>71JH7ZFZdSkYP9oyXtCnk2U4dGD8S6fg8tGMowsaPWs8</x:v>
      </x:c>
      <x:c r="O189" s="2"/>
      <x:c r="P189" s="2" t="str">
        <x:v>previous_three_tokens_calculation</x:v>
      </x:c>
      <x:c r="Q189" s="2" t="str">
        <x:v>8S2XFMPBNnUNBuzKTb1ZFC1B2DMJSRUFZQsbpSwFXhkx; slot 447845456; age 0s | 8sLbNZoA1cfnvMJLPfp98ZLAnFSYCFApfJKMbiXNLwxj; slot 447845456; age 0s</x:v>
      </x:c>
      <x:c r="R189" s="14" t="n">
        <x:f>IF(AND(C189="Нулевой остаток",I189="Есть цена"),G189,"")</x:f>
        <x:v>0.9930752485882723</x:v>
      </x:c>
      <x:c r="S189" s="14" t="str">
        <x:f>IF(AND(C189="Докупка",I189="Есть цена"),G189,"")</x:f>
      </x:c>
    </x:row>
    <x:row r="190" ht="21" customHeight="1">
      <x:c r="A190" s="2" t="n">
        <x:v>19</x:v>
      </x:c>
      <x:c r="B190" s="2" t="n">
        <x:v>30</x:v>
      </x:c>
      <x:c r="C190" s="2" t="str">
        <x:f>'Покупки'!C26</x:f>
        <x:v>Нулевой остаток</x:v>
      </x:c>
      <x:c r="D190" s="9" t="n">
        <x:v>46282.704189814816</x:v>
      </x:c>
      <x:c r="E190" s="12" t="n">
        <x:v>0.0001916507775249493</x:v>
      </x:c>
      <x:c r="F190" s="12" t="n">
        <x:f>'Покупки'!H26</x:f>
        <x:v>0.00009542391929152729</x:v>
      </x:c>
      <x:c r="G190" s="14" t="n">
        <x:f>IF(I190="Есть цена",IF(AND(ISNUMBER(E190),E190&gt;0,F190&gt;0),E190/F190-1,NA()),"")</x:f>
        <x:v>1.008414441031726</x:v>
      </x:c>
      <x:c r="H190" s="14" t="n">
        <x:f>IF(AND(I190="Есть цена",I188="Есть цена"),IF(AND(E190&gt;0,E188&gt;0),E190/E188-1,NA()),"")</x:f>
        <x:v>0.28925712549797655</x:v>
      </x:c>
      <x:c r="I190" s="2" t="str">
        <x:v>Есть цена</x:v>
      </x:c>
      <x:c r="J190" s="2" t="n">
        <x:v>447845506</x:v>
      </x:c>
      <x:c r="K190" s="9" t="n">
        <x:v>46282.704189814816</x:v>
      </x:c>
      <x:c r="L190" s="2" t="n">
        <x:v>0</x:v>
      </x:c>
      <x:c r="M190" s="2" t="n">
        <x:v>0</x:v>
      </x:c>
      <x:c r="N190" s="2" t="str">
        <x:v>71JH7ZFZdSkYP9oyXtCnk2U4dGD8S6fg8tGMowsaPWs8</x:v>
      </x:c>
      <x:c r="O190" s="2"/>
      <x:c r="P190" s="2" t="str">
        <x:v>previous_three_tokens_calculation</x:v>
      </x:c>
      <x:c r="Q190" s="2" t="str">
        <x:v>8S2XFMPBNnUNBuzKTb1ZFC1B2DMJSRUFZQsbpSwFXhkx; slot 447845506; age 0s | 8sLbNZoA1cfnvMJLPfp98ZLAnFSYCFApfJKMbiXNLwxj; slot 447845506; age 0s</x:v>
      </x:c>
      <x:c r="R190" s="14" t="n">
        <x:f>IF(AND(C190="Нулевой остаток",I190="Есть цена"),G190,"")</x:f>
        <x:v>1.008414441031726</x:v>
      </x:c>
      <x:c r="S190" s="14" t="str">
        <x:f>IF(AND(C190="Докупка",I190="Есть цена"),G190,"")</x:f>
      </x:c>
    </x:row>
    <x:row r="191" ht="21" customHeight="1">
      <x:c r="A191" s="2" t="n">
        <x:v>19</x:v>
      </x:c>
      <x:c r="B191" s="2" t="n">
        <x:v>60</x:v>
      </x:c>
      <x:c r="C191" s="2" t="str">
        <x:f>'Покупки'!C26</x:f>
        <x:v>Нулевой остаток</x:v>
      </x:c>
      <x:c r="D191" s="9" t="n">
        <x:v>46282.70453703704</x:v>
      </x:c>
      <x:c r="E191" s="12" t="n">
        <x:v>0.0001732137664266807</x:v>
      </x:c>
      <x:c r="F191" s="12" t="n">
        <x:f>'Покупки'!H26</x:f>
        <x:v>0.00009542391929152729</x:v>
      </x:c>
      <x:c r="G191" s="14" t="n">
        <x:f>IF(I191="Есть цена",IF(AND(ISNUMBER(E191),E191&gt;0,F191&gt;0),E191/F191-1,NA()),"")</x:f>
        <x:v>0.8152028098688711</x:v>
      </x:c>
      <x:c r="H191" s="14" t="n">
        <x:f>IF(AND(I191="Есть цена",I188="Есть цена"),IF(AND(E191&gt;0,E188&gt;0),E191/E188-1,NA()),"")</x:f>
        <x:v>0.1652292022184394</x:v>
      </x:c>
      <x:c r="I191" s="2" t="str">
        <x:v>Есть цена</x:v>
      </x:c>
      <x:c r="J191" s="2" t="n">
        <x:v>447845601</x:v>
      </x:c>
      <x:c r="K191" s="9" t="n">
        <x:v>46282.70453703704</x:v>
      </x:c>
      <x:c r="L191" s="2" t="n">
        <x:v>0</x:v>
      </x:c>
      <x:c r="M191" s="2" t="n">
        <x:v>1</x:v>
      </x:c>
      <x:c r="N191" s="2" t="str">
        <x:v>71JH7ZFZdSkYP9oyXtCnk2U4dGD8S6fg8tGMowsaPWs8</x:v>
      </x:c>
      <x:c r="O191" s="2"/>
      <x:c r="P191" s="2" t="str">
        <x:v>previous_three_tokens_calculation</x:v>
      </x:c>
      <x:c r="Q191" s="2" t="str">
        <x:v>8S2XFMPBNnUNBuzKTb1ZFC1B2DMJSRUFZQsbpSwFXhkx; slot 447845601; age 0s | 8sLbNZoA1cfnvMJLPfp98ZLAnFSYCFApfJKMbiXNLwxj; slot 447845600; age 1s</x:v>
      </x:c>
      <x:c r="R191" s="14" t="n">
        <x:f>IF(AND(C191="Нулевой остаток",I191="Есть цена"),G191,"")</x:f>
        <x:v>0.8152028098688711</x:v>
      </x:c>
      <x:c r="S191" s="14" t="str">
        <x:f>IF(AND(C191="Докупка",I191="Есть цена"),G191,"")</x:f>
      </x:c>
    </x:row>
    <x:row r="192" ht="21" customHeight="1">
      <x:c r="A192" s="2" t="n">
        <x:v>19</x:v>
      </x:c>
      <x:c r="B192" s="2" t="n">
        <x:v>180</x:v>
      </x:c>
      <x:c r="C192" s="2" t="str">
        <x:f>'Покупки'!C26</x:f>
        <x:v>Нулевой остаток</x:v>
      </x:c>
      <x:c r="D192" s="9" t="n">
        <x:v>46282.705925925926</x:v>
      </x:c>
      <x:c r="E192" s="12" t="n">
        <x:v>0.00014350750075494588</x:v>
      </x:c>
      <x:c r="F192" s="12" t="n">
        <x:f>'Покупки'!H26</x:f>
        <x:v>0.00009542391929152729</x:v>
      </x:c>
      <x:c r="G192" s="14" t="n">
        <x:f>IF(I192="Есть цена",IF(AND(ISNUMBER(E192),E192&gt;0,F192&gt;0),E192/F192-1,NA()),"")</x:f>
        <x:v>0.5038944304574162</x:v>
      </x:c>
      <x:c r="H192" s="14" t="n">
        <x:f>IF(AND(I192="Есть цена",I188="Есть цена"),IF(AND(E192&gt;0,E188&gt;0),E192/E188-1,NA()),"")</x:f>
        <x:v>-0.03460831048997759</x:v>
      </x:c>
      <x:c r="I192" s="2" t="str">
        <x:v>Есть цена</x:v>
      </x:c>
      <x:c r="J192" s="2" t="n">
        <x:v>447845977</x:v>
      </x:c>
      <x:c r="K192" s="9" t="n">
        <x:v>46282.705925925926</x:v>
      </x:c>
      <x:c r="L192" s="2" t="n">
        <x:v>0</x:v>
      </x:c>
      <x:c r="M192" s="2" t="n">
        <x:v>0</x:v>
      </x:c>
      <x:c r="N192" s="2" t="str">
        <x:v>71JH7ZFZdSkYP9oyXtCnk2U4dGD8S6fg8tGMowsaPWs8</x:v>
      </x:c>
      <x:c r="O192" s="2"/>
      <x:c r="P192" s="2" t="str">
        <x:v>previous_three_tokens_calculation</x:v>
      </x:c>
      <x:c r="Q192" s="2" t="str">
        <x:v>8S2XFMPBNnUNBuzKTb1ZFC1B2DMJSRUFZQsbpSwFXhkx; slot 447845977; age 0s | 8sLbNZoA1cfnvMJLPfp98ZLAnFSYCFApfJKMbiXNLwxj; slot 447845977; age 0s</x:v>
      </x:c>
      <x:c r="R192" s="14" t="n">
        <x:f>IF(AND(C192="Нулевой остаток",I192="Есть цена"),G192,"")</x:f>
        <x:v>0.5038944304574162</x:v>
      </x:c>
      <x:c r="S192" s="14" t="str">
        <x:f>IF(AND(C192="Докупка",I192="Есть цена"),G192,"")</x:f>
      </x:c>
    </x:row>
    <x:row r="193" ht="21" customHeight="1">
      <x:c r="A193" s="2" t="n">
        <x:v>19</x:v>
      </x:c>
      <x:c r="B193" s="2" t="n">
        <x:v>300</x:v>
      </x:c>
      <x:c r="C193" s="2" t="str">
        <x:f>'Покупки'!C26</x:f>
        <x:v>Нулевой остаток</x:v>
      </x:c>
      <x:c r="D193" s="9" t="n">
        <x:v>46282.70731481481</x:v>
      </x:c>
      <x:c r="E193" s="12" t="n">
        <x:v>0.00010762559577492945</x:v>
      </x:c>
      <x:c r="F193" s="12" t="n">
        <x:f>'Покупки'!H26</x:f>
        <x:v>0.00009542391929152729</x:v>
      </x:c>
      <x:c r="G193" s="14" t="n">
        <x:f>IF(I193="Есть цена",IF(AND(ISNUMBER(E193),E193&gt;0,F193&gt;0),E193/F193-1,NA()),"")</x:f>
        <x:v>0.12786811287980226</x:v>
      </x:c>
      <x:c r="H193" s="14" t="n">
        <x:f>IF(AND(I193="Есть цена",I188="Есть цена"),IF(AND(E193&gt;0,E188&gt;0),E193/E188-1,NA()),"")</x:f>
        <x:v>-0.27599006885986066</x:v>
      </x:c>
      <x:c r="I193" s="2" t="str">
        <x:v>Есть цена</x:v>
      </x:c>
      <x:c r="J193" s="2" t="n">
        <x:v>447846355</x:v>
      </x:c>
      <x:c r="K193" s="9" t="n">
        <x:v>46282.70731481481</x:v>
      </x:c>
      <x:c r="L193" s="2" t="n">
        <x:v>0</x:v>
      </x:c>
      <x:c r="M193" s="2" t="n">
        <x:v>0</x:v>
      </x:c>
      <x:c r="N193" s="2" t="str">
        <x:v>71JH7ZFZdSkYP9oyXtCnk2U4dGD8S6fg8tGMowsaPWs8</x:v>
      </x:c>
      <x:c r="O193" s="2"/>
      <x:c r="P193" s="2" t="str">
        <x:v>previous_three_tokens_calculation</x:v>
      </x:c>
      <x:c r="Q193" s="2" t="str">
        <x:v>8S2XFMPBNnUNBuzKTb1ZFC1B2DMJSRUFZQsbpSwFXhkx; slot 447846354; age 0s | 3ucNos4NbumPLZNWztqGHNFFgkHeRMBQAVemeeomsUxv; slot 447846355; age 0s</x:v>
      </x:c>
      <x:c r="R193" s="14" t="n">
        <x:f>IF(AND(C193="Нулевой остаток",I193="Есть цена"),G193,"")</x:f>
        <x:v>0.12786811287980226</x:v>
      </x:c>
      <x:c r="S193" s="14" t="str">
        <x:f>IF(AND(C193="Докупка",I193="Есть цена"),G193,"")</x:f>
      </x:c>
    </x:row>
    <x:row r="194" ht="21" customHeight="1">
      <x:c r="A194" s="2" t="n">
        <x:v>19</x:v>
      </x:c>
      <x:c r="B194" s="2" t="n">
        <x:v>900</x:v>
      </x:c>
      <x:c r="C194" s="2" t="str">
        <x:f>'Покупки'!C26</x:f>
        <x:v>Нулевой остаток</x:v>
      </x:c>
      <x:c r="D194" s="9" t="n">
        <x:v>46282.71425925926</x:v>
      </x:c>
      <x:c r="E194" s="12" t="n">
        <x:v>0.00010826404914597174</x:v>
      </x:c>
      <x:c r="F194" s="12" t="n">
        <x:f>'Покупки'!H26</x:f>
        <x:v>0.00009542391929152729</x:v>
      </x:c>
      <x:c r="G194" s="14" t="str">
        <x:f>IF(I194="Есть цена",IF(AND(ISNUMBER(E194),E194&gt;0,F194&gt;0),E194/F194-1,NA()),"")</x:f>
      </x:c>
      <x:c r="H194" s="14" t="str">
        <x:f>IF(AND(I194="Есть цена",I188="Есть цена"),IF(AND(E194&gt;0,E188&gt;0),E194/E188-1,NA()),"")</x:f>
      </x:c>
      <x:c r="I194" s="2" t="str">
        <x:v>Курс не проверен</x:v>
      </x:c>
      <x:c r="J194" s="2" t="n">
        <x:v>447848221</x:v>
      </x:c>
      <x:c r="K194" s="9" t="n">
        <x:v>46282.71418981482</x:v>
      </x:c>
      <x:c r="L194" s="2" t="n">
        <x:v>6</x:v>
      </x:c>
      <x:c r="M194" s="2" t="n">
        <x:v>5</x:v>
      </x:c>
      <x:c r="N194" s="2" t="str">
        <x:v>71JH7ZFZdSkYP9oyXtCnk2U4dGD8S6fg8tGMowsaPWs8</x:v>
      </x:c>
      <x:c r="O194" s="2"/>
      <x:c r="P194" s="2" t="str">
        <x:v>previous_three_tokens_calculation</x:v>
      </x:c>
      <x:c r="Q194" s="2" t="str">
        <x:v>8S2XFMPBNnUNBuzKTb1ZFC1B2DMJSRUFZQsbpSwFXhkx; slot 447848225; age 5s | CYbD9RaToYMtWKA7QZyoLahnHdWq553Vm62Lh6qWtuxq; slot 447848240; age 0s</x:v>
      </x:c>
      <x:c r="R194" s="14" t="str">
        <x:f>IF(AND(C194="Нулевой остаток",I194="Есть цена"),G194,"")</x:f>
      </x:c>
      <x:c r="S194" s="14" t="str">
        <x:f>IF(AND(C194="Докупка",I194="Есть цена"),G194,"")</x:f>
      </x:c>
    </x:row>
    <x:row r="195" ht="21" customHeight="1">
      <x:c r="A195" s="2" t="n">
        <x:v>19</x:v>
      </x:c>
      <x:c r="B195" s="2" t="n">
        <x:v>3600</x:v>
      </x:c>
      <x:c r="C195" s="2" t="str">
        <x:f>'Покупки'!C26</x:f>
        <x:v>Нулевой остаток</x:v>
      </x:c>
      <x:c r="D195" s="9" t="n">
        <x:v>46282.74550925926</x:v>
      </x:c>
      <x:c r="E195" s="12"/>
      <x:c r="F195" s="12" t="n">
        <x:f>'Покупки'!H26</x:f>
        <x:v>0.00009542391929152729</x:v>
      </x:c>
      <x:c r="G195" s="14" t="str">
        <x:f>IF(I195="Есть цена",IF(AND(ISNUMBER(E195),E195&gt;0,F195&gt;0),E195/F195-1,NA()),"")</x:f>
      </x:c>
      <x:c r="H195" s="14" t="str">
        <x:f>IF(AND(I195="Есть цена",I188="Есть цена"),IF(AND(E195&gt;0,E188&gt;0),E195/E188-1,NA()),"")</x:f>
      </x:c>
      <x:c r="I195" s="2" t="str">
        <x:v>RPC: данные не загружены</x:v>
      </x:c>
      <x:c r="J195" s="2"/>
      <x:c r="K195" s="9"/>
      <x:c r="L195" s="2"/>
      <x:c r="M195" s="2"/>
      <x:c r="N195" s="2"/>
      <x:c r="O195" s="2"/>
      <x:c r="P195" s="2" t="str">
        <x:v>not_cached:getSignaturesForAddress:history/70d8f8e1742165ece7506a70</x:v>
      </x:c>
      <x:c r="Q195" s="2" t="str"/>
      <x:c r="R195" s="14" t="str">
        <x:f>IF(AND(C195="Нулевой остаток",I195="Есть цена"),G195,"")</x:f>
      </x:c>
      <x:c r="S195" s="14" t="str">
        <x:f>IF(AND(C195="Докупка",I195="Есть цена"),G195,"")</x:f>
      </x:c>
    </x:row>
    <x:row r="196" ht="21" customHeight="1">
      <x:c r="A196" s="2" t="n">
        <x:v>19</x:v>
      </x:c>
      <x:c r="B196" s="2" t="n">
        <x:v>21600</x:v>
      </x:c>
      <x:c r="C196" s="2" t="str">
        <x:f>'Покупки'!C26</x:f>
        <x:v>Нулевой остаток</x:v>
      </x:c>
      <x:c r="D196" s="9" t="n">
        <x:v>46282.95384259259</x:v>
      </x:c>
      <x:c r="E196" s="12"/>
      <x:c r="F196" s="12" t="n">
        <x:f>'Покупки'!H26</x:f>
        <x:v>0.00009542391929152729</x:v>
      </x:c>
      <x:c r="G196" s="14" t="str">
        <x:f>IF(I196="Есть цена",IF(AND(ISNUMBER(E196),E196&gt;0,F196&gt;0),E196/F196-1,NA()),"")</x:f>
      </x:c>
      <x:c r="H196" s="14" t="str">
        <x:f>IF(AND(I196="Есть цена",I188="Есть цена"),IF(AND(E196&gt;0,E188&gt;0),E196/E188-1,NA()),"")</x:f>
      </x:c>
      <x:c r="I196" s="2" t="str">
        <x:v>Ещё рано</x:v>
      </x:c>
      <x:c r="J196" s="2"/>
      <x:c r="K196" s="9"/>
      <x:c r="L196" s="2"/>
      <x:c r="M196" s="2"/>
      <x:c r="N196" s="2"/>
      <x:c r="O196" s="2"/>
      <x:c r="P196" s="2" t="str">
        <x:v>future</x:v>
      </x:c>
      <x:c r="Q196" s="2" t="str"/>
      <x:c r="R196" s="14" t="str">
        <x:f>IF(AND(C196="Нулевой остаток",I196="Есть цена"),G196,"")</x:f>
      </x:c>
      <x:c r="S196" s="14" t="str">
        <x:f>IF(AND(C196="Докупка",I196="Есть цена"),G196,"")</x:f>
      </x:c>
    </x:row>
    <x:row r="197" ht="21" customHeight="1">
      <x:c r="A197" s="2" t="n">
        <x:v>19</x:v>
      </x:c>
      <x:c r="B197" s="2" t="n">
        <x:v>86400</x:v>
      </x:c>
      <x:c r="C197" s="2" t="str">
        <x:f>'Покупки'!C26</x:f>
        <x:v>Нулевой остаток</x:v>
      </x:c>
      <x:c r="D197" s="9" t="n">
        <x:v>46283.70384259259</x:v>
      </x:c>
      <x:c r="E197" s="12"/>
      <x:c r="F197" s="12" t="n">
        <x:f>'Покупки'!H26</x:f>
        <x:v>0.00009542391929152729</x:v>
      </x:c>
      <x:c r="G197" s="14" t="str">
        <x:f>IF(I197="Есть цена",IF(AND(ISNUMBER(E197),E197&gt;0,F197&gt;0),E197/F197-1,NA()),"")</x:f>
      </x:c>
      <x:c r="H197" s="14" t="str">
        <x:f>IF(AND(I197="Есть цена",I188="Есть цена"),IF(AND(E197&gt;0,E188&gt;0),E197/E188-1,NA()),"")</x:f>
      </x:c>
      <x:c r="I197" s="2" t="str">
        <x:v>Ещё рано</x:v>
      </x:c>
      <x:c r="J197" s="2"/>
      <x:c r="K197" s="9"/>
      <x:c r="L197" s="2"/>
      <x:c r="M197" s="2"/>
      <x:c r="N197" s="2"/>
      <x:c r="O197" s="2"/>
      <x:c r="P197" s="2" t="str">
        <x:v>future</x:v>
      </x:c>
      <x:c r="Q197" s="2" t="str"/>
      <x:c r="R197" s="14" t="str">
        <x:f>IF(AND(C197="Нулевой остаток",I197="Есть цена"),G197,"")</x:f>
      </x:c>
      <x:c r="S197" s="14" t="str">
        <x:f>IF(AND(C197="Докупка",I197="Есть цена"),G197,"")</x:f>
      </x:c>
    </x:row>
    <x:row r="198" ht="21" customHeight="1">
      <x:c r="A198" s="2" t="n">
        <x:v>20</x:v>
      </x:c>
      <x:c r="B198" s="2" t="n">
        <x:v>5</x:v>
      </x:c>
      <x:c r="C198" s="2" t="str">
        <x:f>'Покупки'!C27</x:f>
        <x:v>Нулевой остаток</x:v>
      </x:c>
      <x:c r="D198" s="9" t="n">
        <x:v>46282.70334490741</x:v>
      </x:c>
      <x:c r="E198" s="12"/>
      <x:c r="F198" s="12" t="n">
        <x:f>'Покупки'!H27</x:f>
        <x:v>0.00013151634530028823</x:v>
      </x:c>
      <x:c r="G198" s="14" t="str">
        <x:f>IF(I198="Есть цена",IF(AND(ISNUMBER(E198),E198&gt;0,F198&gt;0),E198/F198-1,NA()),"")</x:f>
      </x:c>
      <x:c r="H198" s="14" t="str">
        <x:f>IF(AND(I198="Есть цена",I198="Есть цена"),IF(AND(E198&gt;0,E198&gt;0),E198/E198-1,NA()),"")</x:f>
      </x:c>
      <x:c r="I198" s="2" t="str">
        <x:v>RPC: данные не загружены</x:v>
      </x:c>
      <x:c r="J198" s="2"/>
      <x:c r="K198" s="9"/>
      <x:c r="L198" s="2"/>
      <x:c r="M198" s="2"/>
      <x:c r="N198" s="2"/>
      <x:c r="O198" s="2"/>
      <x:c r="P198" s="2" t="str">
        <x:v>not_cached:getSignaturesForAddress:history/774b042ad4401a6713e5942a</x:v>
      </x:c>
      <x:c r="Q198" s="2" t="str"/>
      <x:c r="R198" s="14" t="str">
        <x:f>IF(AND(C198="Нулевой остаток",I198="Есть цена"),G198,"")</x:f>
      </x:c>
      <x:c r="S198" s="14" t="str">
        <x:f>IF(AND(C198="Докупка",I198="Есть цена"),G198,"")</x:f>
      </x:c>
    </x:row>
    <x:row r="199" ht="21" customHeight="1">
      <x:c r="A199" s="2" t="n">
        <x:v>20</x:v>
      </x:c>
      <x:c r="B199" s="2" t="n">
        <x:v>15</x:v>
      </x:c>
      <x:c r="C199" s="2" t="str">
        <x:f>'Покупки'!C27</x:f>
        <x:v>Нулевой остаток</x:v>
      </x:c>
      <x:c r="D199" s="9" t="n">
        <x:v>46282.70346064815</x:v>
      </x:c>
      <x:c r="E199" s="12"/>
      <x:c r="F199" s="12" t="n">
        <x:f>'Покупки'!H27</x:f>
        <x:v>0.00013151634530028823</x:v>
      </x:c>
      <x:c r="G199" s="14" t="str">
        <x:f>IF(I199="Есть цена",IF(AND(ISNUMBER(E199),E199&gt;0,F199&gt;0),E199/F199-1,NA()),"")</x:f>
      </x:c>
      <x:c r="H199" s="14" t="str">
        <x:f>IF(AND(I199="Есть цена",I198="Есть цена"),IF(AND(E199&gt;0,E198&gt;0),E199/E198-1,NA()),"")</x:f>
      </x:c>
      <x:c r="I199" s="2" t="str">
        <x:v>RPC: данные не загружены</x:v>
      </x:c>
      <x:c r="J199" s="2"/>
      <x:c r="K199" s="9"/>
      <x:c r="L199" s="2"/>
      <x:c r="M199" s="2"/>
      <x:c r="N199" s="2"/>
      <x:c r="O199" s="2"/>
      <x:c r="P199" s="2" t="str">
        <x:v>not_cached:getSignaturesForAddress:history/774b042ad4401a6713e5942a</x:v>
      </x:c>
      <x:c r="Q199" s="2" t="str"/>
      <x:c r="R199" s="14" t="str">
        <x:f>IF(AND(C199="Нулевой остаток",I199="Есть цена"),G199,"")</x:f>
      </x:c>
      <x:c r="S199" s="14" t="str">
        <x:f>IF(AND(C199="Докупка",I199="Есть цена"),G199,"")</x:f>
      </x:c>
    </x:row>
    <x:row r="200" ht="21" customHeight="1">
      <x:c r="A200" s="2" t="n">
        <x:v>20</x:v>
      </x:c>
      <x:c r="B200" s="2" t="n">
        <x:v>30</x:v>
      </x:c>
      <x:c r="C200" s="2" t="str">
        <x:f>'Покупки'!C27</x:f>
        <x:v>Нулевой остаток</x:v>
      </x:c>
      <x:c r="D200" s="9" t="n">
        <x:v>46282.70363425926</x:v>
      </x:c>
      <x:c r="E200" s="12"/>
      <x:c r="F200" s="12" t="n">
        <x:f>'Покупки'!H27</x:f>
        <x:v>0.00013151634530028823</x:v>
      </x:c>
      <x:c r="G200" s="14" t="str">
        <x:f>IF(I200="Есть цена",IF(AND(ISNUMBER(E200),E200&gt;0,F200&gt;0),E200/F200-1,NA()),"")</x:f>
      </x:c>
      <x:c r="H200" s="14" t="str">
        <x:f>IF(AND(I200="Есть цена",I198="Есть цена"),IF(AND(E200&gt;0,E198&gt;0),E200/E198-1,NA()),"")</x:f>
      </x:c>
      <x:c r="I200" s="2" t="str">
        <x:v>RPC: данные не загружены</x:v>
      </x:c>
      <x:c r="J200" s="2"/>
      <x:c r="K200" s="9"/>
      <x:c r="L200" s="2"/>
      <x:c r="M200" s="2"/>
      <x:c r="N200" s="2"/>
      <x:c r="O200" s="2"/>
      <x:c r="P200" s="2" t="str">
        <x:v>not_cached:getSignaturesForAddress:history/007837204ca837b41d88277f</x:v>
      </x:c>
      <x:c r="Q200" s="2" t="str"/>
      <x:c r="R200" s="14" t="str">
        <x:f>IF(AND(C200="Нулевой остаток",I200="Есть цена"),G200,"")</x:f>
      </x:c>
      <x:c r="S200" s="14" t="str">
        <x:f>IF(AND(C200="Докупка",I200="Есть цена"),G200,"")</x:f>
      </x:c>
    </x:row>
    <x:row r="201" ht="21" customHeight="1">
      <x:c r="A201" s="2" t="n">
        <x:v>20</x:v>
      </x:c>
      <x:c r="B201" s="2" t="n">
        <x:v>60</x:v>
      </x:c>
      <x:c r="C201" s="2" t="str">
        <x:f>'Покупки'!C27</x:f>
        <x:v>Нулевой остаток</x:v>
      </x:c>
      <x:c r="D201" s="9" t="n">
        <x:v>46282.70398148148</x:v>
      </x:c>
      <x:c r="E201" s="12"/>
      <x:c r="F201" s="12" t="n">
        <x:f>'Покупки'!H27</x:f>
        <x:v>0.00013151634530028823</x:v>
      </x:c>
      <x:c r="G201" s="14" t="str">
        <x:f>IF(I201="Есть цена",IF(AND(ISNUMBER(E201),E201&gt;0,F201&gt;0),E201/F201-1,NA()),"")</x:f>
      </x:c>
      <x:c r="H201" s="14" t="str">
        <x:f>IF(AND(I201="Есть цена",I198="Есть цена"),IF(AND(E201&gt;0,E198&gt;0),E201/E198-1,NA()),"")</x:f>
      </x:c>
      <x:c r="I201" s="2" t="str">
        <x:v>RPC: данные не загружены</x:v>
      </x:c>
      <x:c r="J201" s="2"/>
      <x:c r="K201" s="9"/>
      <x:c r="L201" s="2"/>
      <x:c r="M201" s="2"/>
      <x:c r="N201" s="2"/>
      <x:c r="O201" s="2"/>
      <x:c r="P201" s="2" t="str">
        <x:v>not_cached:getSignaturesForAddress:history/8501e954b73d703df256f701</x:v>
      </x:c>
      <x:c r="Q201" s="2" t="str"/>
      <x:c r="R201" s="14" t="str">
        <x:f>IF(AND(C201="Нулевой остаток",I201="Есть цена"),G201,"")</x:f>
      </x:c>
      <x:c r="S201" s="14" t="str">
        <x:f>IF(AND(C201="Докупка",I201="Есть цена"),G201,"")</x:f>
      </x:c>
    </x:row>
    <x:row r="202" ht="21" customHeight="1">
      <x:c r="A202" s="2" t="n">
        <x:v>20</x:v>
      </x:c>
      <x:c r="B202" s="2" t="n">
        <x:v>180</x:v>
      </x:c>
      <x:c r="C202" s="2" t="str">
        <x:f>'Покупки'!C27</x:f>
        <x:v>Нулевой остаток</x:v>
      </x:c>
      <x:c r="D202" s="9" t="n">
        <x:v>46282.70537037037</x:v>
      </x:c>
      <x:c r="E202" s="12"/>
      <x:c r="F202" s="12" t="n">
        <x:f>'Покупки'!H27</x:f>
        <x:v>0.00013151634530028823</x:v>
      </x:c>
      <x:c r="G202" s="14" t="str">
        <x:f>IF(I202="Есть цена",IF(AND(ISNUMBER(E202),E202&gt;0,F202&gt;0),E202/F202-1,NA()),"")</x:f>
      </x:c>
      <x:c r="H202" s="14" t="str">
        <x:f>IF(AND(I202="Есть цена",I198="Есть цена"),IF(AND(E202&gt;0,E198&gt;0),E202/E198-1,NA()),"")</x:f>
      </x:c>
      <x:c r="I202" s="2" t="str">
        <x:v>RPC: данные не загружены</x:v>
      </x:c>
      <x:c r="J202" s="2"/>
      <x:c r="K202" s="9"/>
      <x:c r="L202" s="2"/>
      <x:c r="M202" s="2"/>
      <x:c r="N202" s="2"/>
      <x:c r="O202" s="2"/>
      <x:c r="P202" s="2" t="str">
        <x:v>not_cached:getSignaturesForAddress:history/0039b49d0b6d468e2062b049</x:v>
      </x:c>
      <x:c r="Q202" s="2" t="str"/>
      <x:c r="R202" s="14" t="str">
        <x:f>IF(AND(C202="Нулевой остаток",I202="Есть цена"),G202,"")</x:f>
      </x:c>
      <x:c r="S202" s="14" t="str">
        <x:f>IF(AND(C202="Докупка",I202="Есть цена"),G202,"")</x:f>
      </x:c>
    </x:row>
    <x:row r="203" ht="21" customHeight="1">
      <x:c r="A203" s="2" t="n">
        <x:v>20</x:v>
      </x:c>
      <x:c r="B203" s="2" t="n">
        <x:v>300</x:v>
      </x:c>
      <x:c r="C203" s="2" t="str">
        <x:f>'Покупки'!C27</x:f>
        <x:v>Нулевой остаток</x:v>
      </x:c>
      <x:c r="D203" s="9" t="n">
        <x:v>46282.70675925926</x:v>
      </x:c>
      <x:c r="E203" s="12"/>
      <x:c r="F203" s="12" t="n">
        <x:f>'Покупки'!H27</x:f>
        <x:v>0.00013151634530028823</x:v>
      </x:c>
      <x:c r="G203" s="14" t="str">
        <x:f>IF(I203="Есть цена",IF(AND(ISNUMBER(E203),E203&gt;0,F203&gt;0),E203/F203-1,NA()),"")</x:f>
      </x:c>
      <x:c r="H203" s="14" t="str">
        <x:f>IF(AND(I203="Есть цена",I198="Есть цена"),IF(AND(E203&gt;0,E198&gt;0),E203/E198-1,NA()),"")</x:f>
      </x:c>
      <x:c r="I203" s="2" t="str">
        <x:v>RPC: данные не загружены</x:v>
      </x:c>
      <x:c r="J203" s="2"/>
      <x:c r="K203" s="9"/>
      <x:c r="L203" s="2"/>
      <x:c r="M203" s="2"/>
      <x:c r="N203" s="2"/>
      <x:c r="O203" s="2"/>
      <x:c r="P203" s="2" t="str">
        <x:v>not_cached:getSignaturesForAddress:history/5e20cc57cd7f869db894d1ad</x:v>
      </x:c>
      <x:c r="Q203" s="2" t="str"/>
      <x:c r="R203" s="14" t="str">
        <x:f>IF(AND(C203="Нулевой остаток",I203="Есть цена"),G203,"")</x:f>
      </x:c>
      <x:c r="S203" s="14" t="str">
        <x:f>IF(AND(C203="Докупка",I203="Есть цена"),G203,"")</x:f>
      </x:c>
    </x:row>
    <x:row r="204" ht="21" customHeight="1">
      <x:c r="A204" s="2" t="n">
        <x:v>20</x:v>
      </x:c>
      <x:c r="B204" s="2" t="n">
        <x:v>900</x:v>
      </x:c>
      <x:c r="C204" s="2" t="str">
        <x:f>'Покупки'!C27</x:f>
        <x:v>Нулевой остаток</x:v>
      </x:c>
      <x:c r="D204" s="9" t="n">
        <x:v>46282.7137037037</x:v>
      </x:c>
      <x:c r="E204" s="12"/>
      <x:c r="F204" s="12" t="n">
        <x:f>'Покупки'!H27</x:f>
        <x:v>0.00013151634530028823</x:v>
      </x:c>
      <x:c r="G204" s="14" t="str">
        <x:f>IF(I204="Есть цена",IF(AND(ISNUMBER(E204),E204&gt;0,F204&gt;0),E204/F204-1,NA()),"")</x:f>
      </x:c>
      <x:c r="H204" s="14" t="str">
        <x:f>IF(AND(I204="Есть цена",I198="Есть цена"),IF(AND(E204&gt;0,E198&gt;0),E204/E198-1,NA()),"")</x:f>
      </x:c>
      <x:c r="I204" s="2" t="str">
        <x:v>RPC: данные не загружены</x:v>
      </x:c>
      <x:c r="J204" s="2"/>
      <x:c r="K204" s="9"/>
      <x:c r="L204" s="2"/>
      <x:c r="M204" s="2"/>
      <x:c r="N204" s="2"/>
      <x:c r="O204" s="2"/>
      <x:c r="P204" s="2" t="str">
        <x:v>not_cached:getSignaturesForAddress:history/56f43da127b37d5f8d79608a</x:v>
      </x:c>
      <x:c r="Q204" s="2" t="str"/>
      <x:c r="R204" s="14" t="str">
        <x:f>IF(AND(C204="Нулевой остаток",I204="Есть цена"),G204,"")</x:f>
      </x:c>
      <x:c r="S204" s="14" t="str">
        <x:f>IF(AND(C204="Докупка",I204="Есть цена"),G204,"")</x:f>
      </x:c>
    </x:row>
    <x:row r="205" ht="21" customHeight="1">
      <x:c r="A205" s="2" t="n">
        <x:v>20</x:v>
      </x:c>
      <x:c r="B205" s="2" t="n">
        <x:v>3600</x:v>
      </x:c>
      <x:c r="C205" s="2" t="str">
        <x:f>'Покупки'!C27</x:f>
        <x:v>Нулевой остаток</x:v>
      </x:c>
      <x:c r="D205" s="9" t="n">
        <x:v>46282.7449537037</x:v>
      </x:c>
      <x:c r="E205" s="12"/>
      <x:c r="F205" s="12" t="n">
        <x:f>'Покупки'!H27</x:f>
        <x:v>0.00013151634530028823</x:v>
      </x:c>
      <x:c r="G205" s="14" t="str">
        <x:f>IF(I205="Есть цена",IF(AND(ISNUMBER(E205),E205&gt;0,F205&gt;0),E205/F205-1,NA()),"")</x:f>
      </x:c>
      <x:c r="H205" s="14" t="str">
        <x:f>IF(AND(I205="Есть цена",I198="Есть цена"),IF(AND(E205&gt;0,E198&gt;0),E205/E198-1,NA()),"")</x:f>
      </x:c>
      <x:c r="I205" s="2" t="str">
        <x:v>RPC: данные не загружены</x:v>
      </x:c>
      <x:c r="J205" s="2"/>
      <x:c r="K205" s="9"/>
      <x:c r="L205" s="2"/>
      <x:c r="M205" s="2"/>
      <x:c r="N205" s="2"/>
      <x:c r="O205" s="2"/>
      <x:c r="P205" s="2" t="str">
        <x:v>not_cached:getSignaturesForAddress:history/f03eeb31f91d8f00e6ce2c22</x:v>
      </x:c>
      <x:c r="Q205" s="2" t="str"/>
      <x:c r="R205" s="14" t="str">
        <x:f>IF(AND(C205="Нулевой остаток",I205="Есть цена"),G205,"")</x:f>
      </x:c>
      <x:c r="S205" s="14" t="str">
        <x:f>IF(AND(C205="Докупка",I205="Есть цена"),G205,"")</x:f>
      </x:c>
    </x:row>
    <x:row r="206" ht="21" customHeight="1">
      <x:c r="A206" s="2" t="n">
        <x:v>20</x:v>
      </x:c>
      <x:c r="B206" s="2" t="n">
        <x:v>21600</x:v>
      </x:c>
      <x:c r="C206" s="2" t="str">
        <x:f>'Покупки'!C27</x:f>
        <x:v>Нулевой остаток</x:v>
      </x:c>
      <x:c r="D206" s="9" t="n">
        <x:v>46282.95328703704</x:v>
      </x:c>
      <x:c r="E206" s="12"/>
      <x:c r="F206" s="12" t="n">
        <x:f>'Покупки'!H27</x:f>
        <x:v>0.00013151634530028823</x:v>
      </x:c>
      <x:c r="G206" s="14" t="str">
        <x:f>IF(I206="Есть цена",IF(AND(ISNUMBER(E206),E206&gt;0,F206&gt;0),E206/F206-1,NA()),"")</x:f>
      </x:c>
      <x:c r="H206" s="14" t="str">
        <x:f>IF(AND(I206="Есть цена",I198="Есть цена"),IF(AND(E206&gt;0,E198&gt;0),E206/E198-1,NA()),"")</x:f>
      </x:c>
      <x:c r="I206" s="2" t="str">
        <x:v>Ещё рано</x:v>
      </x:c>
      <x:c r="J206" s="2"/>
      <x:c r="K206" s="9"/>
      <x:c r="L206" s="2"/>
      <x:c r="M206" s="2"/>
      <x:c r="N206" s="2"/>
      <x:c r="O206" s="2"/>
      <x:c r="P206" s="2" t="str">
        <x:v>future</x:v>
      </x:c>
      <x:c r="Q206" s="2" t="str"/>
      <x:c r="R206" s="14" t="str">
        <x:f>IF(AND(C206="Нулевой остаток",I206="Есть цена"),G206,"")</x:f>
      </x:c>
      <x:c r="S206" s="14" t="str">
        <x:f>IF(AND(C206="Докупка",I206="Есть цена"),G206,"")</x:f>
      </x:c>
    </x:row>
    <x:row r="207" ht="21" customHeight="1">
      <x:c r="A207" s="2" t="n">
        <x:v>20</x:v>
      </x:c>
      <x:c r="B207" s="2" t="n">
        <x:v>86400</x:v>
      </x:c>
      <x:c r="C207" s="2" t="str">
        <x:f>'Покупки'!C27</x:f>
        <x:v>Нулевой остаток</x:v>
      </x:c>
      <x:c r="D207" s="9" t="n">
        <x:v>46283.70328703704</x:v>
      </x:c>
      <x:c r="E207" s="12"/>
      <x:c r="F207" s="12" t="n">
        <x:f>'Покупки'!H27</x:f>
        <x:v>0.00013151634530028823</x:v>
      </x:c>
      <x:c r="G207" s="14" t="str">
        <x:f>IF(I207="Есть цена",IF(AND(ISNUMBER(E207),E207&gt;0,F207&gt;0),E207/F207-1,NA()),"")</x:f>
      </x:c>
      <x:c r="H207" s="14" t="str">
        <x:f>IF(AND(I207="Есть цена",I198="Есть цена"),IF(AND(E207&gt;0,E198&gt;0),E207/E198-1,NA()),"")</x:f>
      </x:c>
      <x:c r="I207" s="2" t="str">
        <x:v>Ещё рано</x:v>
      </x:c>
      <x:c r="J207" s="2"/>
      <x:c r="K207" s="9"/>
      <x:c r="L207" s="2"/>
      <x:c r="M207" s="2"/>
      <x:c r="N207" s="2"/>
      <x:c r="O207" s="2"/>
      <x:c r="P207" s="2" t="str">
        <x:v>future</x:v>
      </x:c>
      <x:c r="Q207" s="2" t="str"/>
      <x:c r="R207" s="14" t="str">
        <x:f>IF(AND(C207="Нулевой остаток",I207="Есть цена"),G207,"")</x:f>
      </x:c>
      <x:c r="S207" s="14" t="str">
        <x:f>IF(AND(C207="Докупка",I207="Есть цена"),G207,"")</x:f>
      </x:c>
    </x:row>
    <x:row r="208" ht="21" customHeight="1">
      <x:c r="A208" s="2" t="n">
        <x:v>21</x:v>
      </x:c>
      <x:c r="B208" s="2" t="n">
        <x:v>5</x:v>
      </x:c>
      <x:c r="C208" s="2" t="str">
        <x:f>'Покупки'!C28</x:f>
        <x:v>Нулевой остаток</x:v>
      </x:c>
      <x:c r="D208" s="9" t="n">
        <x:v>46282.70309027778</x:v>
      </x:c>
      <x:c r="E208" s="12"/>
      <x:c r="F208" s="12" t="n">
        <x:f>'Покупки'!H28</x:f>
        <x:v>0.0003991298147980058</x:v>
      </x:c>
      <x:c r="G208" s="14" t="str">
        <x:f>IF(I208="Есть цена",IF(AND(ISNUMBER(E208),E208&gt;0,F208&gt;0),E208/F208-1,NA()),"")</x:f>
      </x:c>
      <x:c r="H208" s="14" t="str">
        <x:f>IF(AND(I208="Есть цена",I208="Есть цена"),IF(AND(E208&gt;0,E208&gt;0),E208/E208-1,NA()),"")</x:f>
      </x:c>
      <x:c r="I208" s="2" t="str">
        <x:v>RPC: данные не загружены</x:v>
      </x:c>
      <x:c r="J208" s="2"/>
      <x:c r="K208" s="9"/>
      <x:c r="L208" s="2"/>
      <x:c r="M208" s="2"/>
      <x:c r="N208" s="2"/>
      <x:c r="O208" s="2"/>
      <x:c r="P208" s="2" t="str">
        <x:v>not_cached:getSignaturesForAddress:history/bf412c50fbee4d221b4829a2</x:v>
      </x:c>
      <x:c r="Q208" s="2" t="str"/>
      <x:c r="R208" s="14" t="str">
        <x:f>IF(AND(C208="Нулевой остаток",I208="Есть цена"),G208,"")</x:f>
      </x:c>
      <x:c r="S208" s="14" t="str">
        <x:f>IF(AND(C208="Докупка",I208="Есть цена"),G208,"")</x:f>
      </x:c>
    </x:row>
    <x:row r="209" ht="21" customHeight="1">
      <x:c r="A209" s="2" t="n">
        <x:v>21</x:v>
      </x:c>
      <x:c r="B209" s="2" t="n">
        <x:v>15</x:v>
      </x:c>
      <x:c r="C209" s="2" t="str">
        <x:f>'Покупки'!C28</x:f>
        <x:v>Нулевой остаток</x:v>
      </x:c>
      <x:c r="D209" s="9" t="n">
        <x:v>46282.703206018516</x:v>
      </x:c>
      <x:c r="E209" s="12"/>
      <x:c r="F209" s="12" t="n">
        <x:f>'Покупки'!H28</x:f>
        <x:v>0.0003991298147980058</x:v>
      </x:c>
      <x:c r="G209" s="14" t="str">
        <x:f>IF(I209="Есть цена",IF(AND(ISNUMBER(E209),E209&gt;0,F209&gt;0),E209/F209-1,NA()),"")</x:f>
      </x:c>
      <x:c r="H209" s="14" t="str">
        <x:f>IF(AND(I209="Есть цена",I208="Есть цена"),IF(AND(E209&gt;0,E208&gt;0),E209/E208-1,NA()),"")</x:f>
      </x:c>
      <x:c r="I209" s="2" t="str">
        <x:v>RPC: данные не загружены</x:v>
      </x:c>
      <x:c r="J209" s="2"/>
      <x:c r="K209" s="9"/>
      <x:c r="L209" s="2"/>
      <x:c r="M209" s="2"/>
      <x:c r="N209" s="2"/>
      <x:c r="O209" s="2"/>
      <x:c r="P209" s="2" t="str">
        <x:v>not_cached:getSignaturesForAddress:history/bf412c50fbee4d221b4829a2</x:v>
      </x:c>
      <x:c r="Q209" s="2" t="str"/>
      <x:c r="R209" s="14" t="str">
        <x:f>IF(AND(C209="Нулевой остаток",I209="Есть цена"),G209,"")</x:f>
      </x:c>
      <x:c r="S209" s="14" t="str">
        <x:f>IF(AND(C209="Докупка",I209="Есть цена"),G209,"")</x:f>
      </x:c>
    </x:row>
    <x:row r="210" ht="21" customHeight="1">
      <x:c r="A210" s="2" t="n">
        <x:v>21</x:v>
      </x:c>
      <x:c r="B210" s="2" t="n">
        <x:v>30</x:v>
      </x:c>
      <x:c r="C210" s="2" t="str">
        <x:f>'Покупки'!C28</x:f>
        <x:v>Нулевой остаток</x:v>
      </x:c>
      <x:c r="D210" s="9" t="n">
        <x:v>46282.70337962963</x:v>
      </x:c>
      <x:c r="E210" s="12"/>
      <x:c r="F210" s="12" t="n">
        <x:f>'Покупки'!H28</x:f>
        <x:v>0.0003991298147980058</x:v>
      </x:c>
      <x:c r="G210" s="14" t="str">
        <x:f>IF(I210="Есть цена",IF(AND(ISNUMBER(E210),E210&gt;0,F210&gt;0),E210/F210-1,NA()),"")</x:f>
      </x:c>
      <x:c r="H210" s="14" t="str">
        <x:f>IF(AND(I210="Есть цена",I208="Есть цена"),IF(AND(E210&gt;0,E208&gt;0),E210/E208-1,NA()),"")</x:f>
      </x:c>
      <x:c r="I210" s="2" t="str">
        <x:v>RPC: данные не загружены</x:v>
      </x:c>
      <x:c r="J210" s="2"/>
      <x:c r="K210" s="9"/>
      <x:c r="L210" s="2"/>
      <x:c r="M210" s="2"/>
      <x:c r="N210" s="2"/>
      <x:c r="O210" s="2"/>
      <x:c r="P210" s="2" t="str">
        <x:v>not_cached:getSignaturesForAddress:history/bb86a41e97faf82558a3043a</x:v>
      </x:c>
      <x:c r="Q210" s="2" t="str"/>
      <x:c r="R210" s="14" t="str">
        <x:f>IF(AND(C210="Нулевой остаток",I210="Есть цена"),G210,"")</x:f>
      </x:c>
      <x:c r="S210" s="14" t="str">
        <x:f>IF(AND(C210="Докупка",I210="Есть цена"),G210,"")</x:f>
      </x:c>
    </x:row>
    <x:row r="211" ht="21" customHeight="1">
      <x:c r="A211" s="2" t="n">
        <x:v>21</x:v>
      </x:c>
      <x:c r="B211" s="2" t="n">
        <x:v>60</x:v>
      </x:c>
      <x:c r="C211" s="2" t="str">
        <x:f>'Покупки'!C28</x:f>
        <x:v>Нулевой остаток</x:v>
      </x:c>
      <x:c r="D211" s="9" t="n">
        <x:v>46282.703726851854</x:v>
      </x:c>
      <x:c r="E211" s="12"/>
      <x:c r="F211" s="12" t="n">
        <x:f>'Покупки'!H28</x:f>
        <x:v>0.0003991298147980058</x:v>
      </x:c>
      <x:c r="G211" s="14" t="str">
        <x:f>IF(I211="Есть цена",IF(AND(ISNUMBER(E211),E211&gt;0,F211&gt;0),E211/F211-1,NA()),"")</x:f>
      </x:c>
      <x:c r="H211" s="14" t="str">
        <x:f>IF(AND(I211="Есть цена",I208="Есть цена"),IF(AND(E211&gt;0,E208&gt;0),E211/E208-1,NA()),"")</x:f>
      </x:c>
      <x:c r="I211" s="2" t="str">
        <x:v>RPC: данные не загружены</x:v>
      </x:c>
      <x:c r="J211" s="2"/>
      <x:c r="K211" s="9"/>
      <x:c r="L211" s="2"/>
      <x:c r="M211" s="2"/>
      <x:c r="N211" s="2"/>
      <x:c r="O211" s="2"/>
      <x:c r="P211" s="2" t="str">
        <x:v>not_cached:getSignaturesForAddress:history/d7a143bae6fc416c178a0b8f</x:v>
      </x:c>
      <x:c r="Q211" s="2" t="str"/>
      <x:c r="R211" s="14" t="str">
        <x:f>IF(AND(C211="Нулевой остаток",I211="Есть цена"),G211,"")</x:f>
      </x:c>
      <x:c r="S211" s="14" t="str">
        <x:f>IF(AND(C211="Докупка",I211="Есть цена"),G211,"")</x:f>
      </x:c>
    </x:row>
    <x:row r="212" ht="21" customHeight="1">
      <x:c r="A212" s="2" t="n">
        <x:v>21</x:v>
      </x:c>
      <x:c r="B212" s="2" t="n">
        <x:v>180</x:v>
      </x:c>
      <x:c r="C212" s="2" t="str">
        <x:f>'Покупки'!C28</x:f>
        <x:v>Нулевой остаток</x:v>
      </x:c>
      <x:c r="D212" s="9" t="n">
        <x:v>46282.70511574074</x:v>
      </x:c>
      <x:c r="E212" s="12"/>
      <x:c r="F212" s="12" t="n">
        <x:f>'Покупки'!H28</x:f>
        <x:v>0.0003991298147980058</x:v>
      </x:c>
      <x:c r="G212" s="14" t="str">
        <x:f>IF(I212="Есть цена",IF(AND(ISNUMBER(E212),E212&gt;0,F212&gt;0),E212/F212-1,NA()),"")</x:f>
      </x:c>
      <x:c r="H212" s="14" t="str">
        <x:f>IF(AND(I212="Есть цена",I208="Есть цена"),IF(AND(E212&gt;0,E208&gt;0),E212/E208-1,NA()),"")</x:f>
      </x:c>
      <x:c r="I212" s="2" t="str">
        <x:v>RPC: данные не загружены</x:v>
      </x:c>
      <x:c r="J212" s="2"/>
      <x:c r="K212" s="9"/>
      <x:c r="L212" s="2"/>
      <x:c r="M212" s="2"/>
      <x:c r="N212" s="2"/>
      <x:c r="O212" s="2"/>
      <x:c r="P212" s="2" t="str">
        <x:v>not_cached:getSignaturesForAddress:history/690ab2234ea20c21f17380be</x:v>
      </x:c>
      <x:c r="Q212" s="2" t="str"/>
      <x:c r="R212" s="14" t="str">
        <x:f>IF(AND(C212="Нулевой остаток",I212="Есть цена"),G212,"")</x:f>
      </x:c>
      <x:c r="S212" s="14" t="str">
        <x:f>IF(AND(C212="Докупка",I212="Есть цена"),G212,"")</x:f>
      </x:c>
    </x:row>
    <x:row r="213" ht="21" customHeight="1">
      <x:c r="A213" s="2" t="n">
        <x:v>21</x:v>
      </x:c>
      <x:c r="B213" s="2" t="n">
        <x:v>300</x:v>
      </x:c>
      <x:c r="C213" s="2" t="str">
        <x:f>'Покупки'!C28</x:f>
        <x:v>Нулевой остаток</x:v>
      </x:c>
      <x:c r="D213" s="9" t="n">
        <x:v>46282.70650462963</x:v>
      </x:c>
      <x:c r="E213" s="12"/>
      <x:c r="F213" s="12" t="n">
        <x:f>'Покупки'!H28</x:f>
        <x:v>0.0003991298147980058</x:v>
      </x:c>
      <x:c r="G213" s="14" t="str">
        <x:f>IF(I213="Есть цена",IF(AND(ISNUMBER(E213),E213&gt;0,F213&gt;0),E213/F213-1,NA()),"")</x:f>
      </x:c>
      <x:c r="H213" s="14" t="str">
        <x:f>IF(AND(I213="Есть цена",I208="Есть цена"),IF(AND(E213&gt;0,E208&gt;0),E213/E208-1,NA()),"")</x:f>
      </x:c>
      <x:c r="I213" s="2" t="str">
        <x:v>RPC: данные не загружены</x:v>
      </x:c>
      <x:c r="J213" s="2"/>
      <x:c r="K213" s="9"/>
      <x:c r="L213" s="2"/>
      <x:c r="M213" s="2"/>
      <x:c r="N213" s="2"/>
      <x:c r="O213" s="2"/>
      <x:c r="P213" s="2" t="str">
        <x:v>not_cached:getSignaturesForAddress:history/150b42bc5e5fb32092682dd7</x:v>
      </x:c>
      <x:c r="Q213" s="2" t="str"/>
      <x:c r="R213" s="14" t="str">
        <x:f>IF(AND(C213="Нулевой остаток",I213="Есть цена"),G213,"")</x:f>
      </x:c>
      <x:c r="S213" s="14" t="str">
        <x:f>IF(AND(C213="Докупка",I213="Есть цена"),G213,"")</x:f>
      </x:c>
    </x:row>
    <x:row r="214" ht="21" customHeight="1">
      <x:c r="A214" s="2" t="n">
        <x:v>21</x:v>
      </x:c>
      <x:c r="B214" s="2" t="n">
        <x:v>900</x:v>
      </x:c>
      <x:c r="C214" s="2" t="str">
        <x:f>'Покупки'!C28</x:f>
        <x:v>Нулевой остаток</x:v>
      </x:c>
      <x:c r="D214" s="9" t="n">
        <x:v>46282.71344907407</x:v>
      </x:c>
      <x:c r="E214" s="12"/>
      <x:c r="F214" s="12" t="n">
        <x:f>'Покупки'!H28</x:f>
        <x:v>0.0003991298147980058</x:v>
      </x:c>
      <x:c r="G214" s="14" t="str">
        <x:f>IF(I214="Есть цена",IF(AND(ISNUMBER(E214),E214&gt;0,F214&gt;0),E214/F214-1,NA()),"")</x:f>
      </x:c>
      <x:c r="H214" s="14" t="str">
        <x:f>IF(AND(I214="Есть цена",I208="Есть цена"),IF(AND(E214&gt;0,E208&gt;0),E214/E208-1,NA()),"")</x:f>
      </x:c>
      <x:c r="I214" s="2" t="str">
        <x:v>RPC: данные не загружены</x:v>
      </x:c>
      <x:c r="J214" s="2"/>
      <x:c r="K214" s="9"/>
      <x:c r="L214" s="2"/>
      <x:c r="M214" s="2"/>
      <x:c r="N214" s="2"/>
      <x:c r="O214" s="2"/>
      <x:c r="P214" s="2" t="str">
        <x:v>not_cached:getSignaturesForAddress:history/79c3f2f2a838b435209c542b</x:v>
      </x:c>
      <x:c r="Q214" s="2" t="str"/>
      <x:c r="R214" s="14" t="str">
        <x:f>IF(AND(C214="Нулевой остаток",I214="Есть цена"),G214,"")</x:f>
      </x:c>
      <x:c r="S214" s="14" t="str">
        <x:f>IF(AND(C214="Докупка",I214="Есть цена"),G214,"")</x:f>
      </x:c>
    </x:row>
    <x:row r="215" ht="21" customHeight="1">
      <x:c r="A215" s="2" t="n">
        <x:v>21</x:v>
      </x:c>
      <x:c r="B215" s="2" t="n">
        <x:v>3600</x:v>
      </x:c>
      <x:c r="C215" s="2" t="str">
        <x:f>'Покупки'!C28</x:f>
        <x:v>Нулевой остаток</x:v>
      </x:c>
      <x:c r="D215" s="9" t="n">
        <x:v>46282.74469907407</x:v>
      </x:c>
      <x:c r="E215" s="12"/>
      <x:c r="F215" s="12" t="n">
        <x:f>'Покупки'!H28</x:f>
        <x:v>0.0003991298147980058</x:v>
      </x:c>
      <x:c r="G215" s="14" t="str">
        <x:f>IF(I215="Есть цена",IF(AND(ISNUMBER(E215),E215&gt;0,F215&gt;0),E215/F215-1,NA()),"")</x:f>
      </x:c>
      <x:c r="H215" s="14" t="str">
        <x:f>IF(AND(I215="Есть цена",I208="Есть цена"),IF(AND(E215&gt;0,E208&gt;0),E215/E208-1,NA()),"")</x:f>
      </x:c>
      <x:c r="I215" s="2" t="str">
        <x:v>RPC: данные не загружены</x:v>
      </x:c>
      <x:c r="J215" s="2"/>
      <x:c r="K215" s="9"/>
      <x:c r="L215" s="2"/>
      <x:c r="M215" s="2"/>
      <x:c r="N215" s="2"/>
      <x:c r="O215" s="2"/>
      <x:c r="P215" s="2" t="str">
        <x:v>not_cached:getSignaturesForAddress:history/2d87237fa518bf33b7c09242</x:v>
      </x:c>
      <x:c r="Q215" s="2" t="str"/>
      <x:c r="R215" s="14" t="str">
        <x:f>IF(AND(C215="Нулевой остаток",I215="Есть цена"),G215,"")</x:f>
      </x:c>
      <x:c r="S215" s="14" t="str">
        <x:f>IF(AND(C215="Докупка",I215="Есть цена"),G215,"")</x:f>
      </x:c>
    </x:row>
    <x:row r="216" ht="21" customHeight="1">
      <x:c r="A216" s="2" t="n">
        <x:v>21</x:v>
      </x:c>
      <x:c r="B216" s="2" t="n">
        <x:v>21600</x:v>
      </x:c>
      <x:c r="C216" s="2" t="str">
        <x:f>'Покупки'!C28</x:f>
        <x:v>Нулевой остаток</x:v>
      </x:c>
      <x:c r="D216" s="9" t="n">
        <x:v>46282.95303240741</x:v>
      </x:c>
      <x:c r="E216" s="12"/>
      <x:c r="F216" s="12" t="n">
        <x:f>'Покупки'!H28</x:f>
        <x:v>0.0003991298147980058</x:v>
      </x:c>
      <x:c r="G216" s="14" t="str">
        <x:f>IF(I216="Есть цена",IF(AND(ISNUMBER(E216),E216&gt;0,F216&gt;0),E216/F216-1,NA()),"")</x:f>
      </x:c>
      <x:c r="H216" s="14" t="str">
        <x:f>IF(AND(I216="Есть цена",I208="Есть цена"),IF(AND(E216&gt;0,E208&gt;0),E216/E208-1,NA()),"")</x:f>
      </x:c>
      <x:c r="I216" s="2" t="str">
        <x:v>Ещё рано</x:v>
      </x:c>
      <x:c r="J216" s="2"/>
      <x:c r="K216" s="9"/>
      <x:c r="L216" s="2"/>
      <x:c r="M216" s="2"/>
      <x:c r="N216" s="2"/>
      <x:c r="O216" s="2"/>
      <x:c r="P216" s="2" t="str">
        <x:v>future</x:v>
      </x:c>
      <x:c r="Q216" s="2" t="str"/>
      <x:c r="R216" s="14" t="str">
        <x:f>IF(AND(C216="Нулевой остаток",I216="Есть цена"),G216,"")</x:f>
      </x:c>
      <x:c r="S216" s="14" t="str">
        <x:f>IF(AND(C216="Докупка",I216="Есть цена"),G216,"")</x:f>
      </x:c>
    </x:row>
    <x:row r="217" ht="21" customHeight="1">
      <x:c r="A217" s="2" t="n">
        <x:v>21</x:v>
      </x:c>
      <x:c r="B217" s="2" t="n">
        <x:v>86400</x:v>
      </x:c>
      <x:c r="C217" s="2" t="str">
        <x:f>'Покупки'!C28</x:f>
        <x:v>Нулевой остаток</x:v>
      </x:c>
      <x:c r="D217" s="9" t="n">
        <x:v>46283.70303240741</x:v>
      </x:c>
      <x:c r="E217" s="12"/>
      <x:c r="F217" s="12" t="n">
        <x:f>'Покупки'!H28</x:f>
        <x:v>0.0003991298147980058</x:v>
      </x:c>
      <x:c r="G217" s="14" t="str">
        <x:f>IF(I217="Есть цена",IF(AND(ISNUMBER(E217),E217&gt;0,F217&gt;0),E217/F217-1,NA()),"")</x:f>
      </x:c>
      <x:c r="H217" s="14" t="str">
        <x:f>IF(AND(I217="Есть цена",I208="Есть цена"),IF(AND(E217&gt;0,E208&gt;0),E217/E208-1,NA()),"")</x:f>
      </x:c>
      <x:c r="I217" s="2" t="str">
        <x:v>Ещё рано</x:v>
      </x:c>
      <x:c r="J217" s="2"/>
      <x:c r="K217" s="9"/>
      <x:c r="L217" s="2"/>
      <x:c r="M217" s="2"/>
      <x:c r="N217" s="2"/>
      <x:c r="O217" s="2"/>
      <x:c r="P217" s="2" t="str">
        <x:v>future</x:v>
      </x:c>
      <x:c r="Q217" s="2" t="str"/>
      <x:c r="R217" s="14" t="str">
        <x:f>IF(AND(C217="Нулевой остаток",I217="Есть цена"),G217,"")</x:f>
      </x:c>
      <x:c r="S217" s="14" t="str">
        <x:f>IF(AND(C217="Докупка",I217="Есть цена"),G217,"")</x:f>
      </x:c>
    </x:row>
    <x:row r="218" ht="21" customHeight="1">
      <x:c r="A218" s="2" t="n">
        <x:v>22</x:v>
      </x:c>
      <x:c r="B218" s="2" t="n">
        <x:v>5</x:v>
      </x:c>
      <x:c r="C218" s="2" t="str">
        <x:f>'Покупки'!C29</x:f>
        <x:v>Докупка</x:v>
      </x:c>
      <x:c r="D218" s="9" t="n">
        <x:v>46282.69269675926</x:v>
      </x:c>
      <x:c r="E218" s="12"/>
      <x:c r="F218" s="12" t="n">
        <x:f>'Покупки'!H29</x:f>
        <x:v>0.00671110264108242</x:v>
      </x:c>
      <x:c r="G218" s="14" t="str">
        <x:f>IF(I218="Есть цена",IF(AND(ISNUMBER(E218),E218&gt;0,F218&gt;0),E218/F218-1,NA()),"")</x:f>
      </x:c>
      <x:c r="H218" s="14" t="str">
        <x:f>IF(AND(I218="Есть цена",I218="Есть цена"),IF(AND(E218&gt;0,E218&gt;0),E218/E218-1,NA()),"")</x:f>
      </x:c>
      <x:c r="I218" s="2" t="str">
        <x:v>RPC: данные не загружены</x:v>
      </x:c>
      <x:c r="J218" s="2"/>
      <x:c r="K218" s="9"/>
      <x:c r="L218" s="2"/>
      <x:c r="M218" s="2"/>
      <x:c r="N218" s="2"/>
      <x:c r="O218" s="2"/>
      <x:c r="P218" s="2" t="str">
        <x:v>not_cached:getSignaturesForAddress:history/a0ffb96ff20762c5084798fb</x:v>
      </x:c>
      <x:c r="Q218" s="2" t="str"/>
      <x:c r="R218" s="14" t="str">
        <x:f>IF(AND(C218="Нулевой остаток",I218="Есть цена"),G218,"")</x:f>
      </x:c>
      <x:c r="S218" s="14" t="str">
        <x:f>IF(AND(C218="Докупка",I218="Есть цена"),G218,"")</x:f>
      </x:c>
    </x:row>
    <x:row r="219" ht="21" customHeight="1">
      <x:c r="A219" s="2" t="n">
        <x:v>22</x:v>
      </x:c>
      <x:c r="B219" s="2" t="n">
        <x:v>15</x:v>
      </x:c>
      <x:c r="C219" s="2" t="str">
        <x:f>'Покупки'!C29</x:f>
        <x:v>Докупка</x:v>
      </x:c>
      <x:c r="D219" s="9" t="n">
        <x:v>46282.6928125</x:v>
      </x:c>
      <x:c r="E219" s="12"/>
      <x:c r="F219" s="12" t="n">
        <x:f>'Покупки'!H29</x:f>
        <x:v>0.00671110264108242</x:v>
      </x:c>
      <x:c r="G219" s="14" t="str">
        <x:f>IF(I219="Есть цена",IF(AND(ISNUMBER(E219),E219&gt;0,F219&gt;0),E219/F219-1,NA()),"")</x:f>
      </x:c>
      <x:c r="H219" s="14" t="str">
        <x:f>IF(AND(I219="Есть цена",I218="Есть цена"),IF(AND(E219&gt;0,E218&gt;0),E219/E218-1,NA()),"")</x:f>
      </x:c>
      <x:c r="I219" s="2" t="str">
        <x:v>RPC: данные не загружены</x:v>
      </x:c>
      <x:c r="J219" s="2"/>
      <x:c r="K219" s="9"/>
      <x:c r="L219" s="2"/>
      <x:c r="M219" s="2"/>
      <x:c r="N219" s="2"/>
      <x:c r="O219" s="2"/>
      <x:c r="P219" s="2" t="str">
        <x:v>not_cached:getSignaturesForAddress:history/a0ffb96ff20762c5084798fb</x:v>
      </x:c>
      <x:c r="Q219" s="2" t="str"/>
      <x:c r="R219" s="14" t="str">
        <x:f>IF(AND(C219="Нулевой остаток",I219="Есть цена"),G219,"")</x:f>
      </x:c>
      <x:c r="S219" s="14" t="str">
        <x:f>IF(AND(C219="Докупка",I219="Есть цена"),G219,"")</x:f>
      </x:c>
    </x:row>
    <x:row r="220" ht="21" customHeight="1">
      <x:c r="A220" s="2" t="n">
        <x:v>22</x:v>
      </x:c>
      <x:c r="B220" s="2" t="n">
        <x:v>30</x:v>
      </x:c>
      <x:c r="C220" s="2" t="str">
        <x:f>'Покупки'!C29</x:f>
        <x:v>Докупка</x:v>
      </x:c>
      <x:c r="D220" s="9" t="n">
        <x:v>46282.69298611111</x:v>
      </x:c>
      <x:c r="E220" s="12"/>
      <x:c r="F220" s="12" t="n">
        <x:f>'Покупки'!H29</x:f>
        <x:v>0.00671110264108242</x:v>
      </x:c>
      <x:c r="G220" s="14" t="str">
        <x:f>IF(I220="Есть цена",IF(AND(ISNUMBER(E220),E220&gt;0,F220&gt;0),E220/F220-1,NA()),"")</x:f>
      </x:c>
      <x:c r="H220" s="14" t="str">
        <x:f>IF(AND(I220="Есть цена",I218="Есть цена"),IF(AND(E220&gt;0,E218&gt;0),E220/E218-1,NA()),"")</x:f>
      </x:c>
      <x:c r="I220" s="2" t="str">
        <x:v>RPC: данные не загружены</x:v>
      </x:c>
      <x:c r="J220" s="2"/>
      <x:c r="K220" s="9"/>
      <x:c r="L220" s="2"/>
      <x:c r="M220" s="2"/>
      <x:c r="N220" s="2"/>
      <x:c r="O220" s="2"/>
      <x:c r="P220" s="2" t="str">
        <x:v>not_cached:getSignaturesForAddress:history/a0ffb96ff20762c5084798fb</x:v>
      </x:c>
      <x:c r="Q220" s="2" t="str"/>
      <x:c r="R220" s="14" t="str">
        <x:f>IF(AND(C220="Нулевой остаток",I220="Есть цена"),G220,"")</x:f>
      </x:c>
      <x:c r="S220" s="14" t="str">
        <x:f>IF(AND(C220="Докупка",I220="Есть цена"),G220,"")</x:f>
      </x:c>
    </x:row>
    <x:row r="221" ht="21" customHeight="1">
      <x:c r="A221" s="2" t="n">
        <x:v>22</x:v>
      </x:c>
      <x:c r="B221" s="2" t="n">
        <x:v>60</x:v>
      </x:c>
      <x:c r="C221" s="2" t="str">
        <x:f>'Покупки'!C29</x:f>
        <x:v>Докупка</x:v>
      </x:c>
      <x:c r="D221" s="9" t="n">
        <x:v>46282.693333333336</x:v>
      </x:c>
      <x:c r="E221" s="12"/>
      <x:c r="F221" s="12" t="n">
        <x:f>'Покупки'!H29</x:f>
        <x:v>0.00671110264108242</x:v>
      </x:c>
      <x:c r="G221" s="14" t="str">
        <x:f>IF(I221="Есть цена",IF(AND(ISNUMBER(E221),E221&gt;0,F221&gt;0),E221/F221-1,NA()),"")</x:f>
      </x:c>
      <x:c r="H221" s="14" t="str">
        <x:f>IF(AND(I221="Есть цена",I218="Есть цена"),IF(AND(E221&gt;0,E218&gt;0),E221/E218-1,NA()),"")</x:f>
      </x:c>
      <x:c r="I221" s="2" t="str">
        <x:v>RPC: данные не загружены</x:v>
      </x:c>
      <x:c r="J221" s="2"/>
      <x:c r="K221" s="9"/>
      <x:c r="L221" s="2"/>
      <x:c r="M221" s="2"/>
      <x:c r="N221" s="2"/>
      <x:c r="O221" s="2"/>
      <x:c r="P221" s="2" t="str">
        <x:v>not_cached:getSignaturesForAddress:history/b7aac76f75dfd840859e8530</x:v>
      </x:c>
      <x:c r="Q221" s="2" t="str"/>
      <x:c r="R221" s="14" t="str">
        <x:f>IF(AND(C221="Нулевой остаток",I221="Есть цена"),G221,"")</x:f>
      </x:c>
      <x:c r="S221" s="14" t="str">
        <x:f>IF(AND(C221="Докупка",I221="Есть цена"),G221,"")</x:f>
      </x:c>
    </x:row>
    <x:row r="222" ht="21" customHeight="1">
      <x:c r="A222" s="2" t="n">
        <x:v>22</x:v>
      </x:c>
      <x:c r="B222" s="2" t="n">
        <x:v>180</x:v>
      </x:c>
      <x:c r="C222" s="2" t="str">
        <x:f>'Покупки'!C29</x:f>
        <x:v>Докупка</x:v>
      </x:c>
      <x:c r="D222" s="9" t="n">
        <x:v>46282.69472222222</x:v>
      </x:c>
      <x:c r="E222" s="12"/>
      <x:c r="F222" s="12" t="n">
        <x:f>'Покупки'!H29</x:f>
        <x:v>0.00671110264108242</x:v>
      </x:c>
      <x:c r="G222" s="14" t="str">
        <x:f>IF(I222="Есть цена",IF(AND(ISNUMBER(E222),E222&gt;0,F222&gt;0),E222/F222-1,NA()),"")</x:f>
      </x:c>
      <x:c r="H222" s="14" t="str">
        <x:f>IF(AND(I222="Есть цена",I218="Есть цена"),IF(AND(E222&gt;0,E218&gt;0),E222/E218-1,NA()),"")</x:f>
      </x:c>
      <x:c r="I222" s="2" t="str">
        <x:v>RPC: данные не загружены</x:v>
      </x:c>
      <x:c r="J222" s="2"/>
      <x:c r="K222" s="9"/>
      <x:c r="L222" s="2"/>
      <x:c r="M222" s="2"/>
      <x:c r="N222" s="2"/>
      <x:c r="O222" s="2"/>
      <x:c r="P222" s="2" t="str">
        <x:v>not_cached:getSignaturesForAddress:history/98c3b35486b929cd6b0ee2f8</x:v>
      </x:c>
      <x:c r="Q222" s="2" t="str"/>
      <x:c r="R222" s="14" t="str">
        <x:f>IF(AND(C222="Нулевой остаток",I222="Есть цена"),G222,"")</x:f>
      </x:c>
      <x:c r="S222" s="14" t="str">
        <x:f>IF(AND(C222="Докупка",I222="Есть цена"),G222,"")</x:f>
      </x:c>
    </x:row>
    <x:row r="223" ht="21" customHeight="1">
      <x:c r="A223" s="2" t="n">
        <x:v>22</x:v>
      </x:c>
      <x:c r="B223" s="2" t="n">
        <x:v>300</x:v>
      </x:c>
      <x:c r="C223" s="2" t="str">
        <x:f>'Покупки'!C29</x:f>
        <x:v>Докупка</x:v>
      </x:c>
      <x:c r="D223" s="9" t="n">
        <x:v>46282.69611111111</x:v>
      </x:c>
      <x:c r="E223" s="12"/>
      <x:c r="F223" s="12" t="n">
        <x:f>'Покупки'!H29</x:f>
        <x:v>0.00671110264108242</x:v>
      </x:c>
      <x:c r="G223" s="14" t="str">
        <x:f>IF(I223="Есть цена",IF(AND(ISNUMBER(E223),E223&gt;0,F223&gt;0),E223/F223-1,NA()),"")</x:f>
      </x:c>
      <x:c r="H223" s="14" t="str">
        <x:f>IF(AND(I223="Есть цена",I218="Есть цена"),IF(AND(E223&gt;0,E218&gt;0),E223/E218-1,NA()),"")</x:f>
      </x:c>
      <x:c r="I223" s="2" t="str">
        <x:v>RPC: данные не загружены</x:v>
      </x:c>
      <x:c r="J223" s="2"/>
      <x:c r="K223" s="9"/>
      <x:c r="L223" s="2"/>
      <x:c r="M223" s="2"/>
      <x:c r="N223" s="2"/>
      <x:c r="O223" s="2"/>
      <x:c r="P223" s="2" t="str">
        <x:v>not_cached:getSignaturesForAddress:history/8c23c1ece0099e40f7a8dd22</x:v>
      </x:c>
      <x:c r="Q223" s="2" t="str"/>
      <x:c r="R223" s="14" t="str">
        <x:f>IF(AND(C223="Нулевой остаток",I223="Есть цена"),G223,"")</x:f>
      </x:c>
      <x:c r="S223" s="14" t="str">
        <x:f>IF(AND(C223="Докупка",I223="Есть цена"),G223,"")</x:f>
      </x:c>
    </x:row>
    <x:row r="224" ht="21" customHeight="1">
      <x:c r="A224" s="2" t="n">
        <x:v>22</x:v>
      </x:c>
      <x:c r="B224" s="2" t="n">
        <x:v>900</x:v>
      </x:c>
      <x:c r="C224" s="2" t="str">
        <x:f>'Покупки'!C29</x:f>
        <x:v>Докупка</x:v>
      </x:c>
      <x:c r="D224" s="9" t="n">
        <x:v>46282.703055555554</x:v>
      </x:c>
      <x:c r="E224" s="12"/>
      <x:c r="F224" s="12" t="n">
        <x:f>'Покупки'!H29</x:f>
        <x:v>0.00671110264108242</x:v>
      </x:c>
      <x:c r="G224" s="14" t="str">
        <x:f>IF(I224="Есть цена",IF(AND(ISNUMBER(E224),E224&gt;0,F224&gt;0),E224/F224-1,NA()),"")</x:f>
      </x:c>
      <x:c r="H224" s="14" t="str">
        <x:f>IF(AND(I224="Есть цена",I218="Есть цена"),IF(AND(E224&gt;0,E218&gt;0),E224/E218-1,NA()),"")</x:f>
      </x:c>
      <x:c r="I224" s="2" t="str">
        <x:v>RPC: данные не загружены</x:v>
      </x:c>
      <x:c r="J224" s="2"/>
      <x:c r="K224" s="9"/>
      <x:c r="L224" s="2"/>
      <x:c r="M224" s="2"/>
      <x:c r="N224" s="2"/>
      <x:c r="O224" s="2"/>
      <x:c r="P224" s="2" t="str">
        <x:v>not_cached:getSignaturesForAddress:history/a1c867e60d0871071a725bf1</x:v>
      </x:c>
      <x:c r="Q224" s="2" t="str"/>
      <x:c r="R224" s="14" t="str">
        <x:f>IF(AND(C224="Нулевой остаток",I224="Есть цена"),G224,"")</x:f>
      </x:c>
      <x:c r="S224" s="14" t="str">
        <x:f>IF(AND(C224="Докупка",I224="Есть цена"),G224,"")</x:f>
      </x:c>
    </x:row>
    <x:row r="225" ht="21" customHeight="1">
      <x:c r="A225" s="2" t="n">
        <x:v>22</x:v>
      </x:c>
      <x:c r="B225" s="2" t="n">
        <x:v>3600</x:v>
      </x:c>
      <x:c r="C225" s="2" t="str">
        <x:f>'Покупки'!C29</x:f>
        <x:v>Докупка</x:v>
      </x:c>
      <x:c r="D225" s="9" t="n">
        <x:v>46282.734305555554</x:v>
      </x:c>
      <x:c r="E225" s="12"/>
      <x:c r="F225" s="12" t="n">
        <x:f>'Покупки'!H29</x:f>
        <x:v>0.00671110264108242</x:v>
      </x:c>
      <x:c r="G225" s="14" t="str">
        <x:f>IF(I225="Есть цена",IF(AND(ISNUMBER(E225),E225&gt;0,F225&gt;0),E225/F225-1,NA()),"")</x:f>
      </x:c>
      <x:c r="H225" s="14" t="str">
        <x:f>IF(AND(I225="Есть цена",I218="Есть цена"),IF(AND(E225&gt;0,E218&gt;0),E225/E218-1,NA()),"")</x:f>
      </x:c>
      <x:c r="I225" s="2" t="str">
        <x:v>RPC: данные не загружены</x:v>
      </x:c>
      <x:c r="J225" s="2"/>
      <x:c r="K225" s="9"/>
      <x:c r="L225" s="2"/>
      <x:c r="M225" s="2"/>
      <x:c r="N225" s="2"/>
      <x:c r="O225" s="2"/>
      <x:c r="P225" s="2" t="str">
        <x:v>not_cached:getSignaturesForAddress:history/5ce706025e62c65e34aace9d</x:v>
      </x:c>
      <x:c r="Q225" s="2" t="str"/>
      <x:c r="R225" s="14" t="str">
        <x:f>IF(AND(C225="Нулевой остаток",I225="Есть цена"),G225,"")</x:f>
      </x:c>
      <x:c r="S225" s="14" t="str">
        <x:f>IF(AND(C225="Докупка",I225="Есть цена"),G225,"")</x:f>
      </x:c>
    </x:row>
    <x:row r="226" ht="21" customHeight="1">
      <x:c r="A226" s="2" t="n">
        <x:v>22</x:v>
      </x:c>
      <x:c r="B226" s="2" t="n">
        <x:v>21600</x:v>
      </x:c>
      <x:c r="C226" s="2" t="str">
        <x:f>'Покупки'!C29</x:f>
        <x:v>Докупка</x:v>
      </x:c>
      <x:c r="D226" s="9" t="n">
        <x:v>46282.94263888889</x:v>
      </x:c>
      <x:c r="E226" s="12"/>
      <x:c r="F226" s="12" t="n">
        <x:f>'Покупки'!H29</x:f>
        <x:v>0.00671110264108242</x:v>
      </x:c>
      <x:c r="G226" s="14" t="str">
        <x:f>IF(I226="Есть цена",IF(AND(ISNUMBER(E226),E226&gt;0,F226&gt;0),E226/F226-1,NA()),"")</x:f>
      </x:c>
      <x:c r="H226" s="14" t="str">
        <x:f>IF(AND(I226="Есть цена",I218="Есть цена"),IF(AND(E226&gt;0,E218&gt;0),E226/E218-1,NA()),"")</x:f>
      </x:c>
      <x:c r="I226" s="2" t="str">
        <x:v>Ещё рано</x:v>
      </x:c>
      <x:c r="J226" s="2"/>
      <x:c r="K226" s="9"/>
      <x:c r="L226" s="2"/>
      <x:c r="M226" s="2"/>
      <x:c r="N226" s="2"/>
      <x:c r="O226" s="2"/>
      <x:c r="P226" s="2" t="str">
        <x:v>future</x:v>
      </x:c>
      <x:c r="Q226" s="2" t="str"/>
      <x:c r="R226" s="14" t="str">
        <x:f>IF(AND(C226="Нулевой остаток",I226="Есть цена"),G226,"")</x:f>
      </x:c>
      <x:c r="S226" s="14" t="str">
        <x:f>IF(AND(C226="Докупка",I226="Есть цена"),G226,"")</x:f>
      </x:c>
    </x:row>
    <x:row r="227" ht="21" customHeight="1">
      <x:c r="A227" s="2" t="n">
        <x:v>22</x:v>
      </x:c>
      <x:c r="B227" s="2" t="n">
        <x:v>86400</x:v>
      </x:c>
      <x:c r="C227" s="2" t="str">
        <x:f>'Покупки'!C29</x:f>
        <x:v>Докупка</x:v>
      </x:c>
      <x:c r="D227" s="9" t="n">
        <x:v>46283.69263888889</x:v>
      </x:c>
      <x:c r="E227" s="12"/>
      <x:c r="F227" s="12" t="n">
        <x:f>'Покупки'!H29</x:f>
        <x:v>0.00671110264108242</x:v>
      </x:c>
      <x:c r="G227" s="14" t="str">
        <x:f>IF(I227="Есть цена",IF(AND(ISNUMBER(E227),E227&gt;0,F227&gt;0),E227/F227-1,NA()),"")</x:f>
      </x:c>
      <x:c r="H227" s="14" t="str">
        <x:f>IF(AND(I227="Есть цена",I218="Есть цена"),IF(AND(E227&gt;0,E218&gt;0),E227/E218-1,NA()),"")</x:f>
      </x:c>
      <x:c r="I227" s="2" t="str">
        <x:v>Ещё рано</x:v>
      </x:c>
      <x:c r="J227" s="2"/>
      <x:c r="K227" s="9"/>
      <x:c r="L227" s="2"/>
      <x:c r="M227" s="2"/>
      <x:c r="N227" s="2"/>
      <x:c r="O227" s="2"/>
      <x:c r="P227" s="2" t="str">
        <x:v>future</x:v>
      </x:c>
      <x:c r="Q227" s="2" t="str"/>
      <x:c r="R227" s="14" t="str">
        <x:f>IF(AND(C227="Нулевой остаток",I227="Есть цена"),G227,"")</x:f>
      </x:c>
      <x:c r="S227" s="14" t="str">
        <x:f>IF(AND(C227="Докупка",I227="Есть цена"),G227,"")</x:f>
      </x:c>
    </x:row>
    <x:row r="228" ht="21" customHeight="1">
      <x:c r="A228" s="2" t="n">
        <x:v>23</x:v>
      </x:c>
      <x:c r="B228" s="2" t="n">
        <x:v>5</x:v>
      </x:c>
      <x:c r="C228" s="2" t="str">
        <x:f>'Покупки'!C30</x:f>
        <x:v>Нулевой остаток</x:v>
      </x:c>
      <x:c r="D228" s="9" t="n">
        <x:v>46282.69157407407</x:v>
      </x:c>
      <x:c r="E228" s="12"/>
      <x:c r="F228" s="12" t="n">
        <x:f>'Покупки'!H30</x:f>
        <x:v>0.00014572775499270538</x:v>
      </x:c>
      <x:c r="G228" s="14" t="str">
        <x:f>IF(I228="Есть цена",IF(AND(ISNUMBER(E228),E228&gt;0,F228&gt;0),E228/F228-1,NA()),"")</x:f>
      </x:c>
      <x:c r="H228" s="14" t="str">
        <x:f>IF(AND(I228="Есть цена",I228="Есть цена"),IF(AND(E228&gt;0,E228&gt;0),E228/E228-1,NA()),"")</x:f>
      </x:c>
      <x:c r="I228" s="2" t="str">
        <x:v>RPC: данные не загружены</x:v>
      </x:c>
      <x:c r="J228" s="2"/>
      <x:c r="K228" s="9"/>
      <x:c r="L228" s="2"/>
      <x:c r="M228" s="2"/>
      <x:c r="N228" s="2"/>
      <x:c r="O228" s="2"/>
      <x:c r="P228" s="2" t="str">
        <x:v>not_cached:getSignaturesForAddress:history/9d4ff71bdeb3a7ad713cdd45</x:v>
      </x:c>
      <x:c r="Q228" s="2" t="str"/>
      <x:c r="R228" s="14" t="str">
        <x:f>IF(AND(C228="Нулевой остаток",I228="Есть цена"),G228,"")</x:f>
      </x:c>
      <x:c r="S228" s="14" t="str">
        <x:f>IF(AND(C228="Докупка",I228="Есть цена"),G228,"")</x:f>
      </x:c>
    </x:row>
    <x:row r="229" ht="21" customHeight="1">
      <x:c r="A229" s="2" t="n">
        <x:v>23</x:v>
      </x:c>
      <x:c r="B229" s="2" t="n">
        <x:v>15</x:v>
      </x:c>
      <x:c r="C229" s="2" t="str">
        <x:f>'Покупки'!C30</x:f>
        <x:v>Нулевой остаток</x:v>
      </x:c>
      <x:c r="D229" s="9" t="n">
        <x:v>46282.69168981481</x:v>
      </x:c>
      <x:c r="E229" s="12"/>
      <x:c r="F229" s="12" t="n">
        <x:f>'Покупки'!H30</x:f>
        <x:v>0.00014572775499270538</x:v>
      </x:c>
      <x:c r="G229" s="14" t="str">
        <x:f>IF(I229="Есть цена",IF(AND(ISNUMBER(E229),E229&gt;0,F229&gt;0),E229/F229-1,NA()),"")</x:f>
      </x:c>
      <x:c r="H229" s="14" t="str">
        <x:f>IF(AND(I229="Есть цена",I228="Есть цена"),IF(AND(E229&gt;0,E228&gt;0),E229/E228-1,NA()),"")</x:f>
      </x:c>
      <x:c r="I229" s="2" t="str">
        <x:v>RPC: данные не загружены</x:v>
      </x:c>
      <x:c r="J229" s="2"/>
      <x:c r="K229" s="9"/>
      <x:c r="L229" s="2"/>
      <x:c r="M229" s="2"/>
      <x:c r="N229" s="2"/>
      <x:c r="O229" s="2"/>
      <x:c r="P229" s="2" t="str">
        <x:v>not_cached:getSignaturesForAddress:history/9d4ff71bdeb3a7ad713cdd45</x:v>
      </x:c>
      <x:c r="Q229" s="2" t="str"/>
      <x:c r="R229" s="14" t="str">
        <x:f>IF(AND(C229="Нулевой остаток",I229="Есть цена"),G229,"")</x:f>
      </x:c>
      <x:c r="S229" s="14" t="str">
        <x:f>IF(AND(C229="Докупка",I229="Есть цена"),G229,"")</x:f>
      </x:c>
    </x:row>
    <x:row r="230" ht="21" customHeight="1">
      <x:c r="A230" s="2" t="n">
        <x:v>23</x:v>
      </x:c>
      <x:c r="B230" s="2" t="n">
        <x:v>30</x:v>
      </x:c>
      <x:c r="C230" s="2" t="str">
        <x:f>'Покупки'!C30</x:f>
        <x:v>Нулевой остаток</x:v>
      </x:c>
      <x:c r="D230" s="9" t="n">
        <x:v>46282.69186342593</x:v>
      </x:c>
      <x:c r="E230" s="12"/>
      <x:c r="F230" s="12" t="n">
        <x:f>'Покупки'!H30</x:f>
        <x:v>0.00014572775499270538</x:v>
      </x:c>
      <x:c r="G230" s="14" t="str">
        <x:f>IF(I230="Есть цена",IF(AND(ISNUMBER(E230),E230&gt;0,F230&gt;0),E230/F230-1,NA()),"")</x:f>
      </x:c>
      <x:c r="H230" s="14" t="str">
        <x:f>IF(AND(I230="Есть цена",I228="Есть цена"),IF(AND(E230&gt;0,E228&gt;0),E230/E228-1,NA()),"")</x:f>
      </x:c>
      <x:c r="I230" s="2" t="str">
        <x:v>RPC: данные не загружены</x:v>
      </x:c>
      <x:c r="J230" s="2"/>
      <x:c r="K230" s="9"/>
      <x:c r="L230" s="2"/>
      <x:c r="M230" s="2"/>
      <x:c r="N230" s="2"/>
      <x:c r="O230" s="2"/>
      <x:c r="P230" s="2" t="str">
        <x:v>not_cached:getSignaturesForAddress:history/9d4ff71bdeb3a7ad713cdd45</x:v>
      </x:c>
      <x:c r="Q230" s="2" t="str"/>
      <x:c r="R230" s="14" t="str">
        <x:f>IF(AND(C230="Нулевой остаток",I230="Есть цена"),G230,"")</x:f>
      </x:c>
      <x:c r="S230" s="14" t="str">
        <x:f>IF(AND(C230="Докупка",I230="Есть цена"),G230,"")</x:f>
      </x:c>
    </x:row>
    <x:row r="231" ht="21" customHeight="1">
      <x:c r="A231" s="2" t="n">
        <x:v>23</x:v>
      </x:c>
      <x:c r="B231" s="2" t="n">
        <x:v>60</x:v>
      </x:c>
      <x:c r="C231" s="2" t="str">
        <x:f>'Покупки'!C30</x:f>
        <x:v>Нулевой остаток</x:v>
      </x:c>
      <x:c r="D231" s="9" t="n">
        <x:v>46282.69221064815</x:v>
      </x:c>
      <x:c r="E231" s="12"/>
      <x:c r="F231" s="12" t="n">
        <x:f>'Покупки'!H30</x:f>
        <x:v>0.00014572775499270538</x:v>
      </x:c>
      <x:c r="G231" s="14" t="str">
        <x:f>IF(I231="Есть цена",IF(AND(ISNUMBER(E231),E231&gt;0,F231&gt;0),E231/F231-1,NA()),"")</x:f>
      </x:c>
      <x:c r="H231" s="14" t="str">
        <x:f>IF(AND(I231="Есть цена",I228="Есть цена"),IF(AND(E231&gt;0,E228&gt;0),E231/E228-1,NA()),"")</x:f>
      </x:c>
      <x:c r="I231" s="2" t="str">
        <x:v>RPC: данные не загружены</x:v>
      </x:c>
      <x:c r="J231" s="2"/>
      <x:c r="K231" s="9"/>
      <x:c r="L231" s="2"/>
      <x:c r="M231" s="2"/>
      <x:c r="N231" s="2"/>
      <x:c r="O231" s="2"/>
      <x:c r="P231" s="2" t="str">
        <x:v>not_cached:getSignaturesForAddress:history/9d4ff71bdeb3a7ad713cdd45</x:v>
      </x:c>
      <x:c r="Q231" s="2" t="str"/>
      <x:c r="R231" s="14" t="str">
        <x:f>IF(AND(C231="Нулевой остаток",I231="Есть цена"),G231,"")</x:f>
      </x:c>
      <x:c r="S231" s="14" t="str">
        <x:f>IF(AND(C231="Докупка",I231="Есть цена"),G231,"")</x:f>
      </x:c>
    </x:row>
    <x:row r="232" ht="21" customHeight="1">
      <x:c r="A232" s="2" t="n">
        <x:v>23</x:v>
      </x:c>
      <x:c r="B232" s="2" t="n">
        <x:v>180</x:v>
      </x:c>
      <x:c r="C232" s="2" t="str">
        <x:f>'Покупки'!C30</x:f>
        <x:v>Нулевой остаток</x:v>
      </x:c>
      <x:c r="D232" s="9" t="n">
        <x:v>46282.69359953704</x:v>
      </x:c>
      <x:c r="E232" s="12"/>
      <x:c r="F232" s="12" t="n">
        <x:f>'Покупки'!H30</x:f>
        <x:v>0.00014572775499270538</x:v>
      </x:c>
      <x:c r="G232" s="14" t="str">
        <x:f>IF(I232="Есть цена",IF(AND(ISNUMBER(E232),E232&gt;0,F232&gt;0),E232/F232-1,NA()),"")</x:f>
      </x:c>
      <x:c r="H232" s="14" t="str">
        <x:f>IF(AND(I232="Есть цена",I228="Есть цена"),IF(AND(E232&gt;0,E228&gt;0),E232/E228-1,NA()),"")</x:f>
      </x:c>
      <x:c r="I232" s="2" t="str">
        <x:v>RPC: данные не загружены</x:v>
      </x:c>
      <x:c r="J232" s="2"/>
      <x:c r="K232" s="9"/>
      <x:c r="L232" s="2"/>
      <x:c r="M232" s="2"/>
      <x:c r="N232" s="2"/>
      <x:c r="O232" s="2"/>
      <x:c r="P232" s="2" t="str">
        <x:v>not_cached:getSignaturesForAddress:history/a5044d7300e1c686a216cf57</x:v>
      </x:c>
      <x:c r="Q232" s="2" t="str"/>
      <x:c r="R232" s="14" t="str">
        <x:f>IF(AND(C232="Нулевой остаток",I232="Есть цена"),G232,"")</x:f>
      </x:c>
      <x:c r="S232" s="14" t="str">
        <x:f>IF(AND(C232="Докупка",I232="Есть цена"),G232,"")</x:f>
      </x:c>
    </x:row>
    <x:row r="233" ht="21" customHeight="1">
      <x:c r="A233" s="2" t="n">
        <x:v>23</x:v>
      </x:c>
      <x:c r="B233" s="2" t="n">
        <x:v>300</x:v>
      </x:c>
      <x:c r="C233" s="2" t="str">
        <x:f>'Покупки'!C30</x:f>
        <x:v>Нулевой остаток</x:v>
      </x:c>
      <x:c r="D233" s="9" t="n">
        <x:v>46282.69498842592</x:v>
      </x:c>
      <x:c r="E233" s="12"/>
      <x:c r="F233" s="12" t="n">
        <x:f>'Покупки'!H30</x:f>
        <x:v>0.00014572775499270538</x:v>
      </x:c>
      <x:c r="G233" s="14" t="str">
        <x:f>IF(I233="Есть цена",IF(AND(ISNUMBER(E233),E233&gt;0,F233&gt;0),E233/F233-1,NA()),"")</x:f>
      </x:c>
      <x:c r="H233" s="14" t="str">
        <x:f>IF(AND(I233="Есть цена",I228="Есть цена"),IF(AND(E233&gt;0,E228&gt;0),E233/E228-1,NA()),"")</x:f>
      </x:c>
      <x:c r="I233" s="2" t="str">
        <x:v>RPC: данные не загружены</x:v>
      </x:c>
      <x:c r="J233" s="2"/>
      <x:c r="K233" s="9"/>
      <x:c r="L233" s="2"/>
      <x:c r="M233" s="2"/>
      <x:c r="N233" s="2"/>
      <x:c r="O233" s="2"/>
      <x:c r="P233" s="2" t="str">
        <x:v>not_cached:getSignaturesForAddress:history/a99087dfdee68d4d03afead0</x:v>
      </x:c>
      <x:c r="Q233" s="2" t="str"/>
      <x:c r="R233" s="14" t="str">
        <x:f>IF(AND(C233="Нулевой остаток",I233="Есть цена"),G233,"")</x:f>
      </x:c>
      <x:c r="S233" s="14" t="str">
        <x:f>IF(AND(C233="Докупка",I233="Есть цена"),G233,"")</x:f>
      </x:c>
    </x:row>
    <x:row r="234" ht="21" customHeight="1">
      <x:c r="A234" s="2" t="n">
        <x:v>23</x:v>
      </x:c>
      <x:c r="B234" s="2" t="n">
        <x:v>900</x:v>
      </x:c>
      <x:c r="C234" s="2" t="str">
        <x:f>'Покупки'!C30</x:f>
        <x:v>Нулевой остаток</x:v>
      </x:c>
      <x:c r="D234" s="9" t="n">
        <x:v>46282.70193287037</x:v>
      </x:c>
      <x:c r="E234" s="12"/>
      <x:c r="F234" s="12" t="n">
        <x:f>'Покупки'!H30</x:f>
        <x:v>0.00014572775499270538</x:v>
      </x:c>
      <x:c r="G234" s="14" t="str">
        <x:f>IF(I234="Есть цена",IF(AND(ISNUMBER(E234),E234&gt;0,F234&gt;0),E234/F234-1,NA()),"")</x:f>
      </x:c>
      <x:c r="H234" s="14" t="str">
        <x:f>IF(AND(I234="Есть цена",I228="Есть цена"),IF(AND(E234&gt;0,E228&gt;0),E234/E228-1,NA()),"")</x:f>
      </x:c>
      <x:c r="I234" s="2" t="str">
        <x:v>RPC: данные не загружены</x:v>
      </x:c>
      <x:c r="J234" s="2"/>
      <x:c r="K234" s="9"/>
      <x:c r="L234" s="2"/>
      <x:c r="M234" s="2"/>
      <x:c r="N234" s="2"/>
      <x:c r="O234" s="2"/>
      <x:c r="P234" s="2" t="str">
        <x:v>not_cached:getSignaturesForAddress:history/a2f6b40a81c8d784d2205aca</x:v>
      </x:c>
      <x:c r="Q234" s="2" t="str"/>
      <x:c r="R234" s="14" t="str">
        <x:f>IF(AND(C234="Нулевой остаток",I234="Есть цена"),G234,"")</x:f>
      </x:c>
      <x:c r="S234" s="14" t="str">
        <x:f>IF(AND(C234="Докупка",I234="Есть цена"),G234,"")</x:f>
      </x:c>
    </x:row>
    <x:row r="235" ht="21" customHeight="1">
      <x:c r="A235" s="2" t="n">
        <x:v>23</x:v>
      </x:c>
      <x:c r="B235" s="2" t="n">
        <x:v>3600</x:v>
      </x:c>
      <x:c r="C235" s="2" t="str">
        <x:f>'Покупки'!C30</x:f>
        <x:v>Нулевой остаток</x:v>
      </x:c>
      <x:c r="D235" s="9" t="n">
        <x:v>46282.73318287037</x:v>
      </x:c>
      <x:c r="E235" s="12"/>
      <x:c r="F235" s="12" t="n">
        <x:f>'Покупки'!H30</x:f>
        <x:v>0.00014572775499270538</x:v>
      </x:c>
      <x:c r="G235" s="14" t="str">
        <x:f>IF(I235="Есть цена",IF(AND(ISNUMBER(E235),E235&gt;0,F235&gt;0),E235/F235-1,NA()),"")</x:f>
      </x:c>
      <x:c r="H235" s="14" t="str">
        <x:f>IF(AND(I235="Есть цена",I228="Есть цена"),IF(AND(E235&gt;0,E228&gt;0),E235/E228-1,NA()),"")</x:f>
      </x:c>
      <x:c r="I235" s="2" t="str">
        <x:v>RPC: данные не загружены</x:v>
      </x:c>
      <x:c r="J235" s="2"/>
      <x:c r="K235" s="9"/>
      <x:c r="L235" s="2"/>
      <x:c r="M235" s="2"/>
      <x:c r="N235" s="2"/>
      <x:c r="O235" s="2"/>
      <x:c r="P235" s="2" t="str">
        <x:v>not_cached:getSignaturesForAddress:history/b393993252ecd92345c5684b</x:v>
      </x:c>
      <x:c r="Q235" s="2" t="str"/>
      <x:c r="R235" s="14" t="str">
        <x:f>IF(AND(C235="Нулевой остаток",I235="Есть цена"),G235,"")</x:f>
      </x:c>
      <x:c r="S235" s="14" t="str">
        <x:f>IF(AND(C235="Докупка",I235="Есть цена"),G235,"")</x:f>
      </x:c>
    </x:row>
    <x:row r="236" ht="21" customHeight="1">
      <x:c r="A236" s="2" t="n">
        <x:v>23</x:v>
      </x:c>
      <x:c r="B236" s="2" t="n">
        <x:v>21600</x:v>
      </x:c>
      <x:c r="C236" s="2" t="str">
        <x:f>'Покупки'!C30</x:f>
        <x:v>Нулевой остаток</x:v>
      </x:c>
      <x:c r="D236" s="9" t="n">
        <x:v>46282.941516203704</x:v>
      </x:c>
      <x:c r="E236" s="12"/>
      <x:c r="F236" s="12" t="n">
        <x:f>'Покупки'!H30</x:f>
        <x:v>0.00014572775499270538</x:v>
      </x:c>
      <x:c r="G236" s="14" t="str">
        <x:f>IF(I236="Есть цена",IF(AND(ISNUMBER(E236),E236&gt;0,F236&gt;0),E236/F236-1,NA()),"")</x:f>
      </x:c>
      <x:c r="H236" s="14" t="str">
        <x:f>IF(AND(I236="Есть цена",I228="Есть цена"),IF(AND(E236&gt;0,E228&gt;0),E236/E228-1,NA()),"")</x:f>
      </x:c>
      <x:c r="I236" s="2" t="str">
        <x:v>Ещё рано</x:v>
      </x:c>
      <x:c r="J236" s="2"/>
      <x:c r="K236" s="9"/>
      <x:c r="L236" s="2"/>
      <x:c r="M236" s="2"/>
      <x:c r="N236" s="2"/>
      <x:c r="O236" s="2"/>
      <x:c r="P236" s="2" t="str">
        <x:v>future</x:v>
      </x:c>
      <x:c r="Q236" s="2" t="str"/>
      <x:c r="R236" s="14" t="str">
        <x:f>IF(AND(C236="Нулевой остаток",I236="Есть цена"),G236,"")</x:f>
      </x:c>
      <x:c r="S236" s="14" t="str">
        <x:f>IF(AND(C236="Докупка",I236="Есть цена"),G236,"")</x:f>
      </x:c>
    </x:row>
    <x:row r="237" ht="21" customHeight="1">
      <x:c r="A237" s="2" t="n">
        <x:v>23</x:v>
      </x:c>
      <x:c r="B237" s="2" t="n">
        <x:v>86400</x:v>
      </x:c>
      <x:c r="C237" s="2" t="str">
        <x:f>'Покупки'!C30</x:f>
        <x:v>Нулевой остаток</x:v>
      </x:c>
      <x:c r="D237" s="9" t="n">
        <x:v>46283.691516203704</x:v>
      </x:c>
      <x:c r="E237" s="12"/>
      <x:c r="F237" s="12" t="n">
        <x:f>'Покупки'!H30</x:f>
        <x:v>0.00014572775499270538</x:v>
      </x:c>
      <x:c r="G237" s="14" t="str">
        <x:f>IF(I237="Есть цена",IF(AND(ISNUMBER(E237),E237&gt;0,F237&gt;0),E237/F237-1,NA()),"")</x:f>
      </x:c>
      <x:c r="H237" s="14" t="str">
        <x:f>IF(AND(I237="Есть цена",I228="Есть цена"),IF(AND(E237&gt;0,E228&gt;0),E237/E228-1,NA()),"")</x:f>
      </x:c>
      <x:c r="I237" s="2" t="str">
        <x:v>Ещё рано</x:v>
      </x:c>
      <x:c r="J237" s="2"/>
      <x:c r="K237" s="9"/>
      <x:c r="L237" s="2"/>
      <x:c r="M237" s="2"/>
      <x:c r="N237" s="2"/>
      <x:c r="O237" s="2"/>
      <x:c r="P237" s="2" t="str">
        <x:v>future</x:v>
      </x:c>
      <x:c r="Q237" s="2" t="str"/>
      <x:c r="R237" s="14" t="str">
        <x:f>IF(AND(C237="Нулевой остаток",I237="Есть цена"),G237,"")</x:f>
      </x:c>
      <x:c r="S237" s="14" t="str">
        <x:f>IF(AND(C237="Докупка",I237="Есть цена"),G237,"")</x:f>
      </x:c>
    </x:row>
    <x:row r="238" ht="21" customHeight="1">
      <x:c r="A238" s="2" t="n">
        <x:v>24</x:v>
      </x:c>
      <x:c r="B238" s="2" t="n">
        <x:v>5</x:v>
      </x:c>
      <x:c r="C238" s="2" t="str">
        <x:f>'Покупки'!C31</x:f>
        <x:v>Нулевой остаток</x:v>
      </x:c>
      <x:c r="D238" s="9" t="n">
        <x:v>46282.67643518518</x:v>
      </x:c>
      <x:c r="E238" s="12" t="n">
        <x:v>0.00016491017480955587</x:v>
      </x:c>
      <x:c r="F238" s="12" t="n">
        <x:f>'Покупки'!H31</x:f>
        <x:v>0.00008935591639140941</x:v>
      </x:c>
      <x:c r="G238" s="14" t="n">
        <x:f>IF(I238="Есть цена",IF(AND(ISNUMBER(E238),E238&gt;0,F238&gt;0),E238/F238-1,NA()),"")</x:f>
        <x:v>0.8455428747123248</x:v>
      </x:c>
      <x:c r="H238" s="14" t="n">
        <x:f>IF(AND(I238="Есть цена",I238="Есть цена"),IF(AND(E238&gt;0,E238&gt;0),E238/E238-1,NA()),"")</x:f>
        <x:v>0</x:v>
      </x:c>
      <x:c r="I238" s="2" t="str">
        <x:v>Есть цена</x:v>
      </x:c>
      <x:c r="J238" s="2" t="n">
        <x:v>447837967</x:v>
      </x:c>
      <x:c r="K238" s="9" t="n">
        <x:v>46282.67643518518</x:v>
      </x:c>
      <x:c r="L238" s="2" t="n">
        <x:v>0</x:v>
      </x:c>
      <x:c r="M238" s="2" t="n">
        <x:v>0</x:v>
      </x:c>
      <x:c r="N238" s="2" t="str">
        <x:v>DGUzdrnph6EYUdUDFa3xY5EB8TV2bdh4GMskyrVKG3wo</x:v>
      </x:c>
      <x:c r="O238" s="2"/>
      <x:c r="P238" s="2" t="str">
        <x:v>previous_three_tokens_calculation</x:v>
      </x:c>
      <x:c r="Q238" s="2" t="str">
        <x:v>6kRoMyYBuz4ReLmLyuqiTtSpVB61hAGRrD6xYBrotsBC; slot 447837967; age 0s</x:v>
      </x:c>
      <x:c r="R238" s="14" t="n">
        <x:f>IF(AND(C238="Нулевой остаток",I238="Есть цена"),G238,"")</x:f>
        <x:v>0.8455428747123248</x:v>
      </x:c>
      <x:c r="S238" s="14" t="str">
        <x:f>IF(AND(C238="Докупка",I238="Есть цена"),G238,"")</x:f>
      </x:c>
    </x:row>
    <x:row r="239" ht="21" customHeight="1">
      <x:c r="A239" s="2" t="n">
        <x:v>24</x:v>
      </x:c>
      <x:c r="B239" s="2" t="n">
        <x:v>15</x:v>
      </x:c>
      <x:c r="C239" s="2" t="str">
        <x:f>'Покупки'!C31</x:f>
        <x:v>Нулевой остаток</x:v>
      </x:c>
      <x:c r="D239" s="9" t="n">
        <x:v>46282.67655092593</x:v>
      </x:c>
      <x:c r="E239" s="12" t="n">
        <x:v>0.00017446855699059367</x:v>
      </x:c>
      <x:c r="F239" s="12" t="n">
        <x:f>'Покупки'!H31</x:f>
        <x:v>0.00008935591639140941</x:v>
      </x:c>
      <x:c r="G239" s="14" t="n">
        <x:f>IF(I239="Есть цена",IF(AND(ISNUMBER(E239),E239&gt;0,F239&gt;0),E239/F239-1,NA()),"")</x:f>
        <x:v>0.9525126487020943</x:v>
      </x:c>
      <x:c r="H239" s="14" t="n">
        <x:f>IF(AND(I239="Есть цена",I238="Есть цена"),IF(AND(E239&gt;0,E238&gt;0),E239/E238-1,NA()),"")</x:f>
        <x:v>0.05796114273771247</x:v>
      </x:c>
      <x:c r="I239" s="2" t="str">
        <x:v>Есть цена</x:v>
      </x:c>
      <x:c r="J239" s="2" t="n">
        <x:v>447838001</x:v>
      </x:c>
      <x:c r="K239" s="9" t="n">
        <x:v>46282.67655092593</x:v>
      </x:c>
      <x:c r="L239" s="2" t="n">
        <x:v>0</x:v>
      </x:c>
      <x:c r="M239" s="2" t="n">
        <x:v>1</x:v>
      </x:c>
      <x:c r="N239" s="2" t="str">
        <x:v>DGUzdrnph6EYUdUDFa3xY5EB8TV2bdh4GMskyrVKG3wo</x:v>
      </x:c>
      <x:c r="O239" s="2"/>
      <x:c r="P239" s="2" t="str">
        <x:v>previous_three_tokens_calculation</x:v>
      </x:c>
      <x:c r="Q239" s="2" t="str">
        <x:v>6kRoMyYBuz4ReLmLyuqiTtSpVB61hAGRrD6xYBrotsBC; slot 447837997; age 1s</x:v>
      </x:c>
      <x:c r="R239" s="14" t="n">
        <x:f>IF(AND(C239="Нулевой остаток",I239="Есть цена"),G239,"")</x:f>
        <x:v>0.9525126487020943</x:v>
      </x:c>
      <x:c r="S239" s="14" t="str">
        <x:f>IF(AND(C239="Докупка",I239="Есть цена"),G239,"")</x:f>
      </x:c>
    </x:row>
    <x:row r="240" ht="21" customHeight="1">
      <x:c r="A240" s="2" t="n">
        <x:v>24</x:v>
      </x:c>
      <x:c r="B240" s="2" t="n">
        <x:v>30</x:v>
      </x:c>
      <x:c r="C240" s="2" t="str">
        <x:f>'Покупки'!C31</x:f>
        <x:v>Нулевой остаток</x:v>
      </x:c>
      <x:c r="D240" s="9" t="n">
        <x:v>46282.676724537036</x:v>
      </x:c>
      <x:c r="E240" s="12" t="n">
        <x:v>0.0002731801485014461</x:v>
      </x:c>
      <x:c r="F240" s="12" t="n">
        <x:f>'Покупки'!H31</x:f>
        <x:v>0.00008935591639140941</x:v>
      </x:c>
      <x:c r="G240" s="14" t="n">
        <x:f>IF(I240="Есть цена",IF(AND(ISNUMBER(E240),E240&gt;0,F240&gt;0),E240/F240-1,NA()),"")</x:f>
        <x:v>2.057213887268794</x:v>
      </x:c>
      <x:c r="H240" s="14" t="n">
        <x:f>IF(AND(I240="Есть цена",I238="Есть цена"),IF(AND(E240&gt;0,E238&gt;0),E240/E238-1,NA()),"")</x:f>
        <x:v>0.6565390753901281</x:v>
      </x:c>
      <x:c r="I240" s="2" t="str">
        <x:v>Есть цена</x:v>
      </x:c>
      <x:c r="J240" s="2" t="n">
        <x:v>447838049</x:v>
      </x:c>
      <x:c r="K240" s="9" t="n">
        <x:v>46282.676724537036</x:v>
      </x:c>
      <x:c r="L240" s="2" t="n">
        <x:v>0</x:v>
      </x:c>
      <x:c r="M240" s="2" t="n">
        <x:v>0</x:v>
      </x:c>
      <x:c r="N240" s="2" t="str">
        <x:v>DGUzdrnph6EYUdUDFa3xY5EB8TV2bdh4GMskyrVKG3wo</x:v>
      </x:c>
      <x:c r="O240" s="2"/>
      <x:c r="P240" s="2" t="str">
        <x:v>previous_three_tokens_calculation</x:v>
      </x:c>
      <x:c r="Q240" s="2" t="str">
        <x:v>6kRoMyYBuz4ReLmLyuqiTtSpVB61hAGRrD6xYBrotsBC; slot 447838049; age 0s</x:v>
      </x:c>
      <x:c r="R240" s="14" t="n">
        <x:f>IF(AND(C240="Нулевой остаток",I240="Есть цена"),G240,"")</x:f>
        <x:v>2.057213887268794</x:v>
      </x:c>
      <x:c r="S240" s="14" t="str">
        <x:f>IF(AND(C240="Докупка",I240="Есть цена"),G240,"")</x:f>
      </x:c>
    </x:row>
    <x:row r="241" ht="21" customHeight="1">
      <x:c r="A241" s="2" t="n">
        <x:v>24</x:v>
      </x:c>
      <x:c r="B241" s="2" t="n">
        <x:v>60</x:v>
      </x:c>
      <x:c r="C241" s="2" t="str">
        <x:f>'Покупки'!C31</x:f>
        <x:v>Нулевой остаток</x:v>
      </x:c>
      <x:c r="D241" s="9" t="n">
        <x:v>46282.67707175926</x:v>
      </x:c>
      <x:c r="E241" s="12" t="n">
        <x:v>0.00023592276431596927</x:v>
      </x:c>
      <x:c r="F241" s="12" t="n">
        <x:f>'Покупки'!H31</x:f>
        <x:v>0.00008935591639140941</x:v>
      </x:c>
      <x:c r="G241" s="14" t="n">
        <x:f>IF(I241="Есть цена",IF(AND(ISNUMBER(E241),E241&gt;0,F241&gt;0),E241/F241-1,NA()),"")</x:f>
        <x:v>1.640259020819025</x:v>
      </x:c>
      <x:c r="H241" s="14" t="n">
        <x:f>IF(AND(I241="Есть цена",I238="Есть цена"),IF(AND(E241&gt;0,E238&gt;0),E241/E238-1,NA()),"")</x:f>
        <x:v>0.4306137543570083</x:v>
      </x:c>
      <x:c r="I241" s="2" t="str">
        <x:v>Есть цена</x:v>
      </x:c>
      <x:c r="J241" s="2" t="n">
        <x:v>447838142</x:v>
      </x:c>
      <x:c r="K241" s="9" t="n">
        <x:v>46282.67707175926</x:v>
      </x:c>
      <x:c r="L241" s="2" t="n">
        <x:v>0</x:v>
      </x:c>
      <x:c r="M241" s="2" t="n">
        <x:v>0</x:v>
      </x:c>
      <x:c r="N241" s="2" t="str">
        <x:v>DGUzdrnph6EYUdUDFa3xY5EB8TV2bdh4GMskyrVKG3wo</x:v>
      </x:c>
      <x:c r="O241" s="2"/>
      <x:c r="P241" s="2" t="str">
        <x:v>previous_three_tokens_calculation</x:v>
      </x:c>
      <x:c r="Q241" s="2" t="str">
        <x:v>6kRoMyYBuz4ReLmLyuqiTtSpVB61hAGRrD6xYBrotsBC; slot 447838142; age 0s</x:v>
      </x:c>
      <x:c r="R241" s="14" t="n">
        <x:f>IF(AND(C241="Нулевой остаток",I241="Есть цена"),G241,"")</x:f>
        <x:v>1.640259020819025</x:v>
      </x:c>
      <x:c r="S241" s="14" t="str">
        <x:f>IF(AND(C241="Докупка",I241="Есть цена"),G241,"")</x:f>
      </x:c>
    </x:row>
    <x:row r="242" ht="21" customHeight="1">
      <x:c r="A242" s="2" t="n">
        <x:v>24</x:v>
      </x:c>
      <x:c r="B242" s="2" t="n">
        <x:v>180</x:v>
      </x:c>
      <x:c r="C242" s="2" t="str">
        <x:f>'Покупки'!C31</x:f>
        <x:v>Нулевой остаток</x:v>
      </x:c>
      <x:c r="D242" s="9" t="n">
        <x:v>46282.678460648145</x:v>
      </x:c>
      <x:c r="E242" s="12" t="n">
        <x:v>0.00017137581872401773</x:v>
      </x:c>
      <x:c r="F242" s="12" t="n">
        <x:f>'Покупки'!H31</x:f>
        <x:v>0.00008935591639140941</x:v>
      </x:c>
      <x:c r="G242" s="14" t="n">
        <x:f>IF(I242="Есть цена",IF(AND(ISNUMBER(E242),E242&gt;0,F242&gt;0),E242/F242-1,NA()),"")</x:f>
        <x:v>0.9179011938429813</x:v>
      </x:c>
      <x:c r="H242" s="14" t="n">
        <x:f>IF(AND(I242="Есть цена",I238="Есть цена"),IF(AND(E242&gt;0,E238&gt;0),E242/E238-1,NA()),"")</x:f>
        <x:v>0.039207064827434746</x:v>
      </x:c>
      <x:c r="I242" s="2" t="str">
        <x:v>Есть цена</x:v>
      </x:c>
      <x:c r="J242" s="2" t="n">
        <x:v>447838520</x:v>
      </x:c>
      <x:c r="K242" s="9" t="n">
        <x:v>46282.678460648145</x:v>
      </x:c>
      <x:c r="L242" s="2" t="n">
        <x:v>0</x:v>
      </x:c>
      <x:c r="M242" s="2" t="n">
        <x:v>0</x:v>
      </x:c>
      <x:c r="N242" s="2" t="str">
        <x:v>DGUzdrnph6EYUdUDFa3xY5EB8TV2bdh4GMskyrVKG3wo</x:v>
      </x:c>
      <x:c r="O242" s="2"/>
      <x:c r="P242" s="2" t="str">
        <x:v>previous_three_tokens_calculation</x:v>
      </x:c>
      <x:c r="Q242" s="2" t="str">
        <x:v>6kRoMyYBuz4ReLmLyuqiTtSpVB61hAGRrD6xYBrotsBC; slot 447838520; age 0s</x:v>
      </x:c>
      <x:c r="R242" s="14" t="n">
        <x:f>IF(AND(C242="Нулевой остаток",I242="Есть цена"),G242,"")</x:f>
        <x:v>0.9179011938429813</x:v>
      </x:c>
      <x:c r="S242" s="14" t="str">
        <x:f>IF(AND(C242="Докупка",I242="Есть цена"),G242,"")</x:f>
      </x:c>
    </x:row>
    <x:row r="243" ht="21" customHeight="1">
      <x:c r="A243" s="2" t="n">
        <x:v>24</x:v>
      </x:c>
      <x:c r="B243" s="2" t="n">
        <x:v>300</x:v>
      </x:c>
      <x:c r="C243" s="2" t="str">
        <x:f>'Покупки'!C31</x:f>
        <x:v>Нулевой остаток</x:v>
      </x:c>
      <x:c r="D243" s="9" t="n">
        <x:v>46282.67984953704</x:v>
      </x:c>
      <x:c r="E243" s="12" t="n">
        <x:v>0.00022425306751301877</x:v>
      </x:c>
      <x:c r="F243" s="12" t="n">
        <x:f>'Покупки'!H31</x:f>
        <x:v>0.00008935591639140941</x:v>
      </x:c>
      <x:c r="G243" s="14" t="n">
        <x:f>IF(I243="Есть цена",IF(AND(ISNUMBER(E243),E243&gt;0,F243&gt;0),E243/F243-1,NA()),"")</x:f>
        <x:v>1.5096611010144398</x:v>
      </x:c>
      <x:c r="H243" s="14" t="n">
        <x:f>IF(AND(I243="Есть цена",I238="Есть цена"),IF(AND(E243&gt;0,E238&gt;0),E243/E238-1,NA()),"")</x:f>
        <x:v>0.35984979563567965</x:v>
      </x:c>
      <x:c r="I243" s="2" t="str">
        <x:v>Есть цена</x:v>
      </x:c>
      <x:c r="J243" s="2" t="n">
        <x:v>447838901</x:v>
      </x:c>
      <x:c r="K243" s="9" t="n">
        <x:v>46282.67984953704</x:v>
      </x:c>
      <x:c r="L243" s="2" t="n">
        <x:v>0</x:v>
      </x:c>
      <x:c r="M243" s="2" t="n">
        <x:v>1</x:v>
      </x:c>
      <x:c r="N243" s="2" t="str">
        <x:v>DGUzdrnph6EYUdUDFa3xY5EB8TV2bdh4GMskyrVKG3wo</x:v>
      </x:c>
      <x:c r="O243" s="2"/>
      <x:c r="P243" s="2" t="str">
        <x:v>previous_three_tokens_calculation</x:v>
      </x:c>
      <x:c r="Q243" s="2" t="str">
        <x:v>6kRoMyYBuz4ReLmLyuqiTtSpVB61hAGRrD6xYBrotsBC; slot 447838897; age 1s</x:v>
      </x:c>
      <x:c r="R243" s="14" t="n">
        <x:f>IF(AND(C243="Нулевой остаток",I243="Есть цена"),G243,"")</x:f>
        <x:v>1.5096611010144398</x:v>
      </x:c>
      <x:c r="S243" s="14" t="str">
        <x:f>IF(AND(C243="Докупка",I243="Есть цена"),G243,"")</x:f>
      </x:c>
    </x:row>
    <x:row r="244" ht="21" customHeight="1">
      <x:c r="A244" s="2" t="n">
        <x:v>24</x:v>
      </x:c>
      <x:c r="B244" s="2" t="n">
        <x:v>900</x:v>
      </x:c>
      <x:c r="C244" s="2" t="str">
        <x:f>'Покупки'!C31</x:f>
        <x:v>Нулевой остаток</x:v>
      </x:c>
      <x:c r="D244" s="9" t="n">
        <x:v>46282.686793981484</x:v>
      </x:c>
      <x:c r="E244" s="12" t="n">
        <x:v>0.00016747153975748955</x:v>
      </x:c>
      <x:c r="F244" s="12" t="n">
        <x:f>'Покупки'!H31</x:f>
        <x:v>0.00008935591639140941</x:v>
      </x:c>
      <x:c r="G244" s="14" t="n">
        <x:f>IF(I244="Есть цена",IF(AND(ISNUMBER(E244),E244&gt;0,F244&gt;0),E244/F244-1,NA()),"")</x:f>
        <x:v>0.8742076240806154</x:v>
      </x:c>
      <x:c r="H244" s="14" t="n">
        <x:f>IF(AND(I244="Есть цена",I238="Есть цена"),IF(AND(E244&gt;0,E238&gt;0),E244/E238-1,NA()),"")</x:f>
        <x:v>0.015531879405813687</x:v>
      </x:c>
      <x:c r="I244" s="2" t="str">
        <x:v>Есть цена</x:v>
      </x:c>
      <x:c r="J244" s="2" t="n">
        <x:v>447840780</x:v>
      </x:c>
      <x:c r="K244" s="9" t="n">
        <x:v>46282.68677083333</x:v>
      </x:c>
      <x:c r="L244" s="2" t="n">
        <x:v>2</x:v>
      </x:c>
      <x:c r="M244" s="2" t="n">
        <x:v>2</x:v>
      </x:c>
      <x:c r="N244" s="2" t="str">
        <x:v>DGUzdrnph6EYUdUDFa3xY5EB8TV2bdh4GMskyrVKG3wo</x:v>
      </x:c>
      <x:c r="O244" s="2"/>
      <x:c r="P244" s="2" t="str">
        <x:v>previous_three_tokens_calculation</x:v>
      </x:c>
      <x:c r="Q244" s="2" t="str">
        <x:v>6kRoMyYBuz4ReLmLyuqiTtSpVB61hAGRrD6xYBrotsBC; slot 447840780; age 2s</x:v>
      </x:c>
      <x:c r="R244" s="14" t="n">
        <x:f>IF(AND(C244="Нулевой остаток",I244="Есть цена"),G244,"")</x:f>
        <x:v>0.8742076240806154</x:v>
      </x:c>
      <x:c r="S244" s="14" t="str">
        <x:f>IF(AND(C244="Докупка",I244="Есть цена"),G244,"")</x:f>
      </x:c>
    </x:row>
    <x:row r="245" ht="21" customHeight="1">
      <x:c r="A245" s="2" t="n">
        <x:v>24</x:v>
      </x:c>
      <x:c r="B245" s="2" t="n">
        <x:v>3600</x:v>
      </x:c>
      <x:c r="C245" s="2" t="str">
        <x:f>'Покупки'!C31</x:f>
        <x:v>Нулевой остаток</x:v>
      </x:c>
      <x:c r="D245" s="9" t="n">
        <x:v>46282.718043981484</x:v>
      </x:c>
      <x:c r="E245" s="12" t="n">
        <x:v>0.00010981914262788155</x:v>
      </x:c>
      <x:c r="F245" s="12" t="n">
        <x:f>'Покупки'!H31</x:f>
        <x:v>0.00008935591639140941</x:v>
      </x:c>
      <x:c r="G245" s="14" t="n">
        <x:f>IF(I245="Есть цена",IF(AND(ISNUMBER(E245),E245&gt;0,F245&gt;0),E245/F245-1,NA()),"")</x:f>
        <x:v>0.2290080731401849</x:v>
      </x:c>
      <x:c r="H245" s="14" t="n">
        <x:f>IF(AND(I245="Есть цена",I238="Есть цена"),IF(AND(E245&gt;0,E238&gt;0),E245/E238-1,NA()),"")</x:f>
        <x:v>-0.3340669079109</x:v>
      </x:c>
      <x:c r="I245" s="2" t="str">
        <x:v>Есть цена</x:v>
      </x:c>
      <x:c r="J245" s="2" t="n">
        <x:v>447849190</x:v>
      </x:c>
      <x:c r="K245" s="9" t="n">
        <x:v>46282.71775462963</x:v>
      </x:c>
      <x:c r="L245" s="2" t="n">
        <x:v>25</x:v>
      </x:c>
      <x:c r="M245" s="2" t="n">
        <x:v>25</x:v>
      </x:c>
      <x:c r="N245" s="2" t="str">
        <x:v>DGUzdrnph6EYUdUDFa3xY5EB8TV2bdh4GMskyrVKG3wo</x:v>
      </x:c>
      <x:c r="O245" s="2"/>
      <x:c r="P245" s="2" t="str">
        <x:v>previous_three_tokens_calculation</x:v>
      </x:c>
      <x:c r="Q245" s="2" t="str">
        <x:v>6kRoMyYBuz4ReLmLyuqiTtSpVB61hAGRrD6xYBrotsBC; slot 447849190; age 25s</x:v>
      </x:c>
      <x:c r="R245" s="14" t="n">
        <x:f>IF(AND(C245="Нулевой остаток",I245="Есть цена"),G245,"")</x:f>
        <x:v>0.2290080731401849</x:v>
      </x:c>
      <x:c r="S245" s="14" t="str">
        <x:f>IF(AND(C245="Докупка",I245="Есть цена"),G245,"")</x:f>
      </x:c>
    </x:row>
    <x:row r="246" ht="21" customHeight="1">
      <x:c r="A246" s="2" t="n">
        <x:v>24</x:v>
      </x:c>
      <x:c r="B246" s="2" t="n">
        <x:v>21600</x:v>
      </x:c>
      <x:c r="C246" s="2" t="str">
        <x:f>'Покупки'!C31</x:f>
        <x:v>Нулевой остаток</x:v>
      </x:c>
      <x:c r="D246" s="9" t="n">
        <x:v>46282.92637731481</x:v>
      </x:c>
      <x:c r="E246" s="12"/>
      <x:c r="F246" s="12" t="n">
        <x:f>'Покупки'!H31</x:f>
        <x:v>0.00008935591639140941</x:v>
      </x:c>
      <x:c r="G246" s="14" t="str">
        <x:f>IF(I246="Есть цена",IF(AND(ISNUMBER(E246),E246&gt;0,F246&gt;0),E246/F246-1,NA()),"")</x:f>
      </x:c>
      <x:c r="H246" s="14" t="str">
        <x:f>IF(AND(I246="Есть цена",I238="Есть цена"),IF(AND(E246&gt;0,E238&gt;0),E246/E238-1,NA()),"")</x:f>
      </x:c>
      <x:c r="I246" s="2" t="str">
        <x:v>Ещё рано</x:v>
      </x:c>
      <x:c r="J246" s="2"/>
      <x:c r="K246" s="9"/>
      <x:c r="L246" s="2"/>
      <x:c r="M246" s="2"/>
      <x:c r="N246" s="2"/>
      <x:c r="O246" s="2"/>
      <x:c r="P246" s="2" t="str">
        <x:v>future</x:v>
      </x:c>
      <x:c r="Q246" s="2" t="str"/>
      <x:c r="R246" s="14" t="str">
        <x:f>IF(AND(C246="Нулевой остаток",I246="Есть цена"),G246,"")</x:f>
      </x:c>
      <x:c r="S246" s="14" t="str">
        <x:f>IF(AND(C246="Докупка",I246="Есть цена"),G246,"")</x:f>
      </x:c>
    </x:row>
    <x:row r="247" ht="21" customHeight="1">
      <x:c r="A247" s="2" t="n">
        <x:v>24</x:v>
      </x:c>
      <x:c r="B247" s="2" t="n">
        <x:v>86400</x:v>
      </x:c>
      <x:c r="C247" s="2" t="str">
        <x:f>'Покупки'!C31</x:f>
        <x:v>Нулевой остаток</x:v>
      </x:c>
      <x:c r="D247" s="9" t="n">
        <x:v>46283.67637731481</x:v>
      </x:c>
      <x:c r="E247" s="12"/>
      <x:c r="F247" s="12" t="n">
        <x:f>'Покупки'!H31</x:f>
        <x:v>0.00008935591639140941</x:v>
      </x:c>
      <x:c r="G247" s="14" t="str">
        <x:f>IF(I247="Есть цена",IF(AND(ISNUMBER(E247),E247&gt;0,F247&gt;0),E247/F247-1,NA()),"")</x:f>
      </x:c>
      <x:c r="H247" s="14" t="str">
        <x:f>IF(AND(I247="Есть цена",I238="Есть цена"),IF(AND(E247&gt;0,E238&gt;0),E247/E238-1,NA()),"")</x:f>
      </x:c>
      <x:c r="I247" s="2" t="str">
        <x:v>Ещё рано</x:v>
      </x:c>
      <x:c r="J247" s="2"/>
      <x:c r="K247" s="9"/>
      <x:c r="L247" s="2"/>
      <x:c r="M247" s="2"/>
      <x:c r="N247" s="2"/>
      <x:c r="O247" s="2"/>
      <x:c r="P247" s="2" t="str">
        <x:v>future</x:v>
      </x:c>
      <x:c r="Q247" s="2" t="str"/>
      <x:c r="R247" s="14" t="str">
        <x:f>IF(AND(C247="Нулевой остаток",I247="Есть цена"),G247,"")</x:f>
      </x:c>
      <x:c r="S247" s="14" t="str">
        <x:f>IF(AND(C247="Докупка",I247="Есть цена"),G247,"")</x:f>
      </x:c>
    </x:row>
    <x:row r="248" ht="21" customHeight="1">
      <x:c r="A248" s="2" t="n">
        <x:v>25</x:v>
      </x:c>
      <x:c r="B248" s="2" t="n">
        <x:v>5</x:v>
      </x:c>
      <x:c r="C248" s="2" t="str">
        <x:f>'Покупки'!C32</x:f>
        <x:v>Докупка</x:v>
      </x:c>
      <x:c r="D248" s="9" t="n">
        <x:v>46282.10760416667</x:v>
      </x:c>
      <x:c r="E248" s="12"/>
      <x:c r="F248" s="12" t="n">
        <x:f>'Покупки'!H32</x:f>
        <x:v>0.21058703668433176</x:v>
      </x:c>
      <x:c r="G248" s="14" t="str">
        <x:f>IF(I248="Есть цена",IF(AND(ISNUMBER(E248),E248&gt;0,F248&gt;0),E248/F248-1,NA()),"")</x:f>
      </x:c>
      <x:c r="H248" s="14" t="str">
        <x:f>IF(AND(I248="Есть цена",I248="Есть цена"),IF(AND(E248&gt;0,E248&gt;0),E248/E248-1,NA()),"")</x:f>
      </x:c>
      <x:c r="I248" s="2" t="str">
        <x:v>GatorSwap: нет модели цены</x:v>
      </x:c>
      <x:c r="J248" s="2"/>
      <x:c r="K248" s="9"/>
      <x:c r="L248" s="2"/>
      <x:c r="M248" s="2"/>
      <x:c r="N248" s="2"/>
      <x:c r="O248" s="2"/>
      <x:c r="P248" s="2" t="str">
        <x:v>route_decoder_missing</x:v>
      </x:c>
      <x:c r="Q248" s="2" t="str"/>
      <x:c r="R248" s="14" t="str">
        <x:f>IF(AND(C248="Нулевой остаток",I248="Есть цена"),G248,"")</x:f>
      </x:c>
      <x:c r="S248" s="14" t="str">
        <x:f>IF(AND(C248="Докупка",I248="Есть цена"),G248,"")</x:f>
      </x:c>
    </x:row>
    <x:row r="249" ht="21" customHeight="1">
      <x:c r="A249" s="2" t="n">
        <x:v>25</x:v>
      </x:c>
      <x:c r="B249" s="2" t="n">
        <x:v>15</x:v>
      </x:c>
      <x:c r="C249" s="2" t="str">
        <x:f>'Покупки'!C32</x:f>
        <x:v>Докупка</x:v>
      </x:c>
      <x:c r="D249" s="9" t="n">
        <x:v>46282.107719907406</x:v>
      </x:c>
      <x:c r="E249" s="12"/>
      <x:c r="F249" s="12" t="n">
        <x:f>'Покупки'!H32</x:f>
        <x:v>0.21058703668433176</x:v>
      </x:c>
      <x:c r="G249" s="14" t="str">
        <x:f>IF(I249="Есть цена",IF(AND(ISNUMBER(E249),E249&gt;0,F249&gt;0),E249/F249-1,NA()),"")</x:f>
      </x:c>
      <x:c r="H249" s="14" t="str">
        <x:f>IF(AND(I249="Есть цена",I248="Есть цена"),IF(AND(E249&gt;0,E248&gt;0),E249/E248-1,NA()),"")</x:f>
      </x:c>
      <x:c r="I249" s="2" t="str">
        <x:v>GatorSwap: нет модели цены</x:v>
      </x:c>
      <x:c r="J249" s="2"/>
      <x:c r="K249" s="9"/>
      <x:c r="L249" s="2"/>
      <x:c r="M249" s="2"/>
      <x:c r="N249" s="2"/>
      <x:c r="O249" s="2"/>
      <x:c r="P249" s="2" t="str">
        <x:v>route_decoder_missing</x:v>
      </x:c>
      <x:c r="Q249" s="2" t="str"/>
      <x:c r="R249" s="14" t="str">
        <x:f>IF(AND(C249="Нулевой остаток",I249="Есть цена"),G249,"")</x:f>
      </x:c>
      <x:c r="S249" s="14" t="str">
        <x:f>IF(AND(C249="Докупка",I249="Есть цена"),G249,"")</x:f>
      </x:c>
    </x:row>
    <x:row r="250" ht="21" customHeight="1">
      <x:c r="A250" s="2" t="n">
        <x:v>25</x:v>
      </x:c>
      <x:c r="B250" s="2" t="n">
        <x:v>30</x:v>
      </x:c>
      <x:c r="C250" s="2" t="str">
        <x:f>'Покупки'!C32</x:f>
        <x:v>Докупка</x:v>
      </x:c>
      <x:c r="D250" s="9" t="n">
        <x:v>46282.10789351852</x:v>
      </x:c>
      <x:c r="E250" s="12"/>
      <x:c r="F250" s="12" t="n">
        <x:f>'Покупки'!H32</x:f>
        <x:v>0.21058703668433176</x:v>
      </x:c>
      <x:c r="G250" s="14" t="str">
        <x:f>IF(I250="Есть цена",IF(AND(ISNUMBER(E250),E250&gt;0,F250&gt;0),E250/F250-1,NA()),"")</x:f>
      </x:c>
      <x:c r="H250" s="14" t="str">
        <x:f>IF(AND(I250="Есть цена",I248="Есть цена"),IF(AND(E250&gt;0,E248&gt;0),E250/E248-1,NA()),"")</x:f>
      </x:c>
      <x:c r="I250" s="2" t="str">
        <x:v>GatorSwap: нет модели цены</x:v>
      </x:c>
      <x:c r="J250" s="2"/>
      <x:c r="K250" s="9"/>
      <x:c r="L250" s="2"/>
      <x:c r="M250" s="2"/>
      <x:c r="N250" s="2"/>
      <x:c r="O250" s="2"/>
      <x:c r="P250" s="2" t="str">
        <x:v>route_decoder_missing</x:v>
      </x:c>
      <x:c r="Q250" s="2" t="str"/>
      <x:c r="R250" s="14" t="str">
        <x:f>IF(AND(C250="Нулевой остаток",I250="Есть цена"),G250,"")</x:f>
      </x:c>
      <x:c r="S250" s="14" t="str">
        <x:f>IF(AND(C250="Докупка",I250="Есть цена"),G250,"")</x:f>
      </x:c>
    </x:row>
    <x:row r="251" ht="21" customHeight="1">
      <x:c r="A251" s="2" t="n">
        <x:v>25</x:v>
      </x:c>
      <x:c r="B251" s="2" t="n">
        <x:v>60</x:v>
      </x:c>
      <x:c r="C251" s="2" t="str">
        <x:f>'Покупки'!C32</x:f>
        <x:v>Докупка</x:v>
      </x:c>
      <x:c r="D251" s="9" t="n">
        <x:v>46282.10824074074</x:v>
      </x:c>
      <x:c r="E251" s="12"/>
      <x:c r="F251" s="12" t="n">
        <x:f>'Покупки'!H32</x:f>
        <x:v>0.21058703668433176</x:v>
      </x:c>
      <x:c r="G251" s="14" t="str">
        <x:f>IF(I251="Есть цена",IF(AND(ISNUMBER(E251),E251&gt;0,F251&gt;0),E251/F251-1,NA()),"")</x:f>
      </x:c>
      <x:c r="H251" s="14" t="str">
        <x:f>IF(AND(I251="Есть цена",I248="Есть цена"),IF(AND(E251&gt;0,E248&gt;0),E251/E248-1,NA()),"")</x:f>
      </x:c>
      <x:c r="I251" s="2" t="str">
        <x:v>GatorSwap: нет модели цены</x:v>
      </x:c>
      <x:c r="J251" s="2"/>
      <x:c r="K251" s="9"/>
      <x:c r="L251" s="2"/>
      <x:c r="M251" s="2"/>
      <x:c r="N251" s="2"/>
      <x:c r="O251" s="2"/>
      <x:c r="P251" s="2" t="str">
        <x:v>route_decoder_missing</x:v>
      </x:c>
      <x:c r="Q251" s="2" t="str"/>
      <x:c r="R251" s="14" t="str">
        <x:f>IF(AND(C251="Нулевой остаток",I251="Есть цена"),G251,"")</x:f>
      </x:c>
      <x:c r="S251" s="14" t="str">
        <x:f>IF(AND(C251="Докупка",I251="Есть цена"),G251,"")</x:f>
      </x:c>
    </x:row>
    <x:row r="252" ht="21" customHeight="1">
      <x:c r="A252" s="2" t="n">
        <x:v>25</x:v>
      </x:c>
      <x:c r="B252" s="2" t="n">
        <x:v>180</x:v>
      </x:c>
      <x:c r="C252" s="2" t="str">
        <x:f>'Покупки'!C32</x:f>
        <x:v>Докупка</x:v>
      </x:c>
      <x:c r="D252" s="9" t="n">
        <x:v>46282.10962962963</x:v>
      </x:c>
      <x:c r="E252" s="12"/>
      <x:c r="F252" s="12" t="n">
        <x:f>'Покупки'!H32</x:f>
        <x:v>0.21058703668433176</x:v>
      </x:c>
      <x:c r="G252" s="14" t="str">
        <x:f>IF(I252="Есть цена",IF(AND(ISNUMBER(E252),E252&gt;0,F252&gt;0),E252/F252-1,NA()),"")</x:f>
      </x:c>
      <x:c r="H252" s="14" t="str">
        <x:f>IF(AND(I252="Есть цена",I248="Есть цена"),IF(AND(E252&gt;0,E248&gt;0),E252/E248-1,NA()),"")</x:f>
      </x:c>
      <x:c r="I252" s="2" t="str">
        <x:v>GatorSwap: нет модели цены</x:v>
      </x:c>
      <x:c r="J252" s="2"/>
      <x:c r="K252" s="9"/>
      <x:c r="L252" s="2"/>
      <x:c r="M252" s="2"/>
      <x:c r="N252" s="2"/>
      <x:c r="O252" s="2"/>
      <x:c r="P252" s="2" t="str">
        <x:v>route_decoder_missing</x:v>
      </x:c>
      <x:c r="Q252" s="2" t="str"/>
      <x:c r="R252" s="14" t="str">
        <x:f>IF(AND(C252="Нулевой остаток",I252="Есть цена"),G252,"")</x:f>
      </x:c>
      <x:c r="S252" s="14" t="str">
        <x:f>IF(AND(C252="Докупка",I252="Есть цена"),G252,"")</x:f>
      </x:c>
    </x:row>
    <x:row r="253" ht="21" customHeight="1">
      <x:c r="A253" s="2" t="n">
        <x:v>25</x:v>
      </x:c>
      <x:c r="B253" s="2" t="n">
        <x:v>300</x:v>
      </x:c>
      <x:c r="C253" s="2" t="str">
        <x:f>'Покупки'!C32</x:f>
        <x:v>Докупка</x:v>
      </x:c>
      <x:c r="D253" s="9" t="n">
        <x:v>46282.11101851852</x:v>
      </x:c>
      <x:c r="E253" s="12"/>
      <x:c r="F253" s="12" t="n">
        <x:f>'Покупки'!H32</x:f>
        <x:v>0.21058703668433176</x:v>
      </x:c>
      <x:c r="G253" s="14" t="str">
        <x:f>IF(I253="Есть цена",IF(AND(ISNUMBER(E253),E253&gt;0,F253&gt;0),E253/F253-1,NA()),"")</x:f>
      </x:c>
      <x:c r="H253" s="14" t="str">
        <x:f>IF(AND(I253="Есть цена",I248="Есть цена"),IF(AND(E253&gt;0,E248&gt;0),E253/E248-1,NA()),"")</x:f>
      </x:c>
      <x:c r="I253" s="2" t="str">
        <x:v>GatorSwap: нет модели цены</x:v>
      </x:c>
      <x:c r="J253" s="2"/>
      <x:c r="K253" s="9"/>
      <x:c r="L253" s="2"/>
      <x:c r="M253" s="2"/>
      <x:c r="N253" s="2"/>
      <x:c r="O253" s="2"/>
      <x:c r="P253" s="2" t="str">
        <x:v>route_decoder_missing</x:v>
      </x:c>
      <x:c r="Q253" s="2" t="str"/>
      <x:c r="R253" s="14" t="str">
        <x:f>IF(AND(C253="Нулевой остаток",I253="Есть цена"),G253,"")</x:f>
      </x:c>
      <x:c r="S253" s="14" t="str">
        <x:f>IF(AND(C253="Докупка",I253="Есть цена"),G253,"")</x:f>
      </x:c>
    </x:row>
    <x:row r="254" ht="21" customHeight="1">
      <x:c r="A254" s="2" t="n">
        <x:v>25</x:v>
      </x:c>
      <x:c r="B254" s="2" t="n">
        <x:v>900</x:v>
      </x:c>
      <x:c r="C254" s="2" t="str">
        <x:f>'Покупки'!C32</x:f>
        <x:v>Докупка</x:v>
      </x:c>
      <x:c r="D254" s="9" t="n">
        <x:v>46282.11796296296</x:v>
      </x:c>
      <x:c r="E254" s="12"/>
      <x:c r="F254" s="12" t="n">
        <x:f>'Покупки'!H32</x:f>
        <x:v>0.21058703668433176</x:v>
      </x:c>
      <x:c r="G254" s="14" t="str">
        <x:f>IF(I254="Есть цена",IF(AND(ISNUMBER(E254),E254&gt;0,F254&gt;0),E254/F254-1,NA()),"")</x:f>
      </x:c>
      <x:c r="H254" s="14" t="str">
        <x:f>IF(AND(I254="Есть цена",I248="Есть цена"),IF(AND(E254&gt;0,E248&gt;0),E254/E248-1,NA()),"")</x:f>
      </x:c>
      <x:c r="I254" s="2" t="str">
        <x:v>GatorSwap: нет модели цены</x:v>
      </x:c>
      <x:c r="J254" s="2"/>
      <x:c r="K254" s="9"/>
      <x:c r="L254" s="2"/>
      <x:c r="M254" s="2"/>
      <x:c r="N254" s="2"/>
      <x:c r="O254" s="2"/>
      <x:c r="P254" s="2" t="str">
        <x:v>route_decoder_missing</x:v>
      </x:c>
      <x:c r="Q254" s="2" t="str"/>
      <x:c r="R254" s="14" t="str">
        <x:f>IF(AND(C254="Нулевой остаток",I254="Есть цена"),G254,"")</x:f>
      </x:c>
      <x:c r="S254" s="14" t="str">
        <x:f>IF(AND(C254="Докупка",I254="Есть цена"),G254,"")</x:f>
      </x:c>
    </x:row>
    <x:row r="255" ht="21" customHeight="1">
      <x:c r="A255" s="2" t="n">
        <x:v>25</x:v>
      </x:c>
      <x:c r="B255" s="2" t="n">
        <x:v>3600</x:v>
      </x:c>
      <x:c r="C255" s="2" t="str">
        <x:f>'Покупки'!C32</x:f>
        <x:v>Докупка</x:v>
      </x:c>
      <x:c r="D255" s="9" t="n">
        <x:v>46282.14921296296</x:v>
      </x:c>
      <x:c r="E255" s="12"/>
      <x:c r="F255" s="12" t="n">
        <x:f>'Покупки'!H32</x:f>
        <x:v>0.21058703668433176</x:v>
      </x:c>
      <x:c r="G255" s="14" t="str">
        <x:f>IF(I255="Есть цена",IF(AND(ISNUMBER(E255),E255&gt;0,F255&gt;0),E255/F255-1,NA()),"")</x:f>
      </x:c>
      <x:c r="H255" s="14" t="str">
        <x:f>IF(AND(I255="Есть цена",I248="Есть цена"),IF(AND(E255&gt;0,E248&gt;0),E255/E248-1,NA()),"")</x:f>
      </x:c>
      <x:c r="I255" s="2" t="str">
        <x:v>GatorSwap: нет модели цены</x:v>
      </x:c>
      <x:c r="J255" s="2"/>
      <x:c r="K255" s="9"/>
      <x:c r="L255" s="2"/>
      <x:c r="M255" s="2"/>
      <x:c r="N255" s="2"/>
      <x:c r="O255" s="2"/>
      <x:c r="P255" s="2" t="str">
        <x:v>route_decoder_missing</x:v>
      </x:c>
      <x:c r="Q255" s="2" t="str"/>
      <x:c r="R255" s="14" t="str">
        <x:f>IF(AND(C255="Нулевой остаток",I255="Есть цена"),G255,"")</x:f>
      </x:c>
      <x:c r="S255" s="14" t="str">
        <x:f>IF(AND(C255="Докупка",I255="Есть цена"),G255,"")</x:f>
      </x:c>
    </x:row>
    <x:row r="256" ht="21" customHeight="1">
      <x:c r="A256" s="2" t="n">
        <x:v>25</x:v>
      </x:c>
      <x:c r="B256" s="2" t="n">
        <x:v>21600</x:v>
      </x:c>
      <x:c r="C256" s="2" t="str">
        <x:f>'Покупки'!C32</x:f>
        <x:v>Докупка</x:v>
      </x:c>
      <x:c r="D256" s="9" t="n">
        <x:v>46282.3575462963</x:v>
      </x:c>
      <x:c r="E256" s="12"/>
      <x:c r="F256" s="12" t="n">
        <x:f>'Покупки'!H32</x:f>
        <x:v>0.21058703668433176</x:v>
      </x:c>
      <x:c r="G256" s="14" t="str">
        <x:f>IF(I256="Есть цена",IF(AND(ISNUMBER(E256),E256&gt;0,F256&gt;0),E256/F256-1,NA()),"")</x:f>
      </x:c>
      <x:c r="H256" s="14" t="str">
        <x:f>IF(AND(I256="Есть цена",I248="Есть цена"),IF(AND(E256&gt;0,E248&gt;0),E256/E248-1,NA()),"")</x:f>
      </x:c>
      <x:c r="I256" s="2" t="str">
        <x:v>GatorSwap: нет модели цены</x:v>
      </x:c>
      <x:c r="J256" s="2"/>
      <x:c r="K256" s="9"/>
      <x:c r="L256" s="2"/>
      <x:c r="M256" s="2"/>
      <x:c r="N256" s="2"/>
      <x:c r="O256" s="2"/>
      <x:c r="P256" s="2" t="str">
        <x:v>route_decoder_missing</x:v>
      </x:c>
      <x:c r="Q256" s="2" t="str"/>
      <x:c r="R256" s="14" t="str">
        <x:f>IF(AND(C256="Нулевой остаток",I256="Есть цена"),G256,"")</x:f>
      </x:c>
      <x:c r="S256" s="14" t="str">
        <x:f>IF(AND(C256="Докупка",I256="Есть цена"),G256,"")</x:f>
      </x:c>
    </x:row>
    <x:row r="257" ht="21" customHeight="1">
      <x:c r="A257" s="2" t="n">
        <x:v>25</x:v>
      </x:c>
      <x:c r="B257" s="2" t="n">
        <x:v>86400</x:v>
      </x:c>
      <x:c r="C257" s="2" t="str">
        <x:f>'Покупки'!C32</x:f>
        <x:v>Докупка</x:v>
      </x:c>
      <x:c r="D257" s="9" t="n">
        <x:v>46283.1075462963</x:v>
      </x:c>
      <x:c r="E257" s="12"/>
      <x:c r="F257" s="12" t="n">
        <x:f>'Покупки'!H32</x:f>
        <x:v>0.21058703668433176</x:v>
      </x:c>
      <x:c r="G257" s="14" t="str">
        <x:f>IF(I257="Есть цена",IF(AND(ISNUMBER(E257),E257&gt;0,F257&gt;0),E257/F257-1,NA()),"")</x:f>
      </x:c>
      <x:c r="H257" s="14" t="str">
        <x:f>IF(AND(I257="Есть цена",I248="Есть цена"),IF(AND(E257&gt;0,E248&gt;0),E257/E248-1,NA()),"")</x:f>
      </x:c>
      <x:c r="I257" s="2" t="str">
        <x:v>Ещё рано</x:v>
      </x:c>
      <x:c r="J257" s="2"/>
      <x:c r="K257" s="9"/>
      <x:c r="L257" s="2"/>
      <x:c r="M257" s="2"/>
      <x:c r="N257" s="2"/>
      <x:c r="O257" s="2"/>
      <x:c r="P257" s="2" t="str">
        <x:v>future</x:v>
      </x:c>
      <x:c r="Q257" s="2" t="str"/>
      <x:c r="R257" s="14" t="str">
        <x:f>IF(AND(C257="Нулевой остаток",I257="Есть цена"),G257,"")</x:f>
      </x:c>
      <x:c r="S257" s="14" t="str">
        <x:f>IF(AND(C257="Докупка",I257="Есть цена"),G257,"")</x:f>
      </x:c>
    </x:row>
    <x:row r="258" ht="21" customHeight="1">
      <x:c r="A258" s="2" t="n">
        <x:v>26</x:v>
      </x:c>
      <x:c r="B258" s="2" t="n">
        <x:v>5</x:v>
      </x:c>
      <x:c r="C258" s="2" t="str">
        <x:f>'Покупки'!C33</x:f>
        <x:v>Докупка</x:v>
      </x:c>
      <x:c r="D258" s="9" t="n">
        <x:v>46282.1065625</x:v>
      </x:c>
      <x:c r="E258" s="12"/>
      <x:c r="F258" s="12" t="n">
        <x:f>'Покупки'!H33</x:f>
        <x:v>0.00025303487633054705</x:v>
      </x:c>
      <x:c r="G258" s="14" t="str">
        <x:f>IF(I258="Есть цена",IF(AND(ISNUMBER(E258),E258&gt;0,F258&gt;0),E258/F258-1,NA()),"")</x:f>
      </x:c>
      <x:c r="H258" s="14" t="str">
        <x:f>IF(AND(I258="Есть цена",I258="Есть цена"),IF(AND(E258&gt;0,E258&gt;0),E258/E258-1,NA()),"")</x:f>
      </x:c>
      <x:c r="I258" s="2" t="str">
        <x:v>RPC: данные не загружены</x:v>
      </x:c>
      <x:c r="J258" s="2"/>
      <x:c r="K258" s="9"/>
      <x:c r="L258" s="2"/>
      <x:c r="M258" s="2"/>
      <x:c r="N258" s="2"/>
      <x:c r="O258" s="2"/>
      <x:c r="P258" s="2" t="str">
        <x:v>not_cached:getSignaturesForAddress:history/b94a2459f8647e1b190b2bf7</x:v>
      </x:c>
      <x:c r="Q258" s="2" t="str"/>
      <x:c r="R258" s="14" t="str">
        <x:f>IF(AND(C258="Нулевой остаток",I258="Есть цена"),G258,"")</x:f>
      </x:c>
      <x:c r="S258" s="14" t="str">
        <x:f>IF(AND(C258="Докупка",I258="Есть цена"),G258,"")</x:f>
      </x:c>
    </x:row>
    <x:row r="259" ht="21" customHeight="1">
      <x:c r="A259" s="2" t="n">
        <x:v>26</x:v>
      </x:c>
      <x:c r="B259" s="2" t="n">
        <x:v>15</x:v>
      </x:c>
      <x:c r="C259" s="2" t="str">
        <x:f>'Покупки'!C33</x:f>
        <x:v>Докупка</x:v>
      </x:c>
      <x:c r="D259" s="9" t="n">
        <x:v>46282.10667824074</x:v>
      </x:c>
      <x:c r="E259" s="12"/>
      <x:c r="F259" s="12" t="n">
        <x:f>'Покупки'!H33</x:f>
        <x:v>0.00025303487633054705</x:v>
      </x:c>
      <x:c r="G259" s="14" t="str">
        <x:f>IF(I259="Есть цена",IF(AND(ISNUMBER(E259),E259&gt;0,F259&gt;0),E259/F259-1,NA()),"")</x:f>
      </x:c>
      <x:c r="H259" s="14" t="str">
        <x:f>IF(AND(I259="Есть цена",I258="Есть цена"),IF(AND(E259&gt;0,E258&gt;0),E259/E258-1,NA()),"")</x:f>
      </x:c>
      <x:c r="I259" s="2" t="str">
        <x:v>RPC: данные не загружены</x:v>
      </x:c>
      <x:c r="J259" s="2"/>
      <x:c r="K259" s="9"/>
      <x:c r="L259" s="2"/>
      <x:c r="M259" s="2"/>
      <x:c r="N259" s="2"/>
      <x:c r="O259" s="2"/>
      <x:c r="P259" s="2" t="str">
        <x:v>not_cached:getSignaturesForAddress:history/b94a2459f8647e1b190b2bf7</x:v>
      </x:c>
      <x:c r="Q259" s="2" t="str"/>
      <x:c r="R259" s="14" t="str">
        <x:f>IF(AND(C259="Нулевой остаток",I259="Есть цена"),G259,"")</x:f>
      </x:c>
      <x:c r="S259" s="14" t="str">
        <x:f>IF(AND(C259="Докупка",I259="Есть цена"),G259,"")</x:f>
      </x:c>
    </x:row>
    <x:row r="260" ht="21" customHeight="1">
      <x:c r="A260" s="2" t="n">
        <x:v>26</x:v>
      </x:c>
      <x:c r="B260" s="2" t="n">
        <x:v>30</x:v>
      </x:c>
      <x:c r="C260" s="2" t="str">
        <x:f>'Покупки'!C33</x:f>
        <x:v>Докупка</x:v>
      </x:c>
      <x:c r="D260" s="9" t="n">
        <x:v>46282.10685185185</x:v>
      </x:c>
      <x:c r="E260" s="12"/>
      <x:c r="F260" s="12" t="n">
        <x:f>'Покупки'!H33</x:f>
        <x:v>0.00025303487633054705</x:v>
      </x:c>
      <x:c r="G260" s="14" t="str">
        <x:f>IF(I260="Есть цена",IF(AND(ISNUMBER(E260),E260&gt;0,F260&gt;0),E260/F260-1,NA()),"")</x:f>
      </x:c>
      <x:c r="H260" s="14" t="str">
        <x:f>IF(AND(I260="Есть цена",I258="Есть цена"),IF(AND(E260&gt;0,E258&gt;0),E260/E258-1,NA()),"")</x:f>
      </x:c>
      <x:c r="I260" s="2" t="str">
        <x:v>RPC: данные не загружены</x:v>
      </x:c>
      <x:c r="J260" s="2"/>
      <x:c r="K260" s="9"/>
      <x:c r="L260" s="2"/>
      <x:c r="M260" s="2"/>
      <x:c r="N260" s="2"/>
      <x:c r="O260" s="2"/>
      <x:c r="P260" s="2" t="str">
        <x:v>not_cached:getSignaturesForAddress:history/b94a2459f8647e1b190b2bf7</x:v>
      </x:c>
      <x:c r="Q260" s="2" t="str"/>
      <x:c r="R260" s="14" t="str">
        <x:f>IF(AND(C260="Нулевой остаток",I260="Есть цена"),G260,"")</x:f>
      </x:c>
      <x:c r="S260" s="14" t="str">
        <x:f>IF(AND(C260="Докупка",I260="Есть цена"),G260,"")</x:f>
      </x:c>
    </x:row>
    <x:row r="261" ht="21" customHeight="1">
      <x:c r="A261" s="2" t="n">
        <x:v>26</x:v>
      </x:c>
      <x:c r="B261" s="2" t="n">
        <x:v>60</x:v>
      </x:c>
      <x:c r="C261" s="2" t="str">
        <x:f>'Покупки'!C33</x:f>
        <x:v>Докупка</x:v>
      </x:c>
      <x:c r="D261" s="9" t="n">
        <x:v>46282.107199074075</x:v>
      </x:c>
      <x:c r="E261" s="12"/>
      <x:c r="F261" s="12" t="n">
        <x:f>'Покупки'!H33</x:f>
        <x:v>0.00025303487633054705</x:v>
      </x:c>
      <x:c r="G261" s="14" t="str">
        <x:f>IF(I261="Есть цена",IF(AND(ISNUMBER(E261),E261&gt;0,F261&gt;0),E261/F261-1,NA()),"")</x:f>
      </x:c>
      <x:c r="H261" s="14" t="str">
        <x:f>IF(AND(I261="Есть цена",I258="Есть цена"),IF(AND(E261&gt;0,E258&gt;0),E261/E258-1,NA()),"")</x:f>
      </x:c>
      <x:c r="I261" s="2" t="str">
        <x:v>RPC: данные не загружены</x:v>
      </x:c>
      <x:c r="J261" s="2"/>
      <x:c r="K261" s="9"/>
      <x:c r="L261" s="2"/>
      <x:c r="M261" s="2"/>
      <x:c r="N261" s="2"/>
      <x:c r="O261" s="2"/>
      <x:c r="P261" s="2" t="str">
        <x:v>not_cached:getSignaturesForAddress:history/b94a2459f8647e1b190b2bf7</x:v>
      </x:c>
      <x:c r="Q261" s="2" t="str"/>
      <x:c r="R261" s="14" t="str">
        <x:f>IF(AND(C261="Нулевой остаток",I261="Есть цена"),G261,"")</x:f>
      </x:c>
      <x:c r="S261" s="14" t="str">
        <x:f>IF(AND(C261="Докупка",I261="Есть цена"),G261,"")</x:f>
      </x:c>
    </x:row>
    <x:row r="262" ht="21" customHeight="1">
      <x:c r="A262" s="2" t="n">
        <x:v>26</x:v>
      </x:c>
      <x:c r="B262" s="2" t="n">
        <x:v>180</x:v>
      </x:c>
      <x:c r="C262" s="2" t="str">
        <x:f>'Покупки'!C33</x:f>
        <x:v>Докупка</x:v>
      </x:c>
      <x:c r="D262" s="9" t="n">
        <x:v>46282.10858796296</x:v>
      </x:c>
      <x:c r="E262" s="12"/>
      <x:c r="F262" s="12" t="n">
        <x:f>'Покупки'!H33</x:f>
        <x:v>0.00025303487633054705</x:v>
      </x:c>
      <x:c r="G262" s="14" t="str">
        <x:f>IF(I262="Есть цена",IF(AND(ISNUMBER(E262),E262&gt;0,F262&gt;0),E262/F262-1,NA()),"")</x:f>
      </x:c>
      <x:c r="H262" s="14" t="str">
        <x:f>IF(AND(I262="Есть цена",I258="Есть цена"),IF(AND(E262&gt;0,E258&gt;0),E262/E258-1,NA()),"")</x:f>
      </x:c>
      <x:c r="I262" s="2" t="str">
        <x:v>RPC: данные не загружены</x:v>
      </x:c>
      <x:c r="J262" s="2"/>
      <x:c r="K262" s="9"/>
      <x:c r="L262" s="2"/>
      <x:c r="M262" s="2"/>
      <x:c r="N262" s="2"/>
      <x:c r="O262" s="2"/>
      <x:c r="P262" s="2" t="str">
        <x:v>not_cached:getSignaturesForAddress:history/c39a3402ce4e6bcd78135a56</x:v>
      </x:c>
      <x:c r="Q262" s="2" t="str"/>
      <x:c r="R262" s="14" t="str">
        <x:f>IF(AND(C262="Нулевой остаток",I262="Есть цена"),G262,"")</x:f>
      </x:c>
      <x:c r="S262" s="14" t="str">
        <x:f>IF(AND(C262="Докупка",I262="Есть цена"),G262,"")</x:f>
      </x:c>
    </x:row>
    <x:row r="263" ht="21" customHeight="1">
      <x:c r="A263" s="2" t="n">
        <x:v>26</x:v>
      </x:c>
      <x:c r="B263" s="2" t="n">
        <x:v>300</x:v>
      </x:c>
      <x:c r="C263" s="2" t="str">
        <x:f>'Покупки'!C33</x:f>
        <x:v>Докупка</x:v>
      </x:c>
      <x:c r="D263" s="9" t="n">
        <x:v>46282.109976851854</x:v>
      </x:c>
      <x:c r="E263" s="12"/>
      <x:c r="F263" s="12" t="n">
        <x:f>'Покупки'!H33</x:f>
        <x:v>0.00025303487633054705</x:v>
      </x:c>
      <x:c r="G263" s="14" t="str">
        <x:f>IF(I263="Есть цена",IF(AND(ISNUMBER(E263),E263&gt;0,F263&gt;0),E263/F263-1,NA()),"")</x:f>
      </x:c>
      <x:c r="H263" s="14" t="str">
        <x:f>IF(AND(I263="Есть цена",I258="Есть цена"),IF(AND(E263&gt;0,E258&gt;0),E263/E258-1,NA()),"")</x:f>
      </x:c>
      <x:c r="I263" s="2" t="str">
        <x:v>RPC: данные не загружены</x:v>
      </x:c>
      <x:c r="J263" s="2"/>
      <x:c r="K263" s="9"/>
      <x:c r="L263" s="2"/>
      <x:c r="M263" s="2"/>
      <x:c r="N263" s="2"/>
      <x:c r="O263" s="2"/>
      <x:c r="P263" s="2" t="str">
        <x:v>not_cached:getSignaturesForAddress:history/7108ea3eec51accea6b86fad</x:v>
      </x:c>
      <x:c r="Q263" s="2" t="str"/>
      <x:c r="R263" s="14" t="str">
        <x:f>IF(AND(C263="Нулевой остаток",I263="Есть цена"),G263,"")</x:f>
      </x:c>
      <x:c r="S263" s="14" t="str">
        <x:f>IF(AND(C263="Докупка",I263="Есть цена"),G263,"")</x:f>
      </x:c>
    </x:row>
    <x:row r="264" ht="21" customHeight="1">
      <x:c r="A264" s="2" t="n">
        <x:v>26</x:v>
      </x:c>
      <x:c r="B264" s="2" t="n">
        <x:v>900</x:v>
      </x:c>
      <x:c r="C264" s="2" t="str">
        <x:f>'Покупки'!C33</x:f>
        <x:v>Докупка</x:v>
      </x:c>
      <x:c r="D264" s="9" t="n">
        <x:v>46282.1169212963</x:v>
      </x:c>
      <x:c r="E264" s="12"/>
      <x:c r="F264" s="12" t="n">
        <x:f>'Покупки'!H33</x:f>
        <x:v>0.00025303487633054705</x:v>
      </x:c>
      <x:c r="G264" s="14" t="str">
        <x:f>IF(I264="Есть цена",IF(AND(ISNUMBER(E264),E264&gt;0,F264&gt;0),E264/F264-1,NA()),"")</x:f>
      </x:c>
      <x:c r="H264" s="14" t="str">
        <x:f>IF(AND(I264="Есть цена",I258="Есть цена"),IF(AND(E264&gt;0,E258&gt;0),E264/E258-1,NA()),"")</x:f>
      </x:c>
      <x:c r="I264" s="2" t="str">
        <x:v>RPC: данные не загружены</x:v>
      </x:c>
      <x:c r="J264" s="2"/>
      <x:c r="K264" s="9"/>
      <x:c r="L264" s="2"/>
      <x:c r="M264" s="2"/>
      <x:c r="N264" s="2"/>
      <x:c r="O264" s="2"/>
      <x:c r="P264" s="2" t="str">
        <x:v>not_cached:getSignaturesForAddress:history/7108ea3eec51accea6b86fad</x:v>
      </x:c>
      <x:c r="Q264" s="2" t="str"/>
      <x:c r="R264" s="14" t="str">
        <x:f>IF(AND(C264="Нулевой остаток",I264="Есть цена"),G264,"")</x:f>
      </x:c>
      <x:c r="S264" s="14" t="str">
        <x:f>IF(AND(C264="Докупка",I264="Есть цена"),G264,"")</x:f>
      </x:c>
    </x:row>
    <x:row r="265" ht="21" customHeight="1">
      <x:c r="A265" s="2" t="n">
        <x:v>26</x:v>
      </x:c>
      <x:c r="B265" s="2" t="n">
        <x:v>3600</x:v>
      </x:c>
      <x:c r="C265" s="2" t="str">
        <x:f>'Покупки'!C33</x:f>
        <x:v>Докупка</x:v>
      </x:c>
      <x:c r="D265" s="9" t="n">
        <x:v>46282.1481712963</x:v>
      </x:c>
      <x:c r="E265" s="12"/>
      <x:c r="F265" s="12" t="n">
        <x:f>'Покупки'!H33</x:f>
        <x:v>0.00025303487633054705</x:v>
      </x:c>
      <x:c r="G265" s="14" t="str">
        <x:f>IF(I265="Есть цена",IF(AND(ISNUMBER(E265),E265&gt;0,F265&gt;0),E265/F265-1,NA()),"")</x:f>
      </x:c>
      <x:c r="H265" s="14" t="str">
        <x:f>IF(AND(I265="Есть цена",I258="Есть цена"),IF(AND(E265&gt;0,E258&gt;0),E265/E258-1,NA()),"")</x:f>
      </x:c>
      <x:c r="I265" s="2" t="str">
        <x:v>RPC: данные не загружены</x:v>
      </x:c>
      <x:c r="J265" s="2"/>
      <x:c r="K265" s="9"/>
      <x:c r="L265" s="2"/>
      <x:c r="M265" s="2"/>
      <x:c r="N265" s="2"/>
      <x:c r="O265" s="2"/>
      <x:c r="P265" s="2" t="str">
        <x:v>not_cached:getSignaturesForAddress:history/bc3bb8936fcd2749e83119c7</x:v>
      </x:c>
      <x:c r="Q265" s="2" t="str"/>
      <x:c r="R265" s="14" t="str">
        <x:f>IF(AND(C265="Нулевой остаток",I265="Есть цена"),G265,"")</x:f>
      </x:c>
      <x:c r="S265" s="14" t="str">
        <x:f>IF(AND(C265="Докупка",I265="Есть цена"),G265,"")</x:f>
      </x:c>
    </x:row>
    <x:row r="266" ht="21" customHeight="1">
      <x:c r="A266" s="2" t="n">
        <x:v>26</x:v>
      </x:c>
      <x:c r="B266" s="2" t="n">
        <x:v>21600</x:v>
      </x:c>
      <x:c r="C266" s="2" t="str">
        <x:f>'Покупки'!C33</x:f>
        <x:v>Докупка</x:v>
      </x:c>
      <x:c r="D266" s="9" t="n">
        <x:v>46282.35650462963</x:v>
      </x:c>
      <x:c r="E266" s="12"/>
      <x:c r="F266" s="12" t="n">
        <x:f>'Покупки'!H33</x:f>
        <x:v>0.00025303487633054705</x:v>
      </x:c>
      <x:c r="G266" s="14" t="str">
        <x:f>IF(I266="Есть цена",IF(AND(ISNUMBER(E266),E266&gt;0,F266&gt;0),E266/F266-1,NA()),"")</x:f>
      </x:c>
      <x:c r="H266" s="14" t="str">
        <x:f>IF(AND(I266="Есть цена",I258="Есть цена"),IF(AND(E266&gt;0,E258&gt;0),E266/E258-1,NA()),"")</x:f>
      </x:c>
      <x:c r="I266" s="2" t="str">
        <x:v>RPC: данные не загружены</x:v>
      </x:c>
      <x:c r="J266" s="2"/>
      <x:c r="K266" s="9"/>
      <x:c r="L266" s="2"/>
      <x:c r="M266" s="2"/>
      <x:c r="N266" s="2"/>
      <x:c r="O266" s="2"/>
      <x:c r="P266" s="2" t="str">
        <x:v>not_cached:getSignaturesForAddress:history/9be06f8f81e4c7d632be610a</x:v>
      </x:c>
      <x:c r="Q266" s="2" t="str"/>
      <x:c r="R266" s="14" t="str">
        <x:f>IF(AND(C266="Нулевой остаток",I266="Есть цена"),G266,"")</x:f>
      </x:c>
      <x:c r="S266" s="14" t="str">
        <x:f>IF(AND(C266="Докупка",I266="Есть цена"),G266,"")</x:f>
      </x:c>
    </x:row>
    <x:row r="267" ht="21" customHeight="1">
      <x:c r="A267" s="2" t="n">
        <x:v>26</x:v>
      </x:c>
      <x:c r="B267" s="2" t="n">
        <x:v>86400</x:v>
      </x:c>
      <x:c r="C267" s="2" t="str">
        <x:f>'Покупки'!C33</x:f>
        <x:v>Докупка</x:v>
      </x:c>
      <x:c r="D267" s="9" t="n">
        <x:v>46283.10650462963</x:v>
      </x:c>
      <x:c r="E267" s="12"/>
      <x:c r="F267" s="12" t="n">
        <x:f>'Покупки'!H33</x:f>
        <x:v>0.00025303487633054705</x:v>
      </x:c>
      <x:c r="G267" s="14" t="str">
        <x:f>IF(I267="Есть цена",IF(AND(ISNUMBER(E267),E267&gt;0,F267&gt;0),E267/F267-1,NA()),"")</x:f>
      </x:c>
      <x:c r="H267" s="14" t="str">
        <x:f>IF(AND(I267="Есть цена",I258="Есть цена"),IF(AND(E267&gt;0,E258&gt;0),E267/E258-1,NA()),"")</x:f>
      </x:c>
      <x:c r="I267" s="2" t="str">
        <x:v>Ещё рано</x:v>
      </x:c>
      <x:c r="J267" s="2"/>
      <x:c r="K267" s="9"/>
      <x:c r="L267" s="2"/>
      <x:c r="M267" s="2"/>
      <x:c r="N267" s="2"/>
      <x:c r="O267" s="2"/>
      <x:c r="P267" s="2" t="str">
        <x:v>future</x:v>
      </x:c>
      <x:c r="Q267" s="2" t="str"/>
      <x:c r="R267" s="14" t="str">
        <x:f>IF(AND(C267="Нулевой остаток",I267="Есть цена"),G267,"")</x:f>
      </x:c>
      <x:c r="S267" s="14" t="str">
        <x:f>IF(AND(C267="Докупка",I267="Есть цена"),G267,"")</x:f>
      </x:c>
    </x:row>
    <x:row r="268" ht="21" customHeight="1">
      <x:c r="A268" s="2" t="n">
        <x:v>27</x:v>
      </x:c>
      <x:c r="B268" s="2" t="n">
        <x:v>5</x:v>
      </x:c>
      <x:c r="C268" s="2" t="str">
        <x:f>'Покупки'!C34</x:f>
        <x:v>Нулевой остаток</x:v>
      </x:c>
      <x:c r="D268" s="9" t="n">
        <x:v>46282.106261574074</x:v>
      </x:c>
      <x:c r="E268" s="12"/>
      <x:c r="F268" s="12" t="n">
        <x:f>'Покупки'!H34</x:f>
        <x:v>0.00011270722618131938</x:v>
      </x:c>
      <x:c r="G268" s="14" t="str">
        <x:f>IF(I268="Есть цена",IF(AND(ISNUMBER(E268),E268&gt;0,F268&gt;0),E268/F268-1,NA()),"")</x:f>
      </x:c>
      <x:c r="H268" s="14" t="str">
        <x:f>IF(AND(I268="Есть цена",I268="Есть цена"),IF(AND(E268&gt;0,E268&gt;0),E268/E268-1,NA()),"")</x:f>
      </x:c>
      <x:c r="I268" s="2" t="str">
        <x:v>RPC: данные не загружены</x:v>
      </x:c>
      <x:c r="J268" s="2"/>
      <x:c r="K268" s="9"/>
      <x:c r="L268" s="2"/>
      <x:c r="M268" s="2"/>
      <x:c r="N268" s="2"/>
      <x:c r="O268" s="2"/>
      <x:c r="P268" s="2" t="str">
        <x:v>not_cached:getSignaturesForAddress:history/69c02451cab741d52ea8c37d</x:v>
      </x:c>
      <x:c r="Q268" s="2" t="str"/>
      <x:c r="R268" s="14" t="str">
        <x:f>IF(AND(C268="Нулевой остаток",I268="Есть цена"),G268,"")</x:f>
      </x:c>
      <x:c r="S268" s="14" t="str">
        <x:f>IF(AND(C268="Докупка",I268="Есть цена"),G268,"")</x:f>
      </x:c>
    </x:row>
    <x:row r="269" ht="21" customHeight="1">
      <x:c r="A269" s="2" t="n">
        <x:v>27</x:v>
      </x:c>
      <x:c r="B269" s="2" t="n">
        <x:v>15</x:v>
      </x:c>
      <x:c r="C269" s="2" t="str">
        <x:f>'Покупки'!C34</x:f>
        <x:v>Нулевой остаток</x:v>
      </x:c>
      <x:c r="D269" s="9" t="n">
        <x:v>46282.10637731481</x:v>
      </x:c>
      <x:c r="E269" s="12"/>
      <x:c r="F269" s="12" t="n">
        <x:f>'Покупки'!H34</x:f>
        <x:v>0.00011270722618131938</x:v>
      </x:c>
      <x:c r="G269" s="14" t="str">
        <x:f>IF(I269="Есть цена",IF(AND(ISNUMBER(E269),E269&gt;0,F269&gt;0),E269/F269-1,NA()),"")</x:f>
      </x:c>
      <x:c r="H269" s="14" t="str">
        <x:f>IF(AND(I269="Есть цена",I268="Есть цена"),IF(AND(E269&gt;0,E268&gt;0),E269/E268-1,NA()),"")</x:f>
      </x:c>
      <x:c r="I269" s="2" t="str">
        <x:v>RPC: данные не загружены</x:v>
      </x:c>
      <x:c r="J269" s="2"/>
      <x:c r="K269" s="9"/>
      <x:c r="L269" s="2"/>
      <x:c r="M269" s="2"/>
      <x:c r="N269" s="2"/>
      <x:c r="O269" s="2"/>
      <x:c r="P269" s="2" t="str">
        <x:v>not_cached:getSignaturesForAddress:history/69c02451cab741d52ea8c37d</x:v>
      </x:c>
      <x:c r="Q269" s="2" t="str"/>
      <x:c r="R269" s="14" t="str">
        <x:f>IF(AND(C269="Нулевой остаток",I269="Есть цена"),G269,"")</x:f>
      </x:c>
      <x:c r="S269" s="14" t="str">
        <x:f>IF(AND(C269="Докупка",I269="Есть цена"),G269,"")</x:f>
      </x:c>
    </x:row>
    <x:row r="270" ht="21" customHeight="1">
      <x:c r="A270" s="2" t="n">
        <x:v>27</x:v>
      </x:c>
      <x:c r="B270" s="2" t="n">
        <x:v>30</x:v>
      </x:c>
      <x:c r="C270" s="2" t="str">
        <x:f>'Покупки'!C34</x:f>
        <x:v>Нулевой остаток</x:v>
      </x:c>
      <x:c r="D270" s="9" t="n">
        <x:v>46282.10655092593</x:v>
      </x:c>
      <x:c r="E270" s="12"/>
      <x:c r="F270" s="12" t="n">
        <x:f>'Покупки'!H34</x:f>
        <x:v>0.00011270722618131938</x:v>
      </x:c>
      <x:c r="G270" s="14" t="str">
        <x:f>IF(I270="Есть цена",IF(AND(ISNUMBER(E270),E270&gt;0,F270&gt;0),E270/F270-1,NA()),"")</x:f>
      </x:c>
      <x:c r="H270" s="14" t="str">
        <x:f>IF(AND(I270="Есть цена",I268="Есть цена"),IF(AND(E270&gt;0,E268&gt;0),E270/E268-1,NA()),"")</x:f>
      </x:c>
      <x:c r="I270" s="2" t="str">
        <x:v>RPC: данные не загружены</x:v>
      </x:c>
      <x:c r="J270" s="2"/>
      <x:c r="K270" s="9"/>
      <x:c r="L270" s="2"/>
      <x:c r="M270" s="2"/>
      <x:c r="N270" s="2"/>
      <x:c r="O270" s="2"/>
      <x:c r="P270" s="2" t="str">
        <x:v>not_cached:getSignaturesForAddress:history/b94a2459f8647e1b190b2bf7</x:v>
      </x:c>
      <x:c r="Q270" s="2" t="str"/>
      <x:c r="R270" s="14" t="str">
        <x:f>IF(AND(C270="Нулевой остаток",I270="Есть цена"),G270,"")</x:f>
      </x:c>
      <x:c r="S270" s="14" t="str">
        <x:f>IF(AND(C270="Докупка",I270="Есть цена"),G270,"")</x:f>
      </x:c>
    </x:row>
    <x:row r="271" ht="21" customHeight="1">
      <x:c r="A271" s="2" t="n">
        <x:v>27</x:v>
      </x:c>
      <x:c r="B271" s="2" t="n">
        <x:v>60</x:v>
      </x:c>
      <x:c r="C271" s="2" t="str">
        <x:f>'Покупки'!C34</x:f>
        <x:v>Нулевой остаток</x:v>
      </x:c>
      <x:c r="D271" s="9" t="n">
        <x:v>46282.10689814815</x:v>
      </x:c>
      <x:c r="E271" s="12"/>
      <x:c r="F271" s="12" t="n">
        <x:f>'Покупки'!H34</x:f>
        <x:v>0.00011270722618131938</x:v>
      </x:c>
      <x:c r="G271" s="14" t="str">
        <x:f>IF(I271="Есть цена",IF(AND(ISNUMBER(E271),E271&gt;0,F271&gt;0),E271/F271-1,NA()),"")</x:f>
      </x:c>
      <x:c r="H271" s="14" t="str">
        <x:f>IF(AND(I271="Есть цена",I268="Есть цена"),IF(AND(E271&gt;0,E268&gt;0),E271/E268-1,NA()),"")</x:f>
      </x:c>
      <x:c r="I271" s="2" t="str">
        <x:v>RPC: данные не загружены</x:v>
      </x:c>
      <x:c r="J271" s="2"/>
      <x:c r="K271" s="9"/>
      <x:c r="L271" s="2"/>
      <x:c r="M271" s="2"/>
      <x:c r="N271" s="2"/>
      <x:c r="O271" s="2"/>
      <x:c r="P271" s="2" t="str">
        <x:v>not_cached:getSignaturesForAddress:history/b94a2459f8647e1b190b2bf7</x:v>
      </x:c>
      <x:c r="Q271" s="2" t="str"/>
      <x:c r="R271" s="14" t="str">
        <x:f>IF(AND(C271="Нулевой остаток",I271="Есть цена"),G271,"")</x:f>
      </x:c>
      <x:c r="S271" s="14" t="str">
        <x:f>IF(AND(C271="Докупка",I271="Есть цена"),G271,"")</x:f>
      </x:c>
    </x:row>
    <x:row r="272" ht="21" customHeight="1">
      <x:c r="A272" s="2" t="n">
        <x:v>27</x:v>
      </x:c>
      <x:c r="B272" s="2" t="n">
        <x:v>180</x:v>
      </x:c>
      <x:c r="C272" s="2" t="str">
        <x:f>'Покупки'!C34</x:f>
        <x:v>Нулевой остаток</x:v>
      </x:c>
      <x:c r="D272" s="9" t="n">
        <x:v>46282.10828703704</x:v>
      </x:c>
      <x:c r="E272" s="12"/>
      <x:c r="F272" s="12" t="n">
        <x:f>'Покупки'!H34</x:f>
        <x:v>0.00011270722618131938</x:v>
      </x:c>
      <x:c r="G272" s="14" t="str">
        <x:f>IF(I272="Есть цена",IF(AND(ISNUMBER(E272),E272&gt;0,F272&gt;0),E272/F272-1,NA()),"")</x:f>
      </x:c>
      <x:c r="H272" s="14" t="str">
        <x:f>IF(AND(I272="Есть цена",I268="Есть цена"),IF(AND(E272&gt;0,E268&gt;0),E272/E268-1,NA()),"")</x:f>
      </x:c>
      <x:c r="I272" s="2" t="str">
        <x:v>RPC: данные не загружены</x:v>
      </x:c>
      <x:c r="J272" s="2"/>
      <x:c r="K272" s="9"/>
      <x:c r="L272" s="2"/>
      <x:c r="M272" s="2"/>
      <x:c r="N272" s="2"/>
      <x:c r="O272" s="2"/>
      <x:c r="P272" s="2" t="str">
        <x:v>not_cached:getSignaturesForAddress:history/c39a3402ce4e6bcd78135a56</x:v>
      </x:c>
      <x:c r="Q272" s="2" t="str"/>
      <x:c r="R272" s="14" t="str">
        <x:f>IF(AND(C272="Нулевой остаток",I272="Есть цена"),G272,"")</x:f>
      </x:c>
      <x:c r="S272" s="14" t="str">
        <x:f>IF(AND(C272="Докупка",I272="Есть цена"),G272,"")</x:f>
      </x:c>
    </x:row>
    <x:row r="273" ht="21" customHeight="1">
      <x:c r="A273" s="2" t="n">
        <x:v>27</x:v>
      </x:c>
      <x:c r="B273" s="2" t="n">
        <x:v>300</x:v>
      </x:c>
      <x:c r="C273" s="2" t="str">
        <x:f>'Покупки'!C34</x:f>
        <x:v>Нулевой остаток</x:v>
      </x:c>
      <x:c r="D273" s="9" t="n">
        <x:v>46282.10967592592</x:v>
      </x:c>
      <x:c r="E273" s="12"/>
      <x:c r="F273" s="12" t="n">
        <x:f>'Покупки'!H34</x:f>
        <x:v>0.00011270722618131938</x:v>
      </x:c>
      <x:c r="G273" s="14" t="str">
        <x:f>IF(I273="Есть цена",IF(AND(ISNUMBER(E273),E273&gt;0,F273&gt;0),E273/F273-1,NA()),"")</x:f>
      </x:c>
      <x:c r="H273" s="14" t="str">
        <x:f>IF(AND(I273="Есть цена",I268="Есть цена"),IF(AND(E273&gt;0,E268&gt;0),E273/E268-1,NA()),"")</x:f>
      </x:c>
      <x:c r="I273" s="2" t="str">
        <x:v>RPC: данные не загружены</x:v>
      </x:c>
      <x:c r="J273" s="2"/>
      <x:c r="K273" s="9"/>
      <x:c r="L273" s="2"/>
      <x:c r="M273" s="2"/>
      <x:c r="N273" s="2"/>
      <x:c r="O273" s="2"/>
      <x:c r="P273" s="2" t="str">
        <x:v>not_cached:getSignaturesForAddress:history/7108ea3eec51accea6b86fad</x:v>
      </x:c>
      <x:c r="Q273" s="2" t="str"/>
      <x:c r="R273" s="14" t="str">
        <x:f>IF(AND(C273="Нулевой остаток",I273="Есть цена"),G273,"")</x:f>
      </x:c>
      <x:c r="S273" s="14" t="str">
        <x:f>IF(AND(C273="Докупка",I273="Есть цена"),G273,"")</x:f>
      </x:c>
    </x:row>
    <x:row r="274" ht="21" customHeight="1">
      <x:c r="A274" s="2" t="n">
        <x:v>27</x:v>
      </x:c>
      <x:c r="B274" s="2" t="n">
        <x:v>900</x:v>
      </x:c>
      <x:c r="C274" s="2" t="str">
        <x:f>'Покупки'!C34</x:f>
        <x:v>Нулевой остаток</x:v>
      </x:c>
      <x:c r="D274" s="9" t="n">
        <x:v>46282.11662037037</x:v>
      </x:c>
      <x:c r="E274" s="12"/>
      <x:c r="F274" s="12" t="n">
        <x:f>'Покупки'!H34</x:f>
        <x:v>0.00011270722618131938</x:v>
      </x:c>
      <x:c r="G274" s="14" t="str">
        <x:f>IF(I274="Есть цена",IF(AND(ISNUMBER(E274),E274&gt;0,F274&gt;0),E274/F274-1,NA()),"")</x:f>
      </x:c>
      <x:c r="H274" s="14" t="str">
        <x:f>IF(AND(I274="Есть цена",I268="Есть цена"),IF(AND(E274&gt;0,E268&gt;0),E274/E268-1,NA()),"")</x:f>
      </x:c>
      <x:c r="I274" s="2" t="str">
        <x:v>RPC: данные не загружены</x:v>
      </x:c>
      <x:c r="J274" s="2"/>
      <x:c r="K274" s="9"/>
      <x:c r="L274" s="2"/>
      <x:c r="M274" s="2"/>
      <x:c r="N274" s="2"/>
      <x:c r="O274" s="2"/>
      <x:c r="P274" s="2" t="str">
        <x:v>not_cached:getSignaturesForAddress:history/7108ea3eec51accea6b86fad</x:v>
      </x:c>
      <x:c r="Q274" s="2" t="str"/>
      <x:c r="R274" s="14" t="str">
        <x:f>IF(AND(C274="Нулевой остаток",I274="Есть цена"),G274,"")</x:f>
      </x:c>
      <x:c r="S274" s="14" t="str">
        <x:f>IF(AND(C274="Докупка",I274="Есть цена"),G274,"")</x:f>
      </x:c>
    </x:row>
    <x:row r="275" ht="21" customHeight="1">
      <x:c r="A275" s="2" t="n">
        <x:v>27</x:v>
      </x:c>
      <x:c r="B275" s="2" t="n">
        <x:v>3600</x:v>
      </x:c>
      <x:c r="C275" s="2" t="str">
        <x:f>'Покупки'!C34</x:f>
        <x:v>Нулевой остаток</x:v>
      </x:c>
      <x:c r="D275" s="9" t="n">
        <x:v>46282.14787037037</x:v>
      </x:c>
      <x:c r="E275" s="12"/>
      <x:c r="F275" s="12" t="n">
        <x:f>'Покупки'!H34</x:f>
        <x:v>0.00011270722618131938</x:v>
      </x:c>
      <x:c r="G275" s="14" t="str">
        <x:f>IF(I275="Есть цена",IF(AND(ISNUMBER(E275),E275&gt;0,F275&gt;0),E275/F275-1,NA()),"")</x:f>
      </x:c>
      <x:c r="H275" s="14" t="str">
        <x:f>IF(AND(I275="Есть цена",I268="Есть цена"),IF(AND(E275&gt;0,E268&gt;0),E275/E268-1,NA()),"")</x:f>
      </x:c>
      <x:c r="I275" s="2" t="str">
        <x:v>RPC: данные не загружены</x:v>
      </x:c>
      <x:c r="J275" s="2"/>
      <x:c r="K275" s="9"/>
      <x:c r="L275" s="2"/>
      <x:c r="M275" s="2"/>
      <x:c r="N275" s="2"/>
      <x:c r="O275" s="2"/>
      <x:c r="P275" s="2" t="str">
        <x:v>not_cached:getSignaturesForAddress:history/bc3bb8936fcd2749e83119c7</x:v>
      </x:c>
      <x:c r="Q275" s="2" t="str"/>
      <x:c r="R275" s="14" t="str">
        <x:f>IF(AND(C275="Нулевой остаток",I275="Есть цена"),G275,"")</x:f>
      </x:c>
      <x:c r="S275" s="14" t="str">
        <x:f>IF(AND(C275="Докупка",I275="Есть цена"),G275,"")</x:f>
      </x:c>
    </x:row>
    <x:row r="276" ht="21" customHeight="1">
      <x:c r="A276" s="2" t="n">
        <x:v>27</x:v>
      </x:c>
      <x:c r="B276" s="2" t="n">
        <x:v>21600</x:v>
      </x:c>
      <x:c r="C276" s="2" t="str">
        <x:f>'Покупки'!C34</x:f>
        <x:v>Нулевой остаток</x:v>
      </x:c>
      <x:c r="D276" s="9" t="n">
        <x:v>46282.356203703705</x:v>
      </x:c>
      <x:c r="E276" s="12"/>
      <x:c r="F276" s="12" t="n">
        <x:f>'Покупки'!H34</x:f>
        <x:v>0.00011270722618131938</x:v>
      </x:c>
      <x:c r="G276" s="14" t="str">
        <x:f>IF(I276="Есть цена",IF(AND(ISNUMBER(E276),E276&gt;0,F276&gt;0),E276/F276-1,NA()),"")</x:f>
      </x:c>
      <x:c r="H276" s="14" t="str">
        <x:f>IF(AND(I276="Есть цена",I268="Есть цена"),IF(AND(E276&gt;0,E268&gt;0),E276/E268-1,NA()),"")</x:f>
      </x:c>
      <x:c r="I276" s="2" t="str">
        <x:v>RPC: данные не загружены</x:v>
      </x:c>
      <x:c r="J276" s="2"/>
      <x:c r="K276" s="9"/>
      <x:c r="L276" s="2"/>
      <x:c r="M276" s="2"/>
      <x:c r="N276" s="2"/>
      <x:c r="O276" s="2"/>
      <x:c r="P276" s="2" t="str">
        <x:v>not_cached:getSignaturesForAddress:history/9be06f8f81e4c7d632be610a</x:v>
      </x:c>
      <x:c r="Q276" s="2" t="str"/>
      <x:c r="R276" s="14" t="str">
        <x:f>IF(AND(C276="Нулевой остаток",I276="Есть цена"),G276,"")</x:f>
      </x:c>
      <x:c r="S276" s="14" t="str">
        <x:f>IF(AND(C276="Докупка",I276="Есть цена"),G276,"")</x:f>
      </x:c>
    </x:row>
    <x:row r="277" ht="21" customHeight="1">
      <x:c r="A277" s="2" t="n">
        <x:v>27</x:v>
      </x:c>
      <x:c r="B277" s="2" t="n">
        <x:v>86400</x:v>
      </x:c>
      <x:c r="C277" s="2" t="str">
        <x:f>'Покупки'!C34</x:f>
        <x:v>Нулевой остаток</x:v>
      </x:c>
      <x:c r="D277" s="9" t="n">
        <x:v>46283.106203703705</x:v>
      </x:c>
      <x:c r="E277" s="12"/>
      <x:c r="F277" s="12" t="n">
        <x:f>'Покупки'!H34</x:f>
        <x:v>0.00011270722618131938</x:v>
      </x:c>
      <x:c r="G277" s="14" t="str">
        <x:f>IF(I277="Есть цена",IF(AND(ISNUMBER(E277),E277&gt;0,F277&gt;0),E277/F277-1,NA()),"")</x:f>
      </x:c>
      <x:c r="H277" s="14" t="str">
        <x:f>IF(AND(I277="Есть цена",I268="Есть цена"),IF(AND(E277&gt;0,E268&gt;0),E277/E268-1,NA()),"")</x:f>
      </x:c>
      <x:c r="I277" s="2" t="str">
        <x:v>Ещё рано</x:v>
      </x:c>
      <x:c r="J277" s="2"/>
      <x:c r="K277" s="9"/>
      <x:c r="L277" s="2"/>
      <x:c r="M277" s="2"/>
      <x:c r="N277" s="2"/>
      <x:c r="O277" s="2"/>
      <x:c r="P277" s="2" t="str">
        <x:v>future</x:v>
      </x:c>
      <x:c r="Q277" s="2" t="str"/>
      <x:c r="R277" s="14" t="str">
        <x:f>IF(AND(C277="Нулевой остаток",I277="Есть цена"),G277,"")</x:f>
      </x:c>
      <x:c r="S277" s="14" t="str">
        <x:f>IF(AND(C277="Докупка",I277="Есть цена"),G277,"")</x:f>
      </x:c>
    </x:row>
    <x:row r="278" ht="21" customHeight="1">
      <x:c r="A278" s="2" t="n">
        <x:v>28</x:v>
      </x:c>
      <x:c r="B278" s="2" t="n">
        <x:v>5</x:v>
      </x:c>
      <x:c r="C278" s="2" t="str">
        <x:f>'Покупки'!C35</x:f>
        <x:v>Докупка</x:v>
      </x:c>
      <x:c r="D278" s="9" t="n">
        <x:v>46282.05966435185</x:v>
      </x:c>
      <x:c r="E278" s="12"/>
      <x:c r="F278" s="12" t="n">
        <x:f>'Покупки'!H35</x:f>
        <x:v>0.21469271751551075</x:v>
      </x:c>
      <x:c r="G278" s="14" t="str">
        <x:f>IF(I278="Есть цена",IF(AND(ISNUMBER(E278),E278&gt;0,F278&gt;0),E278/F278-1,NA()),"")</x:f>
      </x:c>
      <x:c r="H278" s="14" t="str">
        <x:f>IF(AND(I278="Есть цена",I278="Есть цена"),IF(AND(E278&gt;0,E278&gt;0),E278/E278-1,NA()),"")</x:f>
      </x:c>
      <x:c r="I278" s="2" t="str">
        <x:v>RPC: данные не загружены</x:v>
      </x:c>
      <x:c r="J278" s="2"/>
      <x:c r="K278" s="9"/>
      <x:c r="L278" s="2"/>
      <x:c r="M278" s="2"/>
      <x:c r="N278" s="2"/>
      <x:c r="O278" s="2"/>
      <x:c r="P278" s="2" t="str">
        <x:v>not_cached:getSignaturesForAddress:history/00397d051ee76161d4ecd064</x:v>
      </x:c>
      <x:c r="Q278" s="2" t="str"/>
      <x:c r="R278" s="14" t="str">
        <x:f>IF(AND(C278="Нулевой остаток",I278="Есть цена"),G278,"")</x:f>
      </x:c>
      <x:c r="S278" s="14" t="str">
        <x:f>IF(AND(C278="Докупка",I278="Есть цена"),G278,"")</x:f>
      </x:c>
    </x:row>
    <x:row r="279" ht="21" customHeight="1">
      <x:c r="A279" s="2" t="n">
        <x:v>28</x:v>
      </x:c>
      <x:c r="B279" s="2" t="n">
        <x:v>15</x:v>
      </x:c>
      <x:c r="C279" s="2" t="str">
        <x:f>'Покупки'!C35</x:f>
        <x:v>Докупка</x:v>
      </x:c>
      <x:c r="D279" s="9" t="n">
        <x:v>46282.05978009259</x:v>
      </x:c>
      <x:c r="E279" s="12"/>
      <x:c r="F279" s="12" t="n">
        <x:f>'Покупки'!H35</x:f>
        <x:v>0.21469271751551075</x:v>
      </x:c>
      <x:c r="G279" s="14" t="str">
        <x:f>IF(I279="Есть цена",IF(AND(ISNUMBER(E279),E279&gt;0,F279&gt;0),E279/F279-1,NA()),"")</x:f>
      </x:c>
      <x:c r="H279" s="14" t="str">
        <x:f>IF(AND(I279="Есть цена",I278="Есть цена"),IF(AND(E279&gt;0,E278&gt;0),E279/E278-1,NA()),"")</x:f>
      </x:c>
      <x:c r="I279" s="2" t="str">
        <x:v>RPC: данные не загружены</x:v>
      </x:c>
      <x:c r="J279" s="2"/>
      <x:c r="K279" s="9"/>
      <x:c r="L279" s="2"/>
      <x:c r="M279" s="2"/>
      <x:c r="N279" s="2"/>
      <x:c r="O279" s="2"/>
      <x:c r="P279" s="2" t="str">
        <x:v>not_cached:getSignaturesForAddress:history/00397d051ee76161d4ecd064</x:v>
      </x:c>
      <x:c r="Q279" s="2" t="str"/>
      <x:c r="R279" s="14" t="str">
        <x:f>IF(AND(C279="Нулевой остаток",I279="Есть цена"),G279,"")</x:f>
      </x:c>
      <x:c r="S279" s="14" t="str">
        <x:f>IF(AND(C279="Докупка",I279="Есть цена"),G279,"")</x:f>
      </x:c>
    </x:row>
    <x:row r="280" ht="21" customHeight="1">
      <x:c r="A280" s="2" t="n">
        <x:v>28</x:v>
      </x:c>
      <x:c r="B280" s="2" t="n">
        <x:v>30</x:v>
      </x:c>
      <x:c r="C280" s="2" t="str">
        <x:f>'Покупки'!C35</x:f>
        <x:v>Докупка</x:v>
      </x:c>
      <x:c r="D280" s="9" t="n">
        <x:v>46282.059953703705</x:v>
      </x:c>
      <x:c r="E280" s="12"/>
      <x:c r="F280" s="12" t="n">
        <x:f>'Покупки'!H35</x:f>
        <x:v>0.21469271751551075</x:v>
      </x:c>
      <x:c r="G280" s="14" t="str">
        <x:f>IF(I280="Есть цена",IF(AND(ISNUMBER(E280),E280&gt;0,F280&gt;0),E280/F280-1,NA()),"")</x:f>
      </x:c>
      <x:c r="H280" s="14" t="str">
        <x:f>IF(AND(I280="Есть цена",I278="Есть цена"),IF(AND(E280&gt;0,E278&gt;0),E280/E278-1,NA()),"")</x:f>
      </x:c>
      <x:c r="I280" s="2" t="str">
        <x:v>RPC: данные не загружены</x:v>
      </x:c>
      <x:c r="J280" s="2"/>
      <x:c r="K280" s="9"/>
      <x:c r="L280" s="2"/>
      <x:c r="M280" s="2"/>
      <x:c r="N280" s="2"/>
      <x:c r="O280" s="2"/>
      <x:c r="P280" s="2" t="str">
        <x:v>not_cached:getSignaturesForAddress:history/00397d051ee76161d4ecd064</x:v>
      </x:c>
      <x:c r="Q280" s="2" t="str"/>
      <x:c r="R280" s="14" t="str">
        <x:f>IF(AND(C280="Нулевой остаток",I280="Есть цена"),G280,"")</x:f>
      </x:c>
      <x:c r="S280" s="14" t="str">
        <x:f>IF(AND(C280="Докупка",I280="Есть цена"),G280,"")</x:f>
      </x:c>
    </x:row>
    <x:row r="281" ht="21" customHeight="1">
      <x:c r="A281" s="2" t="n">
        <x:v>28</x:v>
      </x:c>
      <x:c r="B281" s="2" t="n">
        <x:v>60</x:v>
      </x:c>
      <x:c r="C281" s="2" t="str">
        <x:f>'Покупки'!C35</x:f>
        <x:v>Докупка</x:v>
      </x:c>
      <x:c r="D281" s="9" t="n">
        <x:v>46282.06030092593</x:v>
      </x:c>
      <x:c r="E281" s="12"/>
      <x:c r="F281" s="12" t="n">
        <x:f>'Покупки'!H35</x:f>
        <x:v>0.21469271751551075</x:v>
      </x:c>
      <x:c r="G281" s="14" t="str">
        <x:f>IF(I281="Есть цена",IF(AND(ISNUMBER(E281),E281&gt;0,F281&gt;0),E281/F281-1,NA()),"")</x:f>
      </x:c>
      <x:c r="H281" s="14" t="str">
        <x:f>IF(AND(I281="Есть цена",I278="Есть цена"),IF(AND(E281&gt;0,E278&gt;0),E281/E278-1,NA()),"")</x:f>
      </x:c>
      <x:c r="I281" s="2" t="str">
        <x:v>RPC: данные не загружены</x:v>
      </x:c>
      <x:c r="J281" s="2"/>
      <x:c r="K281" s="9"/>
      <x:c r="L281" s="2"/>
      <x:c r="M281" s="2"/>
      <x:c r="N281" s="2"/>
      <x:c r="O281" s="2"/>
      <x:c r="P281" s="2" t="str">
        <x:v>not_cached:getSignaturesForAddress:history/00397d051ee76161d4ecd064</x:v>
      </x:c>
      <x:c r="Q281" s="2" t="str"/>
      <x:c r="R281" s="14" t="str">
        <x:f>IF(AND(C281="Нулевой остаток",I281="Есть цена"),G281,"")</x:f>
      </x:c>
      <x:c r="S281" s="14" t="str">
        <x:f>IF(AND(C281="Докупка",I281="Есть цена"),G281,"")</x:f>
      </x:c>
    </x:row>
    <x:row r="282" ht="21" customHeight="1">
      <x:c r="A282" s="2" t="n">
        <x:v>28</x:v>
      </x:c>
      <x:c r="B282" s="2" t="n">
        <x:v>180</x:v>
      </x:c>
      <x:c r="C282" s="2" t="str">
        <x:f>'Покупки'!C35</x:f>
        <x:v>Докупка</x:v>
      </x:c>
      <x:c r="D282" s="9" t="n">
        <x:v>46282.061689814815</x:v>
      </x:c>
      <x:c r="E282" s="12"/>
      <x:c r="F282" s="12" t="n">
        <x:f>'Покупки'!H35</x:f>
        <x:v>0.21469271751551075</x:v>
      </x:c>
      <x:c r="G282" s="14" t="str">
        <x:f>IF(I282="Есть цена",IF(AND(ISNUMBER(E282),E282&gt;0,F282&gt;0),E282/F282-1,NA()),"")</x:f>
      </x:c>
      <x:c r="H282" s="14" t="str">
        <x:f>IF(AND(I282="Есть цена",I278="Есть цена"),IF(AND(E282&gt;0,E278&gt;0),E282/E278-1,NA()),"")</x:f>
      </x:c>
      <x:c r="I282" s="2" t="str">
        <x:v>RPC: данные не загружены</x:v>
      </x:c>
      <x:c r="J282" s="2"/>
      <x:c r="K282" s="9"/>
      <x:c r="L282" s="2"/>
      <x:c r="M282" s="2"/>
      <x:c r="N282" s="2"/>
      <x:c r="O282" s="2"/>
      <x:c r="P282" s="2" t="str">
        <x:v>not_cached:getSignaturesForAddress:history/00397d051ee76161d4ecd064</x:v>
      </x:c>
      <x:c r="Q282" s="2" t="str"/>
      <x:c r="R282" s="14" t="str">
        <x:f>IF(AND(C282="Нулевой остаток",I282="Есть цена"),G282,"")</x:f>
      </x:c>
      <x:c r="S282" s="14" t="str">
        <x:f>IF(AND(C282="Докупка",I282="Есть цена"),G282,"")</x:f>
      </x:c>
    </x:row>
    <x:row r="283" ht="21" customHeight="1">
      <x:c r="A283" s="2" t="n">
        <x:v>28</x:v>
      </x:c>
      <x:c r="B283" s="2" t="n">
        <x:v>300</x:v>
      </x:c>
      <x:c r="C283" s="2" t="str">
        <x:f>'Покупки'!C35</x:f>
        <x:v>Докупка</x:v>
      </x:c>
      <x:c r="D283" s="9" t="n">
        <x:v>46282.0630787037</x:v>
      </x:c>
      <x:c r="E283" s="12"/>
      <x:c r="F283" s="12" t="n">
        <x:f>'Покупки'!H35</x:f>
        <x:v>0.21469271751551075</x:v>
      </x:c>
      <x:c r="G283" s="14" t="str">
        <x:f>IF(I283="Есть цена",IF(AND(ISNUMBER(E283),E283&gt;0,F283&gt;0),E283/F283-1,NA()),"")</x:f>
      </x:c>
      <x:c r="H283" s="14" t="str">
        <x:f>IF(AND(I283="Есть цена",I278="Есть цена"),IF(AND(E283&gt;0,E278&gt;0),E283/E278-1,NA()),"")</x:f>
      </x:c>
      <x:c r="I283" s="2" t="str">
        <x:v>RPC: данные не загружены</x:v>
      </x:c>
      <x:c r="J283" s="2"/>
      <x:c r="K283" s="9"/>
      <x:c r="L283" s="2"/>
      <x:c r="M283" s="2"/>
      <x:c r="N283" s="2"/>
      <x:c r="O283" s="2"/>
      <x:c r="P283" s="2" t="str">
        <x:v>not_cached:getSignaturesForAddress:history/00397d051ee76161d4ecd064</x:v>
      </x:c>
      <x:c r="Q283" s="2" t="str"/>
      <x:c r="R283" s="14" t="str">
        <x:f>IF(AND(C283="Нулевой остаток",I283="Есть цена"),G283,"")</x:f>
      </x:c>
      <x:c r="S283" s="14" t="str">
        <x:f>IF(AND(C283="Докупка",I283="Есть цена"),G283,"")</x:f>
      </x:c>
    </x:row>
    <x:row r="284" ht="21" customHeight="1">
      <x:c r="A284" s="2" t="n">
        <x:v>28</x:v>
      </x:c>
      <x:c r="B284" s="2" t="n">
        <x:v>900</x:v>
      </x:c>
      <x:c r="C284" s="2" t="str">
        <x:f>'Покупки'!C35</x:f>
        <x:v>Докупка</x:v>
      </x:c>
      <x:c r="D284" s="9" t="n">
        <x:v>46282.070023148146</x:v>
      </x:c>
      <x:c r="E284" s="12"/>
      <x:c r="F284" s="12" t="n">
        <x:f>'Покупки'!H35</x:f>
        <x:v>0.21469271751551075</x:v>
      </x:c>
      <x:c r="G284" s="14" t="str">
        <x:f>IF(I284="Есть цена",IF(AND(ISNUMBER(E284),E284&gt;0,F284&gt;0),E284/F284-1,NA()),"")</x:f>
      </x:c>
      <x:c r="H284" s="14" t="str">
        <x:f>IF(AND(I284="Есть цена",I278="Есть цена"),IF(AND(E284&gt;0,E278&gt;0),E284/E278-1,NA()),"")</x:f>
      </x:c>
      <x:c r="I284" s="2" t="str">
        <x:v>RPC: данные не загружены</x:v>
      </x:c>
      <x:c r="J284" s="2"/>
      <x:c r="K284" s="9"/>
      <x:c r="L284" s="2"/>
      <x:c r="M284" s="2"/>
      <x:c r="N284" s="2"/>
      <x:c r="O284" s="2"/>
      <x:c r="P284" s="2" t="str">
        <x:v>not_cached:getSignaturesForAddress:history/fbb101ef96a177e04577961c</x:v>
      </x:c>
      <x:c r="Q284" s="2" t="str"/>
      <x:c r="R284" s="14" t="str">
        <x:f>IF(AND(C284="Нулевой остаток",I284="Есть цена"),G284,"")</x:f>
      </x:c>
      <x:c r="S284" s="14" t="str">
        <x:f>IF(AND(C284="Докупка",I284="Есть цена"),G284,"")</x:f>
      </x:c>
    </x:row>
    <x:row r="285" ht="21" customHeight="1">
      <x:c r="A285" s="2" t="n">
        <x:v>28</x:v>
      </x:c>
      <x:c r="B285" s="2" t="n">
        <x:v>3600</x:v>
      </x:c>
      <x:c r="C285" s="2" t="str">
        <x:f>'Покупки'!C35</x:f>
        <x:v>Докупка</x:v>
      </x:c>
      <x:c r="D285" s="9" t="n">
        <x:v>46282.101273148146</x:v>
      </x:c>
      <x:c r="E285" s="12"/>
      <x:c r="F285" s="12" t="n">
        <x:f>'Покупки'!H35</x:f>
        <x:v>0.21469271751551075</x:v>
      </x:c>
      <x:c r="G285" s="14" t="str">
        <x:f>IF(I285="Есть цена",IF(AND(ISNUMBER(E285),E285&gt;0,F285&gt;0),E285/F285-1,NA()),"")</x:f>
      </x:c>
      <x:c r="H285" s="14" t="str">
        <x:f>IF(AND(I285="Есть цена",I278="Есть цена"),IF(AND(E285&gt;0,E278&gt;0),E285/E278-1,NA()),"")</x:f>
      </x:c>
      <x:c r="I285" s="2" t="str">
        <x:v>RPC: данные не загружены</x:v>
      </x:c>
      <x:c r="J285" s="2"/>
      <x:c r="K285" s="9"/>
      <x:c r="L285" s="2"/>
      <x:c r="M285" s="2"/>
      <x:c r="N285" s="2"/>
      <x:c r="O285" s="2"/>
      <x:c r="P285" s="2" t="str">
        <x:v>not_cached:getSignaturesForAddress:history/ce805efebd33e8ff6bec0df5</x:v>
      </x:c>
      <x:c r="Q285" s="2" t="str"/>
      <x:c r="R285" s="14" t="str">
        <x:f>IF(AND(C285="Нулевой остаток",I285="Есть цена"),G285,"")</x:f>
      </x:c>
      <x:c r="S285" s="14" t="str">
        <x:f>IF(AND(C285="Докупка",I285="Есть цена"),G285,"")</x:f>
      </x:c>
    </x:row>
    <x:row r="286" ht="21" customHeight="1">
      <x:c r="A286" s="2" t="n">
        <x:v>28</x:v>
      </x:c>
      <x:c r="B286" s="2" t="n">
        <x:v>21600</x:v>
      </x:c>
      <x:c r="C286" s="2" t="str">
        <x:f>'Покупки'!C35</x:f>
        <x:v>Докупка</x:v>
      </x:c>
      <x:c r="D286" s="9" t="n">
        <x:v>46282.30960648148</x:v>
      </x:c>
      <x:c r="E286" s="12"/>
      <x:c r="F286" s="12" t="n">
        <x:f>'Покупки'!H35</x:f>
        <x:v>0.21469271751551075</x:v>
      </x:c>
      <x:c r="G286" s="14" t="str">
        <x:f>IF(I286="Есть цена",IF(AND(ISNUMBER(E286),E286&gt;0,F286&gt;0),E286/F286-1,NA()),"")</x:f>
      </x:c>
      <x:c r="H286" s="14" t="str">
        <x:f>IF(AND(I286="Есть цена",I278="Есть цена"),IF(AND(E286&gt;0,E278&gt;0),E286/E278-1,NA()),"")</x:f>
      </x:c>
      <x:c r="I286" s="2" t="str">
        <x:v>RPC: данные не загружены</x:v>
      </x:c>
      <x:c r="J286" s="2"/>
      <x:c r="K286" s="9"/>
      <x:c r="L286" s="2"/>
      <x:c r="M286" s="2"/>
      <x:c r="N286" s="2"/>
      <x:c r="O286" s="2"/>
      <x:c r="P286" s="2" t="str">
        <x:v>not_cached:getSignaturesForAddress:history/37d34306dc8303cc4fefc548</x:v>
      </x:c>
      <x:c r="Q286" s="2" t="str"/>
      <x:c r="R286" s="14" t="str">
        <x:f>IF(AND(C286="Нулевой остаток",I286="Есть цена"),G286,"")</x:f>
      </x:c>
      <x:c r="S286" s="14" t="str">
        <x:f>IF(AND(C286="Докупка",I286="Есть цена"),G286,"")</x:f>
      </x:c>
    </x:row>
    <x:row r="287" ht="21" customHeight="1">
      <x:c r="A287" s="2" t="n">
        <x:v>28</x:v>
      </x:c>
      <x:c r="B287" s="2" t="n">
        <x:v>86400</x:v>
      </x:c>
      <x:c r="C287" s="2" t="str">
        <x:f>'Покупки'!C35</x:f>
        <x:v>Докупка</x:v>
      </x:c>
      <x:c r="D287" s="9" t="n">
        <x:v>46283.05960648148</x:v>
      </x:c>
      <x:c r="E287" s="12"/>
      <x:c r="F287" s="12" t="n">
        <x:f>'Покупки'!H35</x:f>
        <x:v>0.21469271751551075</x:v>
      </x:c>
      <x:c r="G287" s="14" t="str">
        <x:f>IF(I287="Есть цена",IF(AND(ISNUMBER(E287),E287&gt;0,F287&gt;0),E287/F287-1,NA()),"")</x:f>
      </x:c>
      <x:c r="H287" s="14" t="str">
        <x:f>IF(AND(I287="Есть цена",I278="Есть цена"),IF(AND(E287&gt;0,E278&gt;0),E287/E278-1,NA()),"")</x:f>
      </x:c>
      <x:c r="I287" s="2" t="str">
        <x:v>Ещё рано</x:v>
      </x:c>
      <x:c r="J287" s="2"/>
      <x:c r="K287" s="9"/>
      <x:c r="L287" s="2"/>
      <x:c r="M287" s="2"/>
      <x:c r="N287" s="2"/>
      <x:c r="O287" s="2"/>
      <x:c r="P287" s="2" t="str">
        <x:v>future</x:v>
      </x:c>
      <x:c r="Q287" s="2" t="str"/>
      <x:c r="R287" s="14" t="str">
        <x:f>IF(AND(C287="Нулевой остаток",I287="Есть цена"),G287,"")</x:f>
      </x:c>
      <x:c r="S287" s="14" t="str">
        <x:f>IF(AND(C287="Докупка",I287="Есть цена"),G287,"")</x:f>
      </x:c>
    </x:row>
    <x:row r="288" ht="21" customHeight="1">
      <x:c r="A288" s="2" t="n">
        <x:v>29</x:v>
      </x:c>
      <x:c r="B288" s="2" t="n">
        <x:v>5</x:v>
      </x:c>
      <x:c r="C288" s="2" t="str">
        <x:f>'Покупки'!C36</x:f>
        <x:v>Нулевой остаток</x:v>
      </x:c>
      <x:c r="D288" s="9" t="n">
        <x:v>46282.0591087963</x:v>
      </x:c>
      <x:c r="E288" s="12"/>
      <x:c r="F288" s="12" t="n">
        <x:f>'Покупки'!H36</x:f>
        <x:v>0.00007418342630879635</x:v>
      </x:c>
      <x:c r="G288" s="14" t="str">
        <x:f>IF(I288="Есть цена",IF(AND(ISNUMBER(E288),E288&gt;0,F288&gt;0),E288/F288-1,NA()),"")</x:f>
      </x:c>
      <x:c r="H288" s="14" t="str">
        <x:f>IF(AND(I288="Есть цена",I288="Есть цена"),IF(AND(E288&gt;0,E288&gt;0),E288/E288-1,NA()),"")</x:f>
      </x:c>
      <x:c r="I288" s="2" t="str">
        <x:v>RPC: данные не загружены</x:v>
      </x:c>
      <x:c r="J288" s="2"/>
      <x:c r="K288" s="9"/>
      <x:c r="L288" s="2"/>
      <x:c r="M288" s="2"/>
      <x:c r="N288" s="2"/>
      <x:c r="O288" s="2"/>
      <x:c r="P288" s="2" t="str">
        <x:v>not_cached:getSignaturesForAddress:history/6e4bbcbf2889b6bab856446d</x:v>
      </x:c>
      <x:c r="Q288" s="2" t="str"/>
      <x:c r="R288" s="14" t="str">
        <x:f>IF(AND(C288="Нулевой остаток",I288="Есть цена"),G288,"")</x:f>
      </x:c>
      <x:c r="S288" s="14" t="str">
        <x:f>IF(AND(C288="Докупка",I288="Есть цена"),G288,"")</x:f>
      </x:c>
    </x:row>
    <x:row r="289" ht="21" customHeight="1">
      <x:c r="A289" s="2" t="n">
        <x:v>29</x:v>
      </x:c>
      <x:c r="B289" s="2" t="n">
        <x:v>15</x:v>
      </x:c>
      <x:c r="C289" s="2" t="str">
        <x:f>'Покупки'!C36</x:f>
        <x:v>Нулевой остаток</x:v>
      </x:c>
      <x:c r="D289" s="9" t="n">
        <x:v>46282.059224537035</x:v>
      </x:c>
      <x:c r="E289" s="12"/>
      <x:c r="F289" s="12" t="n">
        <x:f>'Покупки'!H36</x:f>
        <x:v>0.00007418342630879635</x:v>
      </x:c>
      <x:c r="G289" s="14" t="str">
        <x:f>IF(I289="Есть цена",IF(AND(ISNUMBER(E289),E289&gt;0,F289&gt;0),E289/F289-1,NA()),"")</x:f>
      </x:c>
      <x:c r="H289" s="14" t="str">
        <x:f>IF(AND(I289="Есть цена",I288="Есть цена"),IF(AND(E289&gt;0,E288&gt;0),E289/E288-1,NA()),"")</x:f>
      </x:c>
      <x:c r="I289" s="2" t="str">
        <x:v>RPC: данные не загружены</x:v>
      </x:c>
      <x:c r="J289" s="2"/>
      <x:c r="K289" s="9"/>
      <x:c r="L289" s="2"/>
      <x:c r="M289" s="2"/>
      <x:c r="N289" s="2"/>
      <x:c r="O289" s="2"/>
      <x:c r="P289" s="2" t="str">
        <x:v>not_cached:getSignaturesForAddress:history/6e4bbcbf2889b6bab856446d</x:v>
      </x:c>
      <x:c r="Q289" s="2" t="str"/>
      <x:c r="R289" s="14" t="str">
        <x:f>IF(AND(C289="Нулевой остаток",I289="Есть цена"),G289,"")</x:f>
      </x:c>
      <x:c r="S289" s="14" t="str">
        <x:f>IF(AND(C289="Докупка",I289="Есть цена"),G289,"")</x:f>
      </x:c>
    </x:row>
    <x:row r="290" ht="21" customHeight="1">
      <x:c r="A290" s="2" t="n">
        <x:v>29</x:v>
      </x:c>
      <x:c r="B290" s="2" t="n">
        <x:v>30</x:v>
      </x:c>
      <x:c r="C290" s="2" t="str">
        <x:f>'Покупки'!C36</x:f>
        <x:v>Нулевой остаток</x:v>
      </x:c>
      <x:c r="D290" s="9" t="n">
        <x:v>46282.05939814815</x:v>
      </x:c>
      <x:c r="E290" s="12"/>
      <x:c r="F290" s="12" t="n">
        <x:f>'Покупки'!H36</x:f>
        <x:v>0.00007418342630879635</x:v>
      </x:c>
      <x:c r="G290" s="14" t="str">
        <x:f>IF(I290="Есть цена",IF(AND(ISNUMBER(E290),E290&gt;0,F290&gt;0),E290/F290-1,NA()),"")</x:f>
      </x:c>
      <x:c r="H290" s="14" t="str">
        <x:f>IF(AND(I290="Есть цена",I288="Есть цена"),IF(AND(E290&gt;0,E288&gt;0),E290/E288-1,NA()),"")</x:f>
      </x:c>
      <x:c r="I290" s="2" t="str">
        <x:v>RPC: данные не загружены</x:v>
      </x:c>
      <x:c r="J290" s="2"/>
      <x:c r="K290" s="9"/>
      <x:c r="L290" s="2"/>
      <x:c r="M290" s="2"/>
      <x:c r="N290" s="2"/>
      <x:c r="O290" s="2"/>
      <x:c r="P290" s="2" t="str">
        <x:v>not_cached:getSignaturesForAddress:history/6e4bbcbf2889b6bab856446d</x:v>
      </x:c>
      <x:c r="Q290" s="2" t="str"/>
      <x:c r="R290" s="14" t="str">
        <x:f>IF(AND(C290="Нулевой остаток",I290="Есть цена"),G290,"")</x:f>
      </x:c>
      <x:c r="S290" s="14" t="str">
        <x:f>IF(AND(C290="Докупка",I290="Есть цена"),G290,"")</x:f>
      </x:c>
    </x:row>
    <x:row r="291" ht="21" customHeight="1">
      <x:c r="A291" s="2" t="n">
        <x:v>29</x:v>
      </x:c>
      <x:c r="B291" s="2" t="n">
        <x:v>60</x:v>
      </x:c>
      <x:c r="C291" s="2" t="str">
        <x:f>'Покупки'!C36</x:f>
        <x:v>Нулевой остаток</x:v>
      </x:c>
      <x:c r="D291" s="9" t="n">
        <x:v>46282.059745370374</x:v>
      </x:c>
      <x:c r="E291" s="12"/>
      <x:c r="F291" s="12" t="n">
        <x:f>'Покупки'!H36</x:f>
        <x:v>0.00007418342630879635</x:v>
      </x:c>
      <x:c r="G291" s="14" t="str">
        <x:f>IF(I291="Есть цена",IF(AND(ISNUMBER(E291),E291&gt;0,F291&gt;0),E291/F291-1,NA()),"")</x:f>
      </x:c>
      <x:c r="H291" s="14" t="str">
        <x:f>IF(AND(I291="Есть цена",I288="Есть цена"),IF(AND(E291&gt;0,E288&gt;0),E291/E288-1,NA()),"")</x:f>
      </x:c>
      <x:c r="I291" s="2" t="str">
        <x:v>RPC: данные не загружены</x:v>
      </x:c>
      <x:c r="J291" s="2"/>
      <x:c r="K291" s="9"/>
      <x:c r="L291" s="2"/>
      <x:c r="M291" s="2"/>
      <x:c r="N291" s="2"/>
      <x:c r="O291" s="2"/>
      <x:c r="P291" s="2" t="str">
        <x:v>not_cached:getSignaturesForAddress:history/df9b38762a1d42788609cc5e</x:v>
      </x:c>
      <x:c r="Q291" s="2" t="str"/>
      <x:c r="R291" s="14" t="str">
        <x:f>IF(AND(C291="Нулевой остаток",I291="Есть цена"),G291,"")</x:f>
      </x:c>
      <x:c r="S291" s="14" t="str">
        <x:f>IF(AND(C291="Докупка",I291="Есть цена"),G291,"")</x:f>
      </x:c>
    </x:row>
    <x:row r="292" ht="21" customHeight="1">
      <x:c r="A292" s="2" t="n">
        <x:v>29</x:v>
      </x:c>
      <x:c r="B292" s="2" t="n">
        <x:v>180</x:v>
      </x:c>
      <x:c r="C292" s="2" t="str">
        <x:f>'Покупки'!C36</x:f>
        <x:v>Нулевой остаток</x:v>
      </x:c>
      <x:c r="D292" s="9" t="n">
        <x:v>46282.06113425926</x:v>
      </x:c>
      <x:c r="E292" s="12"/>
      <x:c r="F292" s="12" t="n">
        <x:f>'Покупки'!H36</x:f>
        <x:v>0.00007418342630879635</x:v>
      </x:c>
      <x:c r="G292" s="14" t="str">
        <x:f>IF(I292="Есть цена",IF(AND(ISNUMBER(E292),E292&gt;0,F292&gt;0),E292/F292-1,NA()),"")</x:f>
      </x:c>
      <x:c r="H292" s="14" t="str">
        <x:f>IF(AND(I292="Есть цена",I288="Есть цена"),IF(AND(E292&gt;0,E288&gt;0),E292/E288-1,NA()),"")</x:f>
      </x:c>
      <x:c r="I292" s="2" t="str">
        <x:v>RPC: данные не загружены</x:v>
      </x:c>
      <x:c r="J292" s="2"/>
      <x:c r="K292" s="9"/>
      <x:c r="L292" s="2"/>
      <x:c r="M292" s="2"/>
      <x:c r="N292" s="2"/>
      <x:c r="O292" s="2"/>
      <x:c r="P292" s="2" t="str">
        <x:v>not_cached:getSignaturesForAddress:history/df9b38762a1d42788609cc5e</x:v>
      </x:c>
      <x:c r="Q292" s="2" t="str"/>
      <x:c r="R292" s="14" t="str">
        <x:f>IF(AND(C292="Нулевой остаток",I292="Есть цена"),G292,"")</x:f>
      </x:c>
      <x:c r="S292" s="14" t="str">
        <x:f>IF(AND(C292="Докупка",I292="Есть цена"),G292,"")</x:f>
      </x:c>
    </x:row>
    <x:row r="293" ht="21" customHeight="1">
      <x:c r="A293" s="2" t="n">
        <x:v>29</x:v>
      </x:c>
      <x:c r="B293" s="2" t="n">
        <x:v>300</x:v>
      </x:c>
      <x:c r="C293" s="2" t="str">
        <x:f>'Покупки'!C36</x:f>
        <x:v>Нулевой остаток</x:v>
      </x:c>
      <x:c r="D293" s="9" t="n">
        <x:v>46282.062523148146</x:v>
      </x:c>
      <x:c r="E293" s="12"/>
      <x:c r="F293" s="12" t="n">
        <x:f>'Покупки'!H36</x:f>
        <x:v>0.00007418342630879635</x:v>
      </x:c>
      <x:c r="G293" s="14" t="str">
        <x:f>IF(I293="Есть цена",IF(AND(ISNUMBER(E293),E293&gt;0,F293&gt;0),E293/F293-1,NA()),"")</x:f>
      </x:c>
      <x:c r="H293" s="14" t="str">
        <x:f>IF(AND(I293="Есть цена",I288="Есть цена"),IF(AND(E293&gt;0,E288&gt;0),E293/E288-1,NA()),"")</x:f>
      </x:c>
      <x:c r="I293" s="2" t="str">
        <x:v>RPC: данные не загружены</x:v>
      </x:c>
      <x:c r="J293" s="2"/>
      <x:c r="K293" s="9"/>
      <x:c r="L293" s="2"/>
      <x:c r="M293" s="2"/>
      <x:c r="N293" s="2"/>
      <x:c r="O293" s="2"/>
      <x:c r="P293" s="2" t="str">
        <x:v>not_cached:getSignaturesForAddress:history/df9b38762a1d42788609cc5e</x:v>
      </x:c>
      <x:c r="Q293" s="2" t="str"/>
      <x:c r="R293" s="14" t="str">
        <x:f>IF(AND(C293="Нулевой остаток",I293="Есть цена"),G293,"")</x:f>
      </x:c>
      <x:c r="S293" s="14" t="str">
        <x:f>IF(AND(C293="Докупка",I293="Есть цена"),G293,"")</x:f>
      </x:c>
    </x:row>
    <x:row r="294" ht="21" customHeight="1">
      <x:c r="A294" s="2" t="n">
        <x:v>29</x:v>
      </x:c>
      <x:c r="B294" s="2" t="n">
        <x:v>900</x:v>
      </x:c>
      <x:c r="C294" s="2" t="str">
        <x:f>'Покупки'!C36</x:f>
        <x:v>Нулевой остаток</x:v>
      </x:c>
      <x:c r="D294" s="9" t="n">
        <x:v>46282.06946759259</x:v>
      </x:c>
      <x:c r="E294" s="12"/>
      <x:c r="F294" s="12" t="n">
        <x:f>'Покупки'!H36</x:f>
        <x:v>0.00007418342630879635</x:v>
      </x:c>
      <x:c r="G294" s="14" t="str">
        <x:f>IF(I294="Есть цена",IF(AND(ISNUMBER(E294),E294&gt;0,F294&gt;0),E294/F294-1,NA()),"")</x:f>
      </x:c>
      <x:c r="H294" s="14" t="str">
        <x:f>IF(AND(I294="Есть цена",I288="Есть цена"),IF(AND(E294&gt;0,E288&gt;0),E294/E288-1,NA()),"")</x:f>
      </x:c>
      <x:c r="I294" s="2" t="str">
        <x:v>RPC: данные не загружены</x:v>
      </x:c>
      <x:c r="J294" s="2"/>
      <x:c r="K294" s="9"/>
      <x:c r="L294" s="2"/>
      <x:c r="M294" s="2"/>
      <x:c r="N294" s="2"/>
      <x:c r="O294" s="2"/>
      <x:c r="P294" s="2" t="str">
        <x:v>not_cached:getSignaturesForAddress:history/cf13d806be36bd41baa4440a</x:v>
      </x:c>
      <x:c r="Q294" s="2" t="str"/>
      <x:c r="R294" s="14" t="str">
        <x:f>IF(AND(C294="Нулевой остаток",I294="Есть цена"),G294,"")</x:f>
      </x:c>
      <x:c r="S294" s="14" t="str">
        <x:f>IF(AND(C294="Докупка",I294="Есть цена"),G294,"")</x:f>
      </x:c>
    </x:row>
    <x:row r="295" ht="21" customHeight="1">
      <x:c r="A295" s="2" t="n">
        <x:v>29</x:v>
      </x:c>
      <x:c r="B295" s="2" t="n">
        <x:v>3600</x:v>
      </x:c>
      <x:c r="C295" s="2" t="str">
        <x:f>'Покупки'!C36</x:f>
        <x:v>Нулевой остаток</x:v>
      </x:c>
      <x:c r="D295" s="9" t="n">
        <x:v>46282.10071759259</x:v>
      </x:c>
      <x:c r="E295" s="12"/>
      <x:c r="F295" s="12" t="n">
        <x:f>'Покупки'!H36</x:f>
        <x:v>0.00007418342630879635</x:v>
      </x:c>
      <x:c r="G295" s="14" t="str">
        <x:f>IF(I295="Есть цена",IF(AND(ISNUMBER(E295),E295&gt;0,F295&gt;0),E295/F295-1,NA()),"")</x:f>
      </x:c>
      <x:c r="H295" s="14" t="str">
        <x:f>IF(AND(I295="Есть цена",I288="Есть цена"),IF(AND(E295&gt;0,E288&gt;0),E295/E288-1,NA()),"")</x:f>
      </x:c>
      <x:c r="I295" s="2" t="str">
        <x:v>RPC: данные не загружены</x:v>
      </x:c>
      <x:c r="J295" s="2"/>
      <x:c r="K295" s="9"/>
      <x:c r="L295" s="2"/>
      <x:c r="M295" s="2"/>
      <x:c r="N295" s="2"/>
      <x:c r="O295" s="2"/>
      <x:c r="P295" s="2" t="str">
        <x:v>not_cached:getSignaturesForAddress:history/ffc5d5f96fb6a33fdf90a8dc</x:v>
      </x:c>
      <x:c r="Q295" s="2" t="str"/>
      <x:c r="R295" s="14" t="str">
        <x:f>IF(AND(C295="Нулевой остаток",I295="Есть цена"),G295,"")</x:f>
      </x:c>
      <x:c r="S295" s="14" t="str">
        <x:f>IF(AND(C295="Докупка",I295="Есть цена"),G295,"")</x:f>
      </x:c>
    </x:row>
    <x:row r="296" ht="21" customHeight="1">
      <x:c r="A296" s="2" t="n">
        <x:v>29</x:v>
      </x:c>
      <x:c r="B296" s="2" t="n">
        <x:v>21600</x:v>
      </x:c>
      <x:c r="C296" s="2" t="str">
        <x:f>'Покупки'!C36</x:f>
        <x:v>Нулевой остаток</x:v>
      </x:c>
      <x:c r="D296" s="9" t="n">
        <x:v>46282.30905092593</x:v>
      </x:c>
      <x:c r="E296" s="12"/>
      <x:c r="F296" s="12" t="n">
        <x:f>'Покупки'!H36</x:f>
        <x:v>0.00007418342630879635</x:v>
      </x:c>
      <x:c r="G296" s="14" t="str">
        <x:f>IF(I296="Есть цена",IF(AND(ISNUMBER(E296),E296&gt;0,F296&gt;0),E296/F296-1,NA()),"")</x:f>
      </x:c>
      <x:c r="H296" s="14" t="str">
        <x:f>IF(AND(I296="Есть цена",I288="Есть цена"),IF(AND(E296&gt;0,E288&gt;0),E296/E288-1,NA()),"")</x:f>
      </x:c>
      <x:c r="I296" s="2" t="str">
        <x:v>RPC: данные не загружены</x:v>
      </x:c>
      <x:c r="J296" s="2"/>
      <x:c r="K296" s="9"/>
      <x:c r="L296" s="2"/>
      <x:c r="M296" s="2"/>
      <x:c r="N296" s="2"/>
      <x:c r="O296" s="2"/>
      <x:c r="P296" s="2" t="str">
        <x:v>not_cached:getSignaturesForAddress:history/01cbd9ce1249b68dc369f7a1</x:v>
      </x:c>
      <x:c r="Q296" s="2" t="str"/>
      <x:c r="R296" s="14" t="str">
        <x:f>IF(AND(C296="Нулевой остаток",I296="Есть цена"),G296,"")</x:f>
      </x:c>
      <x:c r="S296" s="14" t="str">
        <x:f>IF(AND(C296="Докупка",I296="Есть цена"),G296,"")</x:f>
      </x:c>
    </x:row>
    <x:row r="297" ht="21" customHeight="1">
      <x:c r="A297" s="2" t="n">
        <x:v>29</x:v>
      </x:c>
      <x:c r="B297" s="2" t="n">
        <x:v>86400</x:v>
      </x:c>
      <x:c r="C297" s="2" t="str">
        <x:f>'Покупки'!C36</x:f>
        <x:v>Нулевой остаток</x:v>
      </x:c>
      <x:c r="D297" s="9" t="n">
        <x:v>46283.05905092593</x:v>
      </x:c>
      <x:c r="E297" s="12"/>
      <x:c r="F297" s="12" t="n">
        <x:f>'Покупки'!H36</x:f>
        <x:v>0.00007418342630879635</x:v>
      </x:c>
      <x:c r="G297" s="14" t="str">
        <x:f>IF(I297="Есть цена",IF(AND(ISNUMBER(E297),E297&gt;0,F297&gt;0),E297/F297-1,NA()),"")</x:f>
      </x:c>
      <x:c r="H297" s="14" t="str">
        <x:f>IF(AND(I297="Есть цена",I288="Есть цена"),IF(AND(E297&gt;0,E288&gt;0),E297/E288-1,NA()),"")</x:f>
      </x:c>
      <x:c r="I297" s="2" t="str">
        <x:v>Ещё рано</x:v>
      </x:c>
      <x:c r="J297" s="2"/>
      <x:c r="K297" s="9"/>
      <x:c r="L297" s="2"/>
      <x:c r="M297" s="2"/>
      <x:c r="N297" s="2"/>
      <x:c r="O297" s="2"/>
      <x:c r="P297" s="2" t="str">
        <x:v>future</x:v>
      </x:c>
      <x:c r="Q297" s="2" t="str"/>
      <x:c r="R297" s="14" t="str">
        <x:f>IF(AND(C297="Нулевой остаток",I297="Есть цена"),G297,"")</x:f>
      </x:c>
      <x:c r="S297" s="14" t="str">
        <x:f>IF(AND(C297="Докупка",I297="Есть цена"),G297,"")</x:f>
      </x:c>
    </x:row>
    <x:row r="298" ht="21" customHeight="1">
      <x:c r="A298" s="2" t="n">
        <x:v>30</x:v>
      </x:c>
      <x:c r="B298" s="2" t="n">
        <x:v>5</x:v>
      </x:c>
      <x:c r="C298" s="2" t="str">
        <x:f>'Покупки'!C37</x:f>
        <x:v>Нулевой остаток</x:v>
      </x:c>
      <x:c r="D298" s="9" t="n">
        <x:v>46282.0574537037</x:v>
      </x:c>
      <x:c r="E298" s="12"/>
      <x:c r="F298" s="12" t="n">
        <x:f>'Покупки'!H37</x:f>
        <x:v>0.00008585180392001107</x:v>
      </x:c>
      <x:c r="G298" s="14" t="str">
        <x:f>IF(I298="Есть цена",IF(AND(ISNUMBER(E298),E298&gt;0,F298&gt;0),E298/F298-1,NA()),"")</x:f>
      </x:c>
      <x:c r="H298" s="14" t="str">
        <x:f>IF(AND(I298="Есть цена",I298="Есть цена"),IF(AND(E298&gt;0,E298&gt;0),E298/E298-1,NA()),"")</x:f>
      </x:c>
      <x:c r="I298" s="2" t="str">
        <x:v>RPC: данные не загружены</x:v>
      </x:c>
      <x:c r="J298" s="2"/>
      <x:c r="K298" s="9"/>
      <x:c r="L298" s="2"/>
      <x:c r="M298" s="2"/>
      <x:c r="N298" s="2"/>
      <x:c r="O298" s="2"/>
      <x:c r="P298" s="2" t="str">
        <x:v>not_cached:getSignaturesForAddress:history/5628cafb37c0a14008a4a6f3</x:v>
      </x:c>
      <x:c r="Q298" s="2" t="str"/>
      <x:c r="R298" s="14" t="str">
        <x:f>IF(AND(C298="Нулевой остаток",I298="Есть цена"),G298,"")</x:f>
      </x:c>
      <x:c r="S298" s="14" t="str">
        <x:f>IF(AND(C298="Докупка",I298="Есть цена"),G298,"")</x:f>
      </x:c>
    </x:row>
    <x:row r="299" ht="21" customHeight="1">
      <x:c r="A299" s="2" t="n">
        <x:v>30</x:v>
      </x:c>
      <x:c r="B299" s="2" t="n">
        <x:v>15</x:v>
      </x:c>
      <x:c r="C299" s="2" t="str">
        <x:f>'Покупки'!C37</x:f>
        <x:v>Нулевой остаток</x:v>
      </x:c>
      <x:c r="D299" s="9" t="n">
        <x:v>46282.05756944444</x:v>
      </x:c>
      <x:c r="E299" s="12"/>
      <x:c r="F299" s="12" t="n">
        <x:f>'Покупки'!H37</x:f>
        <x:v>0.00008585180392001107</x:v>
      </x:c>
      <x:c r="G299" s="14" t="str">
        <x:f>IF(I299="Есть цена",IF(AND(ISNUMBER(E299),E299&gt;0,F299&gt;0),E299/F299-1,NA()),"")</x:f>
      </x:c>
      <x:c r="H299" s="14" t="str">
        <x:f>IF(AND(I299="Есть цена",I298="Есть цена"),IF(AND(E299&gt;0,E298&gt;0),E299/E298-1,NA()),"")</x:f>
      </x:c>
      <x:c r="I299" s="2" t="str">
        <x:v>RPC: данные не загружены</x:v>
      </x:c>
      <x:c r="J299" s="2"/>
      <x:c r="K299" s="9"/>
      <x:c r="L299" s="2"/>
      <x:c r="M299" s="2"/>
      <x:c r="N299" s="2"/>
      <x:c r="O299" s="2"/>
      <x:c r="P299" s="2" t="str">
        <x:v>not_cached:getSignaturesForAddress:history/5628cafb37c0a14008a4a6f3</x:v>
      </x:c>
      <x:c r="Q299" s="2" t="str"/>
      <x:c r="R299" s="14" t="str">
        <x:f>IF(AND(C299="Нулевой остаток",I299="Есть цена"),G299,"")</x:f>
      </x:c>
      <x:c r="S299" s="14" t="str">
        <x:f>IF(AND(C299="Докупка",I299="Есть цена"),G299,"")</x:f>
      </x:c>
    </x:row>
    <x:row r="300" ht="21" customHeight="1">
      <x:c r="A300" s="2" t="n">
        <x:v>30</x:v>
      </x:c>
      <x:c r="B300" s="2" t="n">
        <x:v>30</x:v>
      </x:c>
      <x:c r="C300" s="2" t="str">
        <x:f>'Покупки'!C37</x:f>
        <x:v>Нулевой остаток</x:v>
      </x:c>
      <x:c r="D300" s="9" t="n">
        <x:v>46282.05774305556</x:v>
      </x:c>
      <x:c r="E300" s="12"/>
      <x:c r="F300" s="12" t="n">
        <x:f>'Покупки'!H37</x:f>
        <x:v>0.00008585180392001107</x:v>
      </x:c>
      <x:c r="G300" s="14" t="str">
        <x:f>IF(I300="Есть цена",IF(AND(ISNUMBER(E300),E300&gt;0,F300&gt;0),E300/F300-1,NA()),"")</x:f>
      </x:c>
      <x:c r="H300" s="14" t="str">
        <x:f>IF(AND(I300="Есть цена",I298="Есть цена"),IF(AND(E300&gt;0,E298&gt;0),E300/E298-1,NA()),"")</x:f>
      </x:c>
      <x:c r="I300" s="2" t="str">
        <x:v>RPC: данные не загружены</x:v>
      </x:c>
      <x:c r="J300" s="2"/>
      <x:c r="K300" s="9"/>
      <x:c r="L300" s="2"/>
      <x:c r="M300" s="2"/>
      <x:c r="N300" s="2"/>
      <x:c r="O300" s="2"/>
      <x:c r="P300" s="2" t="str">
        <x:v>not_cached:getSignaturesForAddress:history/5628cafb37c0a14008a4a6f3</x:v>
      </x:c>
      <x:c r="Q300" s="2" t="str"/>
      <x:c r="R300" s="14" t="str">
        <x:f>IF(AND(C300="Нулевой остаток",I300="Есть цена"),G300,"")</x:f>
      </x:c>
      <x:c r="S300" s="14" t="str">
        <x:f>IF(AND(C300="Докупка",I300="Есть цена"),G300,"")</x:f>
      </x:c>
    </x:row>
    <x:row r="301" ht="21" customHeight="1">
      <x:c r="A301" s="2" t="n">
        <x:v>30</x:v>
      </x:c>
      <x:c r="B301" s="2" t="n">
        <x:v>60</x:v>
      </x:c>
      <x:c r="C301" s="2" t="str">
        <x:f>'Покупки'!C37</x:f>
        <x:v>Нулевой остаток</x:v>
      </x:c>
      <x:c r="D301" s="9" t="n">
        <x:v>46282.05809027778</x:v>
      </x:c>
      <x:c r="E301" s="12"/>
      <x:c r="F301" s="12" t="n">
        <x:f>'Покупки'!H37</x:f>
        <x:v>0.00008585180392001107</x:v>
      </x:c>
      <x:c r="G301" s="14" t="str">
        <x:f>IF(I301="Есть цена",IF(AND(ISNUMBER(E301),E301&gt;0,F301&gt;0),E301/F301-1,NA()),"")</x:f>
      </x:c>
      <x:c r="H301" s="14" t="str">
        <x:f>IF(AND(I301="Есть цена",I298="Есть цена"),IF(AND(E301&gt;0,E298&gt;0),E301/E298-1,NA()),"")</x:f>
      </x:c>
      <x:c r="I301" s="2" t="str">
        <x:v>RPC: данные не загружены</x:v>
      </x:c>
      <x:c r="J301" s="2"/>
      <x:c r="K301" s="9"/>
      <x:c r="L301" s="2"/>
      <x:c r="M301" s="2"/>
      <x:c r="N301" s="2"/>
      <x:c r="O301" s="2"/>
      <x:c r="P301" s="2" t="str">
        <x:v>not_cached:getSignaturesForAddress:history/5628cafb37c0a14008a4a6f3</x:v>
      </x:c>
      <x:c r="Q301" s="2" t="str"/>
      <x:c r="R301" s="14" t="str">
        <x:f>IF(AND(C301="Нулевой остаток",I301="Есть цена"),G301,"")</x:f>
      </x:c>
      <x:c r="S301" s="14" t="str">
        <x:f>IF(AND(C301="Докупка",I301="Есть цена"),G301,"")</x:f>
      </x:c>
    </x:row>
    <x:row r="302" ht="21" customHeight="1">
      <x:c r="A302" s="2" t="n">
        <x:v>30</x:v>
      </x:c>
      <x:c r="B302" s="2" t="n">
        <x:v>180</x:v>
      </x:c>
      <x:c r="C302" s="2" t="str">
        <x:f>'Покупки'!C37</x:f>
        <x:v>Нулевой остаток</x:v>
      </x:c>
      <x:c r="D302" s="9" t="n">
        <x:v>46282.059479166666</x:v>
      </x:c>
      <x:c r="E302" s="12"/>
      <x:c r="F302" s="12" t="n">
        <x:f>'Покупки'!H37</x:f>
        <x:v>0.00008585180392001107</x:v>
      </x:c>
      <x:c r="G302" s="14" t="str">
        <x:f>IF(I302="Есть цена",IF(AND(ISNUMBER(E302),E302&gt;0,F302&gt;0),E302/F302-1,NA()),"")</x:f>
      </x:c>
      <x:c r="H302" s="14" t="str">
        <x:f>IF(AND(I302="Есть цена",I298="Есть цена"),IF(AND(E302&gt;0,E298&gt;0),E302/E298-1,NA()),"")</x:f>
      </x:c>
      <x:c r="I302" s="2" t="str">
        <x:v>RPC: данные не загружены</x:v>
      </x:c>
      <x:c r="J302" s="2"/>
      <x:c r="K302" s="9"/>
      <x:c r="L302" s="2"/>
      <x:c r="M302" s="2"/>
      <x:c r="N302" s="2"/>
      <x:c r="O302" s="2"/>
      <x:c r="P302" s="2" t="str">
        <x:v>not_cached:getSignaturesForAddress:history/2319023b3f16fbd0685d7712</x:v>
      </x:c>
      <x:c r="Q302" s="2" t="str"/>
      <x:c r="R302" s="14" t="str">
        <x:f>IF(AND(C302="Нулевой остаток",I302="Есть цена"),G302,"")</x:f>
      </x:c>
      <x:c r="S302" s="14" t="str">
        <x:f>IF(AND(C302="Докупка",I302="Есть цена"),G302,"")</x:f>
      </x:c>
    </x:row>
    <x:row r="303" ht="21" customHeight="1">
      <x:c r="A303" s="2" t="n">
        <x:v>30</x:v>
      </x:c>
      <x:c r="B303" s="2" t="n">
        <x:v>300</x:v>
      </x:c>
      <x:c r="C303" s="2" t="str">
        <x:f>'Покупки'!C37</x:f>
        <x:v>Нулевой остаток</x:v>
      </x:c>
      <x:c r="D303" s="9" t="n">
        <x:v>46282.06086805555</x:v>
      </x:c>
      <x:c r="E303" s="12"/>
      <x:c r="F303" s="12" t="n">
        <x:f>'Покупки'!H37</x:f>
        <x:v>0.00008585180392001107</x:v>
      </x:c>
      <x:c r="G303" s="14" t="str">
        <x:f>IF(I303="Есть цена",IF(AND(ISNUMBER(E303),E303&gt;0,F303&gt;0),E303/F303-1,NA()),"")</x:f>
      </x:c>
      <x:c r="H303" s="14" t="str">
        <x:f>IF(AND(I303="Есть цена",I298="Есть цена"),IF(AND(E303&gt;0,E298&gt;0),E303/E298-1,NA()),"")</x:f>
      </x:c>
      <x:c r="I303" s="2" t="str">
        <x:v>RPC: данные не загружены</x:v>
      </x:c>
      <x:c r="J303" s="2"/>
      <x:c r="K303" s="9"/>
      <x:c r="L303" s="2"/>
      <x:c r="M303" s="2"/>
      <x:c r="N303" s="2"/>
      <x:c r="O303" s="2"/>
      <x:c r="P303" s="2" t="str">
        <x:v>not_cached:getSignaturesForAddress:history/305b697445fcc674e666ebdc</x:v>
      </x:c>
      <x:c r="Q303" s="2" t="str"/>
      <x:c r="R303" s="14" t="str">
        <x:f>IF(AND(C303="Нулевой остаток",I303="Есть цена"),G303,"")</x:f>
      </x:c>
      <x:c r="S303" s="14" t="str">
        <x:f>IF(AND(C303="Докупка",I303="Есть цена"),G303,"")</x:f>
      </x:c>
    </x:row>
    <x:row r="304" ht="21" customHeight="1">
      <x:c r="A304" s="2" t="n">
        <x:v>30</x:v>
      </x:c>
      <x:c r="B304" s="2" t="n">
        <x:v>900</x:v>
      </x:c>
      <x:c r="C304" s="2" t="str">
        <x:f>'Покупки'!C37</x:f>
        <x:v>Нулевой остаток</x:v>
      </x:c>
      <x:c r="D304" s="9" t="n">
        <x:v>46282.0678125</x:v>
      </x:c>
      <x:c r="E304" s="12"/>
      <x:c r="F304" s="12" t="n">
        <x:f>'Покупки'!H37</x:f>
        <x:v>0.00008585180392001107</x:v>
      </x:c>
      <x:c r="G304" s="14" t="str">
        <x:f>IF(I304="Есть цена",IF(AND(ISNUMBER(E304),E304&gt;0,F304&gt;0),E304/F304-1,NA()),"")</x:f>
      </x:c>
      <x:c r="H304" s="14" t="str">
        <x:f>IF(AND(I304="Есть цена",I298="Есть цена"),IF(AND(E304&gt;0,E298&gt;0),E304/E298-1,NA()),"")</x:f>
      </x:c>
      <x:c r="I304" s="2" t="str">
        <x:v>RPC: данные не загружены</x:v>
      </x:c>
      <x:c r="J304" s="2"/>
      <x:c r="K304" s="9"/>
      <x:c r="L304" s="2"/>
      <x:c r="M304" s="2"/>
      <x:c r="N304" s="2"/>
      <x:c r="O304" s="2"/>
      <x:c r="P304" s="2" t="str">
        <x:v>not_cached:getSignaturesForAddress:history/b57c6e305941ddb3b80accad</x:v>
      </x:c>
      <x:c r="Q304" s="2" t="str"/>
      <x:c r="R304" s="14" t="str">
        <x:f>IF(AND(C304="Нулевой остаток",I304="Есть цена"),G304,"")</x:f>
      </x:c>
      <x:c r="S304" s="14" t="str">
        <x:f>IF(AND(C304="Докупка",I304="Есть цена"),G304,"")</x:f>
      </x:c>
    </x:row>
    <x:row r="305" ht="21" customHeight="1">
      <x:c r="A305" s="2" t="n">
        <x:v>30</x:v>
      </x:c>
      <x:c r="B305" s="2" t="n">
        <x:v>3600</x:v>
      </x:c>
      <x:c r="C305" s="2" t="str">
        <x:f>'Покупки'!C37</x:f>
        <x:v>Нулевой остаток</x:v>
      </x:c>
      <x:c r="D305" s="9" t="n">
        <x:v>46282.0990625</x:v>
      </x:c>
      <x:c r="E305" s="12"/>
      <x:c r="F305" s="12" t="n">
        <x:f>'Покупки'!H37</x:f>
        <x:v>0.00008585180392001107</x:v>
      </x:c>
      <x:c r="G305" s="14" t="str">
        <x:f>IF(I305="Есть цена",IF(AND(ISNUMBER(E305),E305&gt;0,F305&gt;0),E305/F305-1,NA()),"")</x:f>
      </x:c>
      <x:c r="H305" s="14" t="str">
        <x:f>IF(AND(I305="Есть цена",I298="Есть цена"),IF(AND(E305&gt;0,E298&gt;0),E305/E298-1,NA()),"")</x:f>
      </x:c>
      <x:c r="I305" s="2" t="str">
        <x:v>RPC: данные не загружены</x:v>
      </x:c>
      <x:c r="J305" s="2"/>
      <x:c r="K305" s="9"/>
      <x:c r="L305" s="2"/>
      <x:c r="M305" s="2"/>
      <x:c r="N305" s="2"/>
      <x:c r="O305" s="2"/>
      <x:c r="P305" s="2" t="str">
        <x:v>not_cached:getSignaturesForAddress:history/48c4e198faa418043de90f2f</x:v>
      </x:c>
      <x:c r="Q305" s="2" t="str"/>
      <x:c r="R305" s="14" t="str">
        <x:f>IF(AND(C305="Нулевой остаток",I305="Есть цена"),G305,"")</x:f>
      </x:c>
      <x:c r="S305" s="14" t="str">
        <x:f>IF(AND(C305="Докупка",I305="Есть цена"),G305,"")</x:f>
      </x:c>
    </x:row>
    <x:row r="306" ht="21" customHeight="1">
      <x:c r="A306" s="2" t="n">
        <x:v>30</x:v>
      </x:c>
      <x:c r="B306" s="2" t="n">
        <x:v>21600</x:v>
      </x:c>
      <x:c r="C306" s="2" t="str">
        <x:f>'Покупки'!C37</x:f>
        <x:v>Нулевой остаток</x:v>
      </x:c>
      <x:c r="D306" s="9" t="n">
        <x:v>46282.30739583333</x:v>
      </x:c>
      <x:c r="E306" s="12"/>
      <x:c r="F306" s="12" t="n">
        <x:f>'Покупки'!H37</x:f>
        <x:v>0.00008585180392001107</x:v>
      </x:c>
      <x:c r="G306" s="14" t="str">
        <x:f>IF(I306="Есть цена",IF(AND(ISNUMBER(E306),E306&gt;0,F306&gt;0),E306/F306-1,NA()),"")</x:f>
      </x:c>
      <x:c r="H306" s="14" t="str">
        <x:f>IF(AND(I306="Есть цена",I298="Есть цена"),IF(AND(E306&gt;0,E298&gt;0),E306/E298-1,NA()),"")</x:f>
      </x:c>
      <x:c r="I306" s="2" t="str">
        <x:v>RPC: данные не загружены</x:v>
      </x:c>
      <x:c r="J306" s="2"/>
      <x:c r="K306" s="9"/>
      <x:c r="L306" s="2"/>
      <x:c r="M306" s="2"/>
      <x:c r="N306" s="2"/>
      <x:c r="O306" s="2"/>
      <x:c r="P306" s="2" t="str">
        <x:v>not_cached:getSignaturesForAddress:history/6e44b280f6478dd3b66df874</x:v>
      </x:c>
      <x:c r="Q306" s="2" t="str"/>
      <x:c r="R306" s="14" t="str">
        <x:f>IF(AND(C306="Нулевой остаток",I306="Есть цена"),G306,"")</x:f>
      </x:c>
      <x:c r="S306" s="14" t="str">
        <x:f>IF(AND(C306="Докупка",I306="Есть цена"),G306,"")</x:f>
      </x:c>
    </x:row>
    <x:row r="307" ht="21" customHeight="1">
      <x:c r="A307" s="2" t="n">
        <x:v>30</x:v>
      </x:c>
      <x:c r="B307" s="2" t="n">
        <x:v>86400</x:v>
      </x:c>
      <x:c r="C307" s="2" t="str">
        <x:f>'Покупки'!C37</x:f>
        <x:v>Нулевой остаток</x:v>
      </x:c>
      <x:c r="D307" s="9" t="n">
        <x:v>46283.05739583333</x:v>
      </x:c>
      <x:c r="E307" s="12"/>
      <x:c r="F307" s="12" t="n">
        <x:f>'Покупки'!H37</x:f>
        <x:v>0.00008585180392001107</x:v>
      </x:c>
      <x:c r="G307" s="14" t="str">
        <x:f>IF(I307="Есть цена",IF(AND(ISNUMBER(E307),E307&gt;0,F307&gt;0),E307/F307-1,NA()),"")</x:f>
      </x:c>
      <x:c r="H307" s="14" t="str">
        <x:f>IF(AND(I307="Есть цена",I298="Есть цена"),IF(AND(E307&gt;0,E298&gt;0),E307/E298-1,NA()),"")</x:f>
      </x:c>
      <x:c r="I307" s="2" t="str">
        <x:v>Ещё рано</x:v>
      </x:c>
      <x:c r="J307" s="2"/>
      <x:c r="K307" s="9"/>
      <x:c r="L307" s="2"/>
      <x:c r="M307" s="2"/>
      <x:c r="N307" s="2"/>
      <x:c r="O307" s="2"/>
      <x:c r="P307" s="2" t="str">
        <x:v>future</x:v>
      </x:c>
      <x:c r="Q307" s="2" t="str"/>
      <x:c r="R307" s="14" t="str">
        <x:f>IF(AND(C307="Нулевой остаток",I307="Есть цена"),G307,"")</x:f>
      </x:c>
      <x:c r="S307" s="14" t="str">
        <x:f>IF(AND(C307="Докупка",I307="Есть цена"),G307,"")</x:f>
      </x:c>
    </x:row>
    <x:row r="308" ht="21" customHeight="1">
      <x:c r="A308" s="2" t="n">
        <x:v>31</x:v>
      </x:c>
      <x:c r="B308" s="2" t="n">
        <x:v>5</x:v>
      </x:c>
      <x:c r="C308" s="2" t="str">
        <x:f>'Покупки'!C38</x:f>
        <x:v>Нулевой остаток</x:v>
      </x:c>
      <x:c r="D308" s="9" t="n">
        <x:v>46282.044641203705</x:v>
      </x:c>
      <x:c r="E308" s="12"/>
      <x:c r="F308" s="12" t="n">
        <x:f>'Покупки'!H38</x:f>
        <x:v>0.0004532764022791223</x:v>
      </x:c>
      <x:c r="G308" s="14" t="str">
        <x:f>IF(I308="Есть цена",IF(AND(ISNUMBER(E308),E308&gt;0,F308&gt;0),E308/F308-1,NA()),"")</x:f>
      </x:c>
      <x:c r="H308" s="14" t="str">
        <x:f>IF(AND(I308="Есть цена",I308="Есть цена"),IF(AND(E308&gt;0,E308&gt;0),E308/E308-1,NA()),"")</x:f>
      </x:c>
      <x:c r="I308" s="2" t="str">
        <x:v>RPC: данные не загружены</x:v>
      </x:c>
      <x:c r="J308" s="2"/>
      <x:c r="K308" s="9"/>
      <x:c r="L308" s="2"/>
      <x:c r="M308" s="2"/>
      <x:c r="N308" s="2"/>
      <x:c r="O308" s="2"/>
      <x:c r="P308" s="2" t="str">
        <x:v>not_cached:getSignaturesForAddress:history/a25c3ff9eb5e744eb5d39d25</x:v>
      </x:c>
      <x:c r="Q308" s="2" t="str"/>
      <x:c r="R308" s="14" t="str">
        <x:f>IF(AND(C308="Нулевой остаток",I308="Есть цена"),G308,"")</x:f>
      </x:c>
      <x:c r="S308" s="14" t="str">
        <x:f>IF(AND(C308="Докупка",I308="Есть цена"),G308,"")</x:f>
      </x:c>
    </x:row>
    <x:row r="309" ht="21" customHeight="1">
      <x:c r="A309" s="2" t="n">
        <x:v>31</x:v>
      </x:c>
      <x:c r="B309" s="2" t="n">
        <x:v>15</x:v>
      </x:c>
      <x:c r="C309" s="2" t="str">
        <x:f>'Покупки'!C38</x:f>
        <x:v>Нулевой остаток</x:v>
      </x:c>
      <x:c r="D309" s="9" t="n">
        <x:v>46282.044756944444</x:v>
      </x:c>
      <x:c r="E309" s="12"/>
      <x:c r="F309" s="12" t="n">
        <x:f>'Покупки'!H38</x:f>
        <x:v>0.0004532764022791223</x:v>
      </x:c>
      <x:c r="G309" s="14" t="str">
        <x:f>IF(I309="Есть цена",IF(AND(ISNUMBER(E309),E309&gt;0,F309&gt;0),E309/F309-1,NA()),"")</x:f>
      </x:c>
      <x:c r="H309" s="14" t="str">
        <x:f>IF(AND(I309="Есть цена",I308="Есть цена"),IF(AND(E309&gt;0,E308&gt;0),E309/E308-1,NA()),"")</x:f>
      </x:c>
      <x:c r="I309" s="2" t="str">
        <x:v>RPC: данные не загружены</x:v>
      </x:c>
      <x:c r="J309" s="2"/>
      <x:c r="K309" s="9"/>
      <x:c r="L309" s="2"/>
      <x:c r="M309" s="2"/>
      <x:c r="N309" s="2"/>
      <x:c r="O309" s="2"/>
      <x:c r="P309" s="2" t="str">
        <x:v>not_cached:getSignaturesForAddress:history/a25c3ff9eb5e744eb5d39d25</x:v>
      </x:c>
      <x:c r="Q309" s="2" t="str"/>
      <x:c r="R309" s="14" t="str">
        <x:f>IF(AND(C309="Нулевой остаток",I309="Есть цена"),G309,"")</x:f>
      </x:c>
      <x:c r="S309" s="14" t="str">
        <x:f>IF(AND(C309="Докупка",I309="Есть цена"),G309,"")</x:f>
      </x:c>
    </x:row>
    <x:row r="310" ht="21" customHeight="1">
      <x:c r="A310" s="2" t="n">
        <x:v>31</x:v>
      </x:c>
      <x:c r="B310" s="2" t="n">
        <x:v>30</x:v>
      </x:c>
      <x:c r="C310" s="2" t="str">
        <x:f>'Покупки'!C38</x:f>
        <x:v>Нулевой остаток</x:v>
      </x:c>
      <x:c r="D310" s="9" t="n">
        <x:v>46282.04493055555</x:v>
      </x:c>
      <x:c r="E310" s="12"/>
      <x:c r="F310" s="12" t="n">
        <x:f>'Покупки'!H38</x:f>
        <x:v>0.0004532764022791223</x:v>
      </x:c>
      <x:c r="G310" s="14" t="str">
        <x:f>IF(I310="Есть цена",IF(AND(ISNUMBER(E310),E310&gt;0,F310&gt;0),E310/F310-1,NA()),"")</x:f>
      </x:c>
      <x:c r="H310" s="14" t="str">
        <x:f>IF(AND(I310="Есть цена",I308="Есть цена"),IF(AND(E310&gt;0,E308&gt;0),E310/E308-1,NA()),"")</x:f>
      </x:c>
      <x:c r="I310" s="2" t="str">
        <x:v>RPC: данные не загружены</x:v>
      </x:c>
      <x:c r="J310" s="2"/>
      <x:c r="K310" s="9"/>
      <x:c r="L310" s="2"/>
      <x:c r="M310" s="2"/>
      <x:c r="N310" s="2"/>
      <x:c r="O310" s="2"/>
      <x:c r="P310" s="2" t="str">
        <x:v>not_cached:getSignaturesForAddress:history/a25c3ff9eb5e744eb5d39d25</x:v>
      </x:c>
      <x:c r="Q310" s="2" t="str"/>
      <x:c r="R310" s="14" t="str">
        <x:f>IF(AND(C310="Нулевой остаток",I310="Есть цена"),G310,"")</x:f>
      </x:c>
      <x:c r="S310" s="14" t="str">
        <x:f>IF(AND(C310="Докупка",I310="Есть цена"),G310,"")</x:f>
      </x:c>
    </x:row>
    <x:row r="311" ht="21" customHeight="1">
      <x:c r="A311" s="2" t="n">
        <x:v>31</x:v>
      </x:c>
      <x:c r="B311" s="2" t="n">
        <x:v>60</x:v>
      </x:c>
      <x:c r="C311" s="2" t="str">
        <x:f>'Покупки'!C38</x:f>
        <x:v>Нулевой остаток</x:v>
      </x:c>
      <x:c r="D311" s="9" t="n">
        <x:v>46282.045277777775</x:v>
      </x:c>
      <x:c r="E311" s="12"/>
      <x:c r="F311" s="12" t="n">
        <x:f>'Покупки'!H38</x:f>
        <x:v>0.0004532764022791223</x:v>
      </x:c>
      <x:c r="G311" s="14" t="str">
        <x:f>IF(I311="Есть цена",IF(AND(ISNUMBER(E311),E311&gt;0,F311&gt;0),E311/F311-1,NA()),"")</x:f>
      </x:c>
      <x:c r="H311" s="14" t="str">
        <x:f>IF(AND(I311="Есть цена",I308="Есть цена"),IF(AND(E311&gt;0,E308&gt;0),E311/E308-1,NA()),"")</x:f>
      </x:c>
      <x:c r="I311" s="2" t="str">
        <x:v>RPC: данные не загружены</x:v>
      </x:c>
      <x:c r="J311" s="2"/>
      <x:c r="K311" s="9"/>
      <x:c r="L311" s="2"/>
      <x:c r="M311" s="2"/>
      <x:c r="N311" s="2"/>
      <x:c r="O311" s="2"/>
      <x:c r="P311" s="2" t="str">
        <x:v>not_cached:getSignaturesForAddress:history/a25c3ff9eb5e744eb5d39d25</x:v>
      </x:c>
      <x:c r="Q311" s="2" t="str"/>
      <x:c r="R311" s="14" t="str">
        <x:f>IF(AND(C311="Нулевой остаток",I311="Есть цена"),G311,"")</x:f>
      </x:c>
      <x:c r="S311" s="14" t="str">
        <x:f>IF(AND(C311="Докупка",I311="Есть цена"),G311,"")</x:f>
      </x:c>
    </x:row>
    <x:row r="312" ht="21" customHeight="1">
      <x:c r="A312" s="2" t="n">
        <x:v>31</x:v>
      </x:c>
      <x:c r="B312" s="2" t="n">
        <x:v>180</x:v>
      </x:c>
      <x:c r="C312" s="2" t="str">
        <x:f>'Покупки'!C38</x:f>
        <x:v>Нулевой остаток</x:v>
      </x:c>
      <x:c r="D312" s="9" t="n">
        <x:v>46282.04666666667</x:v>
      </x:c>
      <x:c r="E312" s="12"/>
      <x:c r="F312" s="12" t="n">
        <x:f>'Покупки'!H38</x:f>
        <x:v>0.0004532764022791223</x:v>
      </x:c>
      <x:c r="G312" s="14" t="str">
        <x:f>IF(I312="Есть цена",IF(AND(ISNUMBER(E312),E312&gt;0,F312&gt;0),E312/F312-1,NA()),"")</x:f>
      </x:c>
      <x:c r="H312" s="14" t="str">
        <x:f>IF(AND(I312="Есть цена",I308="Есть цена"),IF(AND(E312&gt;0,E308&gt;0),E312/E308-1,NA()),"")</x:f>
      </x:c>
      <x:c r="I312" s="2" t="str">
        <x:v>RPC: данные не загружены</x:v>
      </x:c>
      <x:c r="J312" s="2"/>
      <x:c r="K312" s="9"/>
      <x:c r="L312" s="2"/>
      <x:c r="M312" s="2"/>
      <x:c r="N312" s="2"/>
      <x:c r="O312" s="2"/>
      <x:c r="P312" s="2" t="str">
        <x:v>not_cached:getSignaturesForAddress:history/70329c84096144a07ce63549</x:v>
      </x:c>
      <x:c r="Q312" s="2" t="str"/>
      <x:c r="R312" s="14" t="str">
        <x:f>IF(AND(C312="Нулевой остаток",I312="Есть цена"),G312,"")</x:f>
      </x:c>
      <x:c r="S312" s="14" t="str">
        <x:f>IF(AND(C312="Докупка",I312="Есть цена"),G312,"")</x:f>
      </x:c>
    </x:row>
    <x:row r="313" ht="21" customHeight="1">
      <x:c r="A313" s="2" t="n">
        <x:v>31</x:v>
      </x:c>
      <x:c r="B313" s="2" t="n">
        <x:v>300</x:v>
      </x:c>
      <x:c r="C313" s="2" t="str">
        <x:f>'Покупки'!C38</x:f>
        <x:v>Нулевой остаток</x:v>
      </x:c>
      <x:c r="D313" s="9" t="n">
        <x:v>46282.048055555555</x:v>
      </x:c>
      <x:c r="E313" s="12"/>
      <x:c r="F313" s="12" t="n">
        <x:f>'Покупки'!H38</x:f>
        <x:v>0.0004532764022791223</x:v>
      </x:c>
      <x:c r="G313" s="14" t="str">
        <x:f>IF(I313="Есть цена",IF(AND(ISNUMBER(E313),E313&gt;0,F313&gt;0),E313/F313-1,NA()),"")</x:f>
      </x:c>
      <x:c r="H313" s="14" t="str">
        <x:f>IF(AND(I313="Есть цена",I308="Есть цена"),IF(AND(E313&gt;0,E308&gt;0),E313/E308-1,NA()),"")</x:f>
      </x:c>
      <x:c r="I313" s="2" t="str">
        <x:v>RPC: данные не загружены</x:v>
      </x:c>
      <x:c r="J313" s="2"/>
      <x:c r="K313" s="9"/>
      <x:c r="L313" s="2"/>
      <x:c r="M313" s="2"/>
      <x:c r="N313" s="2"/>
      <x:c r="O313" s="2"/>
      <x:c r="P313" s="2" t="str">
        <x:v>not_cached:getSignaturesForAddress:history/70329c84096144a07ce63549</x:v>
      </x:c>
      <x:c r="Q313" s="2" t="str"/>
      <x:c r="R313" s="14" t="str">
        <x:f>IF(AND(C313="Нулевой остаток",I313="Есть цена"),G313,"")</x:f>
      </x:c>
      <x:c r="S313" s="14" t="str">
        <x:f>IF(AND(C313="Докупка",I313="Есть цена"),G313,"")</x:f>
      </x:c>
    </x:row>
    <x:row r="314" ht="21" customHeight="1">
      <x:c r="A314" s="2" t="n">
        <x:v>31</x:v>
      </x:c>
      <x:c r="B314" s="2" t="n">
        <x:v>900</x:v>
      </x:c>
      <x:c r="C314" s="2" t="str">
        <x:f>'Покупки'!C38</x:f>
        <x:v>Нулевой остаток</x:v>
      </x:c>
      <x:c r="D314" s="9" t="n">
        <x:v>46282.055</x:v>
      </x:c>
      <x:c r="E314" s="12"/>
      <x:c r="F314" s="12" t="n">
        <x:f>'Покупки'!H38</x:f>
        <x:v>0.0004532764022791223</x:v>
      </x:c>
      <x:c r="G314" s="14" t="str">
        <x:f>IF(I314="Есть цена",IF(AND(ISNUMBER(E314),E314&gt;0,F314&gt;0),E314/F314-1,NA()),"")</x:f>
      </x:c>
      <x:c r="H314" s="14" t="str">
        <x:f>IF(AND(I314="Есть цена",I308="Есть цена"),IF(AND(E314&gt;0,E308&gt;0),E314/E308-1,NA()),"")</x:f>
      </x:c>
      <x:c r="I314" s="2" t="str">
        <x:v>RPC: данные не загружены</x:v>
      </x:c>
      <x:c r="J314" s="2"/>
      <x:c r="K314" s="9"/>
      <x:c r="L314" s="2"/>
      <x:c r="M314" s="2"/>
      <x:c r="N314" s="2"/>
      <x:c r="O314" s="2"/>
      <x:c r="P314" s="2" t="str">
        <x:v>not_cached:getSignaturesForAddress:history/ff163136d90ce1d51a594c67</x:v>
      </x:c>
      <x:c r="Q314" s="2" t="str"/>
      <x:c r="R314" s="14" t="str">
        <x:f>IF(AND(C314="Нулевой остаток",I314="Есть цена"),G314,"")</x:f>
      </x:c>
      <x:c r="S314" s="14" t="str">
        <x:f>IF(AND(C314="Докупка",I314="Есть цена"),G314,"")</x:f>
      </x:c>
    </x:row>
    <x:row r="315" ht="21" customHeight="1">
      <x:c r="A315" s="2" t="n">
        <x:v>31</x:v>
      </x:c>
      <x:c r="B315" s="2" t="n">
        <x:v>3600</x:v>
      </x:c>
      <x:c r="C315" s="2" t="str">
        <x:f>'Покупки'!C38</x:f>
        <x:v>Нулевой остаток</x:v>
      </x:c>
      <x:c r="D315" s="9" t="n">
        <x:v>46282.08625</x:v>
      </x:c>
      <x:c r="E315" s="12"/>
      <x:c r="F315" s="12" t="n">
        <x:f>'Покупки'!H38</x:f>
        <x:v>0.0004532764022791223</x:v>
      </x:c>
      <x:c r="G315" s="14" t="str">
        <x:f>IF(I315="Есть цена",IF(AND(ISNUMBER(E315),E315&gt;0,F315&gt;0),E315/F315-1,NA()),"")</x:f>
      </x:c>
      <x:c r="H315" s="14" t="str">
        <x:f>IF(AND(I315="Есть цена",I308="Есть цена"),IF(AND(E315&gt;0,E308&gt;0),E315/E308-1,NA()),"")</x:f>
      </x:c>
      <x:c r="I315" s="2" t="str">
        <x:v>RPC: данные не загружены</x:v>
      </x:c>
      <x:c r="J315" s="2"/>
      <x:c r="K315" s="9"/>
      <x:c r="L315" s="2"/>
      <x:c r="M315" s="2"/>
      <x:c r="N315" s="2"/>
      <x:c r="O315" s="2"/>
      <x:c r="P315" s="2" t="str">
        <x:v>not_cached:getSignaturesForAddress:history/6f2e4ab233c598b48e629831</x:v>
      </x:c>
      <x:c r="Q315" s="2" t="str"/>
      <x:c r="R315" s="14" t="str">
        <x:f>IF(AND(C315="Нулевой остаток",I315="Есть цена"),G315,"")</x:f>
      </x:c>
      <x:c r="S315" s="14" t="str">
        <x:f>IF(AND(C315="Докупка",I315="Есть цена"),G315,"")</x:f>
      </x:c>
    </x:row>
    <x:row r="316" ht="21" customHeight="1">
      <x:c r="A316" s="2" t="n">
        <x:v>31</x:v>
      </x:c>
      <x:c r="B316" s="2" t="n">
        <x:v>21600</x:v>
      </x:c>
      <x:c r="C316" s="2" t="str">
        <x:f>'Покупки'!C38</x:f>
        <x:v>Нулевой остаток</x:v>
      </x:c>
      <x:c r="D316" s="9" t="n">
        <x:v>46282.294583333336</x:v>
      </x:c>
      <x:c r="E316" s="12"/>
      <x:c r="F316" s="12" t="n">
        <x:f>'Покупки'!H38</x:f>
        <x:v>0.0004532764022791223</x:v>
      </x:c>
      <x:c r="G316" s="14" t="str">
        <x:f>IF(I316="Есть цена",IF(AND(ISNUMBER(E316),E316&gt;0,F316&gt;0),E316/F316-1,NA()),"")</x:f>
      </x:c>
      <x:c r="H316" s="14" t="str">
        <x:f>IF(AND(I316="Есть цена",I308="Есть цена"),IF(AND(E316&gt;0,E308&gt;0),E316/E308-1,NA()),"")</x:f>
      </x:c>
      <x:c r="I316" s="2" t="str">
        <x:v>RPC: данные не загружены</x:v>
      </x:c>
      <x:c r="J316" s="2"/>
      <x:c r="K316" s="9"/>
      <x:c r="L316" s="2"/>
      <x:c r="M316" s="2"/>
      <x:c r="N316" s="2"/>
      <x:c r="O316" s="2"/>
      <x:c r="P316" s="2" t="str">
        <x:v>not_cached:getSignaturesForAddress:history/1f5722789d012269b802242b</x:v>
      </x:c>
      <x:c r="Q316" s="2" t="str"/>
      <x:c r="R316" s="14" t="str">
        <x:f>IF(AND(C316="Нулевой остаток",I316="Есть цена"),G316,"")</x:f>
      </x:c>
      <x:c r="S316" s="14" t="str">
        <x:f>IF(AND(C316="Докупка",I316="Есть цена"),G316,"")</x:f>
      </x:c>
    </x:row>
    <x:row r="317" ht="21" customHeight="1">
      <x:c r="A317" s="2" t="n">
        <x:v>31</x:v>
      </x:c>
      <x:c r="B317" s="2" t="n">
        <x:v>86400</x:v>
      </x:c>
      <x:c r="C317" s="2" t="str">
        <x:f>'Покупки'!C38</x:f>
        <x:v>Нулевой остаток</x:v>
      </x:c>
      <x:c r="D317" s="9" t="n">
        <x:v>46283.044583333336</x:v>
      </x:c>
      <x:c r="E317" s="12"/>
      <x:c r="F317" s="12" t="n">
        <x:f>'Покупки'!H38</x:f>
        <x:v>0.0004532764022791223</x:v>
      </x:c>
      <x:c r="G317" s="14" t="str">
        <x:f>IF(I317="Есть цена",IF(AND(ISNUMBER(E317),E317&gt;0,F317&gt;0),E317/F317-1,NA()),"")</x:f>
      </x:c>
      <x:c r="H317" s="14" t="str">
        <x:f>IF(AND(I317="Есть цена",I308="Есть цена"),IF(AND(E317&gt;0,E308&gt;0),E317/E308-1,NA()),"")</x:f>
      </x:c>
      <x:c r="I317" s="2" t="str">
        <x:v>Ещё рано</x:v>
      </x:c>
      <x:c r="J317" s="2"/>
      <x:c r="K317" s="9"/>
      <x:c r="L317" s="2"/>
      <x:c r="M317" s="2"/>
      <x:c r="N317" s="2"/>
      <x:c r="O317" s="2"/>
      <x:c r="P317" s="2" t="str">
        <x:v>future</x:v>
      </x:c>
      <x:c r="Q317" s="2" t="str"/>
      <x:c r="R317" s="14" t="str">
        <x:f>IF(AND(C317="Нулевой остаток",I317="Есть цена"),G317,"")</x:f>
      </x:c>
      <x:c r="S317" s="14" t="str">
        <x:f>IF(AND(C317="Докупка",I317="Есть цена"),G317,"")</x:f>
      </x:c>
    </x:row>
    <x:row r="318" ht="21" customHeight="1">
      <x:c r="A318" s="2" t="n">
        <x:v>32</x:v>
      </x:c>
      <x:c r="B318" s="2" t="n">
        <x:v>5</x:v>
      </x:c>
      <x:c r="C318" s="2" t="str">
        <x:f>'Покупки'!C39</x:f>
        <x:v>Докупка</x:v>
      </x:c>
      <x:c r="D318" s="9" t="n">
        <x:v>46282.002962962964</x:v>
      </x:c>
      <x:c r="E318" s="12"/>
      <x:c r="F318" s="12" t="n">
        <x:f>'Покупки'!H39</x:f>
        <x:v>0.20703193442639792</x:v>
      </x:c>
      <x:c r="G318" s="14" t="str">
        <x:f>IF(I318="Есть цена",IF(AND(ISNUMBER(E318),E318&gt;0,F318&gt;0),E318/F318-1,NA()),"")</x:f>
      </x:c>
      <x:c r="H318" s="14" t="str">
        <x:f>IF(AND(I318="Есть цена",I318="Есть цена"),IF(AND(E318&gt;0,E318&gt;0),E318/E318-1,NA()),"")</x:f>
      </x:c>
      <x:c r="I318" s="2" t="str">
        <x:v>GatorSwap: нет модели цены</x:v>
      </x:c>
      <x:c r="J318" s="2"/>
      <x:c r="K318" s="9"/>
      <x:c r="L318" s="2"/>
      <x:c r="M318" s="2"/>
      <x:c r="N318" s="2"/>
      <x:c r="O318" s="2"/>
      <x:c r="P318" s="2" t="str">
        <x:v>route_decoder_missing</x:v>
      </x:c>
      <x:c r="Q318" s="2" t="str"/>
      <x:c r="R318" s="14" t="str">
        <x:f>IF(AND(C318="Нулевой остаток",I318="Есть цена"),G318,"")</x:f>
      </x:c>
      <x:c r="S318" s="14" t="str">
        <x:f>IF(AND(C318="Докупка",I318="Есть цена"),G318,"")</x:f>
      </x:c>
    </x:row>
    <x:row r="319" ht="21" customHeight="1">
      <x:c r="A319" s="2" t="n">
        <x:v>32</x:v>
      </x:c>
      <x:c r="B319" s="2" t="n">
        <x:v>15</x:v>
      </x:c>
      <x:c r="C319" s="2" t="str">
        <x:f>'Покупки'!C39</x:f>
        <x:v>Докупка</x:v>
      </x:c>
      <x:c r="D319" s="9" t="n">
        <x:v>46282.0030787037</x:v>
      </x:c>
      <x:c r="E319" s="12"/>
      <x:c r="F319" s="12" t="n">
        <x:f>'Покупки'!H39</x:f>
        <x:v>0.20703193442639792</x:v>
      </x:c>
      <x:c r="G319" s="14" t="str">
        <x:f>IF(I319="Есть цена",IF(AND(ISNUMBER(E319),E319&gt;0,F319&gt;0),E319/F319-1,NA()),"")</x:f>
      </x:c>
      <x:c r="H319" s="14" t="str">
        <x:f>IF(AND(I319="Есть цена",I318="Есть цена"),IF(AND(E319&gt;0,E318&gt;0),E319/E318-1,NA()),"")</x:f>
      </x:c>
      <x:c r="I319" s="2" t="str">
        <x:v>GatorSwap: нет модели цены</x:v>
      </x:c>
      <x:c r="J319" s="2"/>
      <x:c r="K319" s="9"/>
      <x:c r="L319" s="2"/>
      <x:c r="M319" s="2"/>
      <x:c r="N319" s="2"/>
      <x:c r="O319" s="2"/>
      <x:c r="P319" s="2" t="str">
        <x:v>route_decoder_missing</x:v>
      </x:c>
      <x:c r="Q319" s="2" t="str"/>
      <x:c r="R319" s="14" t="str">
        <x:f>IF(AND(C319="Нулевой остаток",I319="Есть цена"),G319,"")</x:f>
      </x:c>
      <x:c r="S319" s="14" t="str">
        <x:f>IF(AND(C319="Докупка",I319="Есть цена"),G319,"")</x:f>
      </x:c>
    </x:row>
    <x:row r="320" ht="21" customHeight="1">
      <x:c r="A320" s="2" t="n">
        <x:v>32</x:v>
      </x:c>
      <x:c r="B320" s="2" t="n">
        <x:v>30</x:v>
      </x:c>
      <x:c r="C320" s="2" t="str">
        <x:f>'Покупки'!C39</x:f>
        <x:v>Докупка</x:v>
      </x:c>
      <x:c r="D320" s="9" t="n">
        <x:v>46282.00325231482</x:v>
      </x:c>
      <x:c r="E320" s="12"/>
      <x:c r="F320" s="12" t="n">
        <x:f>'Покупки'!H39</x:f>
        <x:v>0.20703193442639792</x:v>
      </x:c>
      <x:c r="G320" s="14" t="str">
        <x:f>IF(I320="Есть цена",IF(AND(ISNUMBER(E320),E320&gt;0,F320&gt;0),E320/F320-1,NA()),"")</x:f>
      </x:c>
      <x:c r="H320" s="14" t="str">
        <x:f>IF(AND(I320="Есть цена",I318="Есть цена"),IF(AND(E320&gt;0,E318&gt;0),E320/E318-1,NA()),"")</x:f>
      </x:c>
      <x:c r="I320" s="2" t="str">
        <x:v>GatorSwap: нет модели цены</x:v>
      </x:c>
      <x:c r="J320" s="2"/>
      <x:c r="K320" s="9"/>
      <x:c r="L320" s="2"/>
      <x:c r="M320" s="2"/>
      <x:c r="N320" s="2"/>
      <x:c r="O320" s="2"/>
      <x:c r="P320" s="2" t="str">
        <x:v>route_decoder_missing</x:v>
      </x:c>
      <x:c r="Q320" s="2" t="str"/>
      <x:c r="R320" s="14" t="str">
        <x:f>IF(AND(C320="Нулевой остаток",I320="Есть цена"),G320,"")</x:f>
      </x:c>
      <x:c r="S320" s="14" t="str">
        <x:f>IF(AND(C320="Докупка",I320="Есть цена"),G320,"")</x:f>
      </x:c>
    </x:row>
    <x:row r="321" ht="21" customHeight="1">
      <x:c r="A321" s="2" t="n">
        <x:v>32</x:v>
      </x:c>
      <x:c r="B321" s="2" t="n">
        <x:v>60</x:v>
      </x:c>
      <x:c r="C321" s="2" t="str">
        <x:f>'Покупки'!C39</x:f>
        <x:v>Докупка</x:v>
      </x:c>
      <x:c r="D321" s="9" t="n">
        <x:v>46282.003599537034</x:v>
      </x:c>
      <x:c r="E321" s="12"/>
      <x:c r="F321" s="12" t="n">
        <x:f>'Покупки'!H39</x:f>
        <x:v>0.20703193442639792</x:v>
      </x:c>
      <x:c r="G321" s="14" t="str">
        <x:f>IF(I321="Есть цена",IF(AND(ISNUMBER(E321),E321&gt;0,F321&gt;0),E321/F321-1,NA()),"")</x:f>
      </x:c>
      <x:c r="H321" s="14" t="str">
        <x:f>IF(AND(I321="Есть цена",I318="Есть цена"),IF(AND(E321&gt;0,E318&gt;0),E321/E318-1,NA()),"")</x:f>
      </x:c>
      <x:c r="I321" s="2" t="str">
        <x:v>GatorSwap: нет модели цены</x:v>
      </x:c>
      <x:c r="J321" s="2"/>
      <x:c r="K321" s="9"/>
      <x:c r="L321" s="2"/>
      <x:c r="M321" s="2"/>
      <x:c r="N321" s="2"/>
      <x:c r="O321" s="2"/>
      <x:c r="P321" s="2" t="str">
        <x:v>route_decoder_missing</x:v>
      </x:c>
      <x:c r="Q321" s="2" t="str"/>
      <x:c r="R321" s="14" t="str">
        <x:f>IF(AND(C321="Нулевой остаток",I321="Есть цена"),G321,"")</x:f>
      </x:c>
      <x:c r="S321" s="14" t="str">
        <x:f>IF(AND(C321="Докупка",I321="Есть цена"),G321,"")</x:f>
      </x:c>
    </x:row>
    <x:row r="322" ht="21" customHeight="1">
      <x:c r="A322" s="2" t="n">
        <x:v>32</x:v>
      </x:c>
      <x:c r="B322" s="2" t="n">
        <x:v>180</x:v>
      </x:c>
      <x:c r="C322" s="2" t="str">
        <x:f>'Покупки'!C39</x:f>
        <x:v>Докупка</x:v>
      </x:c>
      <x:c r="D322" s="9" t="n">
        <x:v>46282.00498842593</x:v>
      </x:c>
      <x:c r="E322" s="12"/>
      <x:c r="F322" s="12" t="n">
        <x:f>'Покупки'!H39</x:f>
        <x:v>0.20703193442639792</x:v>
      </x:c>
      <x:c r="G322" s="14" t="str">
        <x:f>IF(I322="Есть цена",IF(AND(ISNUMBER(E322),E322&gt;0,F322&gt;0),E322/F322-1,NA()),"")</x:f>
      </x:c>
      <x:c r="H322" s="14" t="str">
        <x:f>IF(AND(I322="Есть цена",I318="Есть цена"),IF(AND(E322&gt;0,E318&gt;0),E322/E318-1,NA()),"")</x:f>
      </x:c>
      <x:c r="I322" s="2" t="str">
        <x:v>GatorSwap: нет модели цены</x:v>
      </x:c>
      <x:c r="J322" s="2"/>
      <x:c r="K322" s="9"/>
      <x:c r="L322" s="2"/>
      <x:c r="M322" s="2"/>
      <x:c r="N322" s="2"/>
      <x:c r="O322" s="2"/>
      <x:c r="P322" s="2" t="str">
        <x:v>route_decoder_missing</x:v>
      </x:c>
      <x:c r="Q322" s="2" t="str"/>
      <x:c r="R322" s="14" t="str">
        <x:f>IF(AND(C322="Нулевой остаток",I322="Есть цена"),G322,"")</x:f>
      </x:c>
      <x:c r="S322" s="14" t="str">
        <x:f>IF(AND(C322="Докупка",I322="Есть цена"),G322,"")</x:f>
      </x:c>
    </x:row>
    <x:row r="323" ht="21" customHeight="1">
      <x:c r="A323" s="2" t="n">
        <x:v>32</x:v>
      </x:c>
      <x:c r="B323" s="2" t="n">
        <x:v>300</x:v>
      </x:c>
      <x:c r="C323" s="2" t="str">
        <x:f>'Покупки'!C39</x:f>
        <x:v>Докупка</x:v>
      </x:c>
      <x:c r="D323" s="9" t="n">
        <x:v>46282.006377314814</x:v>
      </x:c>
      <x:c r="E323" s="12"/>
      <x:c r="F323" s="12" t="n">
        <x:f>'Покупки'!H39</x:f>
        <x:v>0.20703193442639792</x:v>
      </x:c>
      <x:c r="G323" s="14" t="str">
        <x:f>IF(I323="Есть цена",IF(AND(ISNUMBER(E323),E323&gt;0,F323&gt;0),E323/F323-1,NA()),"")</x:f>
      </x:c>
      <x:c r="H323" s="14" t="str">
        <x:f>IF(AND(I323="Есть цена",I318="Есть цена"),IF(AND(E323&gt;0,E318&gt;0),E323/E318-1,NA()),"")</x:f>
      </x:c>
      <x:c r="I323" s="2" t="str">
        <x:v>GatorSwap: нет модели цены</x:v>
      </x:c>
      <x:c r="J323" s="2"/>
      <x:c r="K323" s="9"/>
      <x:c r="L323" s="2"/>
      <x:c r="M323" s="2"/>
      <x:c r="N323" s="2"/>
      <x:c r="O323" s="2"/>
      <x:c r="P323" s="2" t="str">
        <x:v>route_decoder_missing</x:v>
      </x:c>
      <x:c r="Q323" s="2" t="str"/>
      <x:c r="R323" s="14" t="str">
        <x:f>IF(AND(C323="Нулевой остаток",I323="Есть цена"),G323,"")</x:f>
      </x:c>
      <x:c r="S323" s="14" t="str">
        <x:f>IF(AND(C323="Докупка",I323="Есть цена"),G323,"")</x:f>
      </x:c>
    </x:row>
    <x:row r="324" ht="21" customHeight="1">
      <x:c r="A324" s="2" t="n">
        <x:v>32</x:v>
      </x:c>
      <x:c r="B324" s="2" t="n">
        <x:v>900</x:v>
      </x:c>
      <x:c r="C324" s="2" t="str">
        <x:f>'Покупки'!C39</x:f>
        <x:v>Докупка</x:v>
      </x:c>
      <x:c r="D324" s="9" t="n">
        <x:v>46282.01332175926</x:v>
      </x:c>
      <x:c r="E324" s="12"/>
      <x:c r="F324" s="12" t="n">
        <x:f>'Покупки'!H39</x:f>
        <x:v>0.20703193442639792</x:v>
      </x:c>
      <x:c r="G324" s="14" t="str">
        <x:f>IF(I324="Есть цена",IF(AND(ISNUMBER(E324),E324&gt;0,F324&gt;0),E324/F324-1,NA()),"")</x:f>
      </x:c>
      <x:c r="H324" s="14" t="str">
        <x:f>IF(AND(I324="Есть цена",I318="Есть цена"),IF(AND(E324&gt;0,E318&gt;0),E324/E318-1,NA()),"")</x:f>
      </x:c>
      <x:c r="I324" s="2" t="str">
        <x:v>GatorSwap: нет модели цены</x:v>
      </x:c>
      <x:c r="J324" s="2"/>
      <x:c r="K324" s="9"/>
      <x:c r="L324" s="2"/>
      <x:c r="M324" s="2"/>
      <x:c r="N324" s="2"/>
      <x:c r="O324" s="2"/>
      <x:c r="P324" s="2" t="str">
        <x:v>route_decoder_missing</x:v>
      </x:c>
      <x:c r="Q324" s="2" t="str"/>
      <x:c r="R324" s="14" t="str">
        <x:f>IF(AND(C324="Нулевой остаток",I324="Есть цена"),G324,"")</x:f>
      </x:c>
      <x:c r="S324" s="14" t="str">
        <x:f>IF(AND(C324="Докупка",I324="Есть цена"),G324,"")</x:f>
      </x:c>
    </x:row>
    <x:row r="325" ht="21" customHeight="1">
      <x:c r="A325" s="2" t="n">
        <x:v>32</x:v>
      </x:c>
      <x:c r="B325" s="2" t="n">
        <x:v>3600</x:v>
      </x:c>
      <x:c r="C325" s="2" t="str">
        <x:f>'Покупки'!C39</x:f>
        <x:v>Докупка</x:v>
      </x:c>
      <x:c r="D325" s="9" t="n">
        <x:v>46282.04457175926</x:v>
      </x:c>
      <x:c r="E325" s="12"/>
      <x:c r="F325" s="12" t="n">
        <x:f>'Покупки'!H39</x:f>
        <x:v>0.20703193442639792</x:v>
      </x:c>
      <x:c r="G325" s="14" t="str">
        <x:f>IF(I325="Есть цена",IF(AND(ISNUMBER(E325),E325&gt;0,F325&gt;0),E325/F325-1,NA()),"")</x:f>
      </x:c>
      <x:c r="H325" s="14" t="str">
        <x:f>IF(AND(I325="Есть цена",I318="Есть цена"),IF(AND(E325&gt;0,E318&gt;0),E325/E318-1,NA()),"")</x:f>
      </x:c>
      <x:c r="I325" s="2" t="str">
        <x:v>GatorSwap: нет модели цены</x:v>
      </x:c>
      <x:c r="J325" s="2"/>
      <x:c r="K325" s="9"/>
      <x:c r="L325" s="2"/>
      <x:c r="M325" s="2"/>
      <x:c r="N325" s="2"/>
      <x:c r="O325" s="2"/>
      <x:c r="P325" s="2" t="str">
        <x:v>route_decoder_missing</x:v>
      </x:c>
      <x:c r="Q325" s="2" t="str"/>
      <x:c r="R325" s="14" t="str">
        <x:f>IF(AND(C325="Нулевой остаток",I325="Есть цена"),G325,"")</x:f>
      </x:c>
      <x:c r="S325" s="14" t="str">
        <x:f>IF(AND(C325="Докупка",I325="Есть цена"),G325,"")</x:f>
      </x:c>
    </x:row>
    <x:row r="326" ht="21" customHeight="1">
      <x:c r="A326" s="2" t="n">
        <x:v>32</x:v>
      </x:c>
      <x:c r="B326" s="2" t="n">
        <x:v>21600</x:v>
      </x:c>
      <x:c r="C326" s="2" t="str">
        <x:f>'Покупки'!C39</x:f>
        <x:v>Докупка</x:v>
      </x:c>
      <x:c r="D326" s="9" t="n">
        <x:v>46282.252905092595</x:v>
      </x:c>
      <x:c r="E326" s="12"/>
      <x:c r="F326" s="12" t="n">
        <x:f>'Покупки'!H39</x:f>
        <x:v>0.20703193442639792</x:v>
      </x:c>
      <x:c r="G326" s="14" t="str">
        <x:f>IF(I326="Есть цена",IF(AND(ISNUMBER(E326),E326&gt;0,F326&gt;0),E326/F326-1,NA()),"")</x:f>
      </x:c>
      <x:c r="H326" s="14" t="str">
        <x:f>IF(AND(I326="Есть цена",I318="Есть цена"),IF(AND(E326&gt;0,E318&gt;0),E326/E318-1,NA()),"")</x:f>
      </x:c>
      <x:c r="I326" s="2" t="str">
        <x:v>GatorSwap: нет модели цены</x:v>
      </x:c>
      <x:c r="J326" s="2"/>
      <x:c r="K326" s="9"/>
      <x:c r="L326" s="2"/>
      <x:c r="M326" s="2"/>
      <x:c r="N326" s="2"/>
      <x:c r="O326" s="2"/>
      <x:c r="P326" s="2" t="str">
        <x:v>route_decoder_missing</x:v>
      </x:c>
      <x:c r="Q326" s="2" t="str"/>
      <x:c r="R326" s="14" t="str">
        <x:f>IF(AND(C326="Нулевой остаток",I326="Есть цена"),G326,"")</x:f>
      </x:c>
      <x:c r="S326" s="14" t="str">
        <x:f>IF(AND(C326="Докупка",I326="Есть цена"),G326,"")</x:f>
      </x:c>
    </x:row>
    <x:row r="327" ht="21" customHeight="1">
      <x:c r="A327" s="2" t="n">
        <x:v>32</x:v>
      </x:c>
      <x:c r="B327" s="2" t="n">
        <x:v>86400</x:v>
      </x:c>
      <x:c r="C327" s="2" t="str">
        <x:f>'Покупки'!C39</x:f>
        <x:v>Докупка</x:v>
      </x:c>
      <x:c r="D327" s="9" t="n">
        <x:v>46283.002905092595</x:v>
      </x:c>
      <x:c r="E327" s="12"/>
      <x:c r="F327" s="12" t="n">
        <x:f>'Покупки'!H39</x:f>
        <x:v>0.20703193442639792</x:v>
      </x:c>
      <x:c r="G327" s="14" t="str">
        <x:f>IF(I327="Есть цена",IF(AND(ISNUMBER(E327),E327&gt;0,F327&gt;0),E327/F327-1,NA()),"")</x:f>
      </x:c>
      <x:c r="H327" s="14" t="str">
        <x:f>IF(AND(I327="Есть цена",I318="Есть цена"),IF(AND(E327&gt;0,E318&gt;0),E327/E318-1,NA()),"")</x:f>
      </x:c>
      <x:c r="I327" s="2" t="str">
        <x:v>Ещё рано</x:v>
      </x:c>
      <x:c r="J327" s="2"/>
      <x:c r="K327" s="9"/>
      <x:c r="L327" s="2"/>
      <x:c r="M327" s="2"/>
      <x:c r="N327" s="2"/>
      <x:c r="O327" s="2"/>
      <x:c r="P327" s="2" t="str">
        <x:v>future</x:v>
      </x:c>
      <x:c r="Q327" s="2" t="str"/>
      <x:c r="R327" s="14" t="str">
        <x:f>IF(AND(C327="Нулевой остаток",I327="Есть цена"),G327,"")</x:f>
      </x:c>
      <x:c r="S327" s="14" t="str">
        <x:f>IF(AND(C327="Докупка",I327="Есть цена"),G327,"")</x:f>
      </x:c>
    </x:row>
    <x:row r="328" ht="21" customHeight="1">
      <x:c r="A328" s="2" t="n">
        <x:v>33</x:v>
      </x:c>
      <x:c r="B328" s="2" t="n">
        <x:v>5</x:v>
      </x:c>
      <x:c r="C328" s="2" t="str">
        <x:f>'Покупки'!C40</x:f>
        <x:v>Докупка</x:v>
      </x:c>
      <x:c r="D328" s="9" t="n">
        <x:v>46281.9828587963</x:v>
      </x:c>
      <x:c r="E328" s="12"/>
      <x:c r="F328" s="12" t="n">
        <x:f>'Покупки'!H40</x:f>
        <x:v>0.20118265148982958</x:v>
      </x:c>
      <x:c r="G328" s="14" t="str">
        <x:f>IF(I328="Есть цена",IF(AND(ISNUMBER(E328),E328&gt;0,F328&gt;0),E328/F328-1,NA()),"")</x:f>
      </x:c>
      <x:c r="H328" s="14" t="str">
        <x:f>IF(AND(I328="Есть цена",I328="Есть цена"),IF(AND(E328&gt;0,E328&gt;0),E328/E328-1,NA()),"")</x:f>
      </x:c>
      <x:c r="I328" s="2" t="str">
        <x:v>RPC: данные не загружены</x:v>
      </x:c>
      <x:c r="J328" s="2"/>
      <x:c r="K328" s="9"/>
      <x:c r="L328" s="2"/>
      <x:c r="M328" s="2"/>
      <x:c r="N328" s="2"/>
      <x:c r="O328" s="2"/>
      <x:c r="P328" s="2" t="str">
        <x:v>not_cached:getSignaturesForAddress:history/faadc7f7fc43c0493a6d3812</x:v>
      </x:c>
      <x:c r="Q328" s="2" t="str"/>
      <x:c r="R328" s="14" t="str">
        <x:f>IF(AND(C328="Нулевой остаток",I328="Есть цена"),G328,"")</x:f>
      </x:c>
      <x:c r="S328" s="14" t="str">
        <x:f>IF(AND(C328="Докупка",I328="Есть цена"),G328,"")</x:f>
      </x:c>
    </x:row>
    <x:row r="329" ht="21" customHeight="1">
      <x:c r="A329" s="2" t="n">
        <x:v>33</x:v>
      </x:c>
      <x:c r="B329" s="2" t="n">
        <x:v>15</x:v>
      </x:c>
      <x:c r="C329" s="2" t="str">
        <x:f>'Покупки'!C40</x:f>
        <x:v>Докупка</x:v>
      </x:c>
      <x:c r="D329" s="9" t="n">
        <x:v>46281.98297453704</x:v>
      </x:c>
      <x:c r="E329" s="12"/>
      <x:c r="F329" s="12" t="n">
        <x:f>'Покупки'!H40</x:f>
        <x:v>0.20118265148982958</x:v>
      </x:c>
      <x:c r="G329" s="14" t="str">
        <x:f>IF(I329="Есть цена",IF(AND(ISNUMBER(E329),E329&gt;0,F329&gt;0),E329/F329-1,NA()),"")</x:f>
      </x:c>
      <x:c r="H329" s="14" t="str">
        <x:f>IF(AND(I329="Есть цена",I328="Есть цена"),IF(AND(E329&gt;0,E328&gt;0),E329/E328-1,NA()),"")</x:f>
      </x:c>
      <x:c r="I329" s="2" t="str">
        <x:v>RPC: данные не загружены</x:v>
      </x:c>
      <x:c r="J329" s="2"/>
      <x:c r="K329" s="9"/>
      <x:c r="L329" s="2"/>
      <x:c r="M329" s="2"/>
      <x:c r="N329" s="2"/>
      <x:c r="O329" s="2"/>
      <x:c r="P329" s="2" t="str">
        <x:v>not_cached:getSignaturesForAddress:history/faadc7f7fc43c0493a6d3812</x:v>
      </x:c>
      <x:c r="Q329" s="2" t="str"/>
      <x:c r="R329" s="14" t="str">
        <x:f>IF(AND(C329="Нулевой остаток",I329="Есть цена"),G329,"")</x:f>
      </x:c>
      <x:c r="S329" s="14" t="str">
        <x:f>IF(AND(C329="Докупка",I329="Есть цена"),G329,"")</x:f>
      </x:c>
    </x:row>
    <x:row r="330" ht="21" customHeight="1">
      <x:c r="A330" s="2" t="n">
        <x:v>33</x:v>
      </x:c>
      <x:c r="B330" s="2" t="n">
        <x:v>30</x:v>
      </x:c>
      <x:c r="C330" s="2" t="str">
        <x:f>'Покупки'!C40</x:f>
        <x:v>Докупка</x:v>
      </x:c>
      <x:c r="D330" s="9" t="n">
        <x:v>46281.983148148145</x:v>
      </x:c>
      <x:c r="E330" s="12"/>
      <x:c r="F330" s="12" t="n">
        <x:f>'Покупки'!H40</x:f>
        <x:v>0.20118265148982958</x:v>
      </x:c>
      <x:c r="G330" s="14" t="str">
        <x:f>IF(I330="Есть цена",IF(AND(ISNUMBER(E330),E330&gt;0,F330&gt;0),E330/F330-1,NA()),"")</x:f>
      </x:c>
      <x:c r="H330" s="14" t="str">
        <x:f>IF(AND(I330="Есть цена",I328="Есть цена"),IF(AND(E330&gt;0,E328&gt;0),E330/E328-1,NA()),"")</x:f>
      </x:c>
      <x:c r="I330" s="2" t="str">
        <x:v>RPC: данные не загружены</x:v>
      </x:c>
      <x:c r="J330" s="2"/>
      <x:c r="K330" s="9"/>
      <x:c r="L330" s="2"/>
      <x:c r="M330" s="2"/>
      <x:c r="N330" s="2"/>
      <x:c r="O330" s="2"/>
      <x:c r="P330" s="2" t="str">
        <x:v>not_cached:getSignaturesForAddress:history/faadc7f7fc43c0493a6d3812</x:v>
      </x:c>
      <x:c r="Q330" s="2" t="str"/>
      <x:c r="R330" s="14" t="str">
        <x:f>IF(AND(C330="Нулевой остаток",I330="Есть цена"),G330,"")</x:f>
      </x:c>
      <x:c r="S330" s="14" t="str">
        <x:f>IF(AND(C330="Докупка",I330="Есть цена"),G330,"")</x:f>
      </x:c>
    </x:row>
    <x:row r="331" ht="21" customHeight="1">
      <x:c r="A331" s="2" t="n">
        <x:v>33</x:v>
      </x:c>
      <x:c r="B331" s="2" t="n">
        <x:v>60</x:v>
      </x:c>
      <x:c r="C331" s="2" t="str">
        <x:f>'Покупки'!C40</x:f>
        <x:v>Докупка</x:v>
      </x:c>
      <x:c r="D331" s="9" t="n">
        <x:v>46281.98349537037</x:v>
      </x:c>
      <x:c r="E331" s="12"/>
      <x:c r="F331" s="12" t="n">
        <x:f>'Покупки'!H40</x:f>
        <x:v>0.20118265148982958</x:v>
      </x:c>
      <x:c r="G331" s="14" t="str">
        <x:f>IF(I331="Есть цена",IF(AND(ISNUMBER(E331),E331&gt;0,F331&gt;0),E331/F331-1,NA()),"")</x:f>
      </x:c>
      <x:c r="H331" s="14" t="str">
        <x:f>IF(AND(I331="Есть цена",I328="Есть цена"),IF(AND(E331&gt;0,E328&gt;0),E331/E328-1,NA()),"")</x:f>
      </x:c>
      <x:c r="I331" s="2" t="str">
        <x:v>RPC: данные не загружены</x:v>
      </x:c>
      <x:c r="J331" s="2"/>
      <x:c r="K331" s="9"/>
      <x:c r="L331" s="2"/>
      <x:c r="M331" s="2"/>
      <x:c r="N331" s="2"/>
      <x:c r="O331" s="2"/>
      <x:c r="P331" s="2" t="str">
        <x:v>not_cached:getSignaturesForAddress:history/faadc7f7fc43c0493a6d3812</x:v>
      </x:c>
      <x:c r="Q331" s="2" t="str"/>
      <x:c r="R331" s="14" t="str">
        <x:f>IF(AND(C331="Нулевой остаток",I331="Есть цена"),G331,"")</x:f>
      </x:c>
      <x:c r="S331" s="14" t="str">
        <x:f>IF(AND(C331="Докупка",I331="Есть цена"),G331,"")</x:f>
      </x:c>
    </x:row>
    <x:row r="332" ht="21" customHeight="1">
      <x:c r="A332" s="2" t="n">
        <x:v>33</x:v>
      </x:c>
      <x:c r="B332" s="2" t="n">
        <x:v>180</x:v>
      </x:c>
      <x:c r="C332" s="2" t="str">
        <x:f>'Покупки'!C40</x:f>
        <x:v>Докупка</x:v>
      </x:c>
      <x:c r="D332" s="9" t="n">
        <x:v>46281.98488425926</x:v>
      </x:c>
      <x:c r="E332" s="12"/>
      <x:c r="F332" s="12" t="n">
        <x:f>'Покупки'!H40</x:f>
        <x:v>0.20118265148982958</x:v>
      </x:c>
      <x:c r="G332" s="14" t="str">
        <x:f>IF(I332="Есть цена",IF(AND(ISNUMBER(E332),E332&gt;0,F332&gt;0),E332/F332-1,NA()),"")</x:f>
      </x:c>
      <x:c r="H332" s="14" t="str">
        <x:f>IF(AND(I332="Есть цена",I328="Есть цена"),IF(AND(E332&gt;0,E328&gt;0),E332/E328-1,NA()),"")</x:f>
      </x:c>
      <x:c r="I332" s="2" t="str">
        <x:v>RPC: данные не загружены</x:v>
      </x:c>
      <x:c r="J332" s="2"/>
      <x:c r="K332" s="9"/>
      <x:c r="L332" s="2"/>
      <x:c r="M332" s="2"/>
      <x:c r="N332" s="2"/>
      <x:c r="O332" s="2"/>
      <x:c r="P332" s="2" t="str">
        <x:v>not_cached:getSignaturesForAddress:history/f2a7f1ab2a65fd4f25b950f4</x:v>
      </x:c>
      <x:c r="Q332" s="2" t="str"/>
      <x:c r="R332" s="14" t="str">
        <x:f>IF(AND(C332="Нулевой остаток",I332="Есть цена"),G332,"")</x:f>
      </x:c>
      <x:c r="S332" s="14" t="str">
        <x:f>IF(AND(C332="Докупка",I332="Есть цена"),G332,"")</x:f>
      </x:c>
    </x:row>
    <x:row r="333" ht="21" customHeight="1">
      <x:c r="A333" s="2" t="n">
        <x:v>33</x:v>
      </x:c>
      <x:c r="B333" s="2" t="n">
        <x:v>300</x:v>
      </x:c>
      <x:c r="C333" s="2" t="str">
        <x:f>'Покупки'!C40</x:f>
        <x:v>Докупка</x:v>
      </x:c>
      <x:c r="D333" s="9" t="n">
        <x:v>46281.98627314815</x:v>
      </x:c>
      <x:c r="E333" s="12"/>
      <x:c r="F333" s="12" t="n">
        <x:f>'Покупки'!H40</x:f>
        <x:v>0.20118265148982958</x:v>
      </x:c>
      <x:c r="G333" s="14" t="str">
        <x:f>IF(I333="Есть цена",IF(AND(ISNUMBER(E333),E333&gt;0,F333&gt;0),E333/F333-1,NA()),"")</x:f>
      </x:c>
      <x:c r="H333" s="14" t="str">
        <x:f>IF(AND(I333="Есть цена",I328="Есть цена"),IF(AND(E333&gt;0,E328&gt;0),E333/E328-1,NA()),"")</x:f>
      </x:c>
      <x:c r="I333" s="2" t="str">
        <x:v>RPC: данные не загружены</x:v>
      </x:c>
      <x:c r="J333" s="2"/>
      <x:c r="K333" s="9"/>
      <x:c r="L333" s="2"/>
      <x:c r="M333" s="2"/>
      <x:c r="N333" s="2"/>
      <x:c r="O333" s="2"/>
      <x:c r="P333" s="2" t="str">
        <x:v>not_cached:getSignaturesForAddress:history/f2a7f1ab2a65fd4f25b950f4</x:v>
      </x:c>
      <x:c r="Q333" s="2" t="str"/>
      <x:c r="R333" s="14" t="str">
        <x:f>IF(AND(C333="Нулевой остаток",I333="Есть цена"),G333,"")</x:f>
      </x:c>
      <x:c r="S333" s="14" t="str">
        <x:f>IF(AND(C333="Докупка",I333="Есть цена"),G333,"")</x:f>
      </x:c>
    </x:row>
    <x:row r="334" ht="21" customHeight="1">
      <x:c r="A334" s="2" t="n">
        <x:v>33</x:v>
      </x:c>
      <x:c r="B334" s="2" t="n">
        <x:v>900</x:v>
      </x:c>
      <x:c r="C334" s="2" t="str">
        <x:f>'Покупки'!C40</x:f>
        <x:v>Докупка</x:v>
      </x:c>
      <x:c r="D334" s="9" t="n">
        <x:v>46281.99321759259</x:v>
      </x:c>
      <x:c r="E334" s="12"/>
      <x:c r="F334" s="12" t="n">
        <x:f>'Покупки'!H40</x:f>
        <x:v>0.20118265148982958</x:v>
      </x:c>
      <x:c r="G334" s="14" t="str">
        <x:f>IF(I334="Есть цена",IF(AND(ISNUMBER(E334),E334&gt;0,F334&gt;0),E334/F334-1,NA()),"")</x:f>
      </x:c>
      <x:c r="H334" s="14" t="str">
        <x:f>IF(AND(I334="Есть цена",I328="Есть цена"),IF(AND(E334&gt;0,E328&gt;0),E334/E328-1,NA()),"")</x:f>
      </x:c>
      <x:c r="I334" s="2" t="str">
        <x:v>RPC: данные не загружены</x:v>
      </x:c>
      <x:c r="J334" s="2"/>
      <x:c r="K334" s="9"/>
      <x:c r="L334" s="2"/>
      <x:c r="M334" s="2"/>
      <x:c r="N334" s="2"/>
      <x:c r="O334" s="2"/>
      <x:c r="P334" s="2" t="str">
        <x:v>not_cached:getSignaturesForAddress:history/f2a7f1ab2a65fd4f25b950f4</x:v>
      </x:c>
      <x:c r="Q334" s="2" t="str"/>
      <x:c r="R334" s="14" t="str">
        <x:f>IF(AND(C334="Нулевой остаток",I334="Есть цена"),G334,"")</x:f>
      </x:c>
      <x:c r="S334" s="14" t="str">
        <x:f>IF(AND(C334="Докупка",I334="Есть цена"),G334,"")</x:f>
      </x:c>
    </x:row>
    <x:row r="335" ht="21" customHeight="1">
      <x:c r="A335" s="2" t="n">
        <x:v>33</x:v>
      </x:c>
      <x:c r="B335" s="2" t="n">
        <x:v>3600</x:v>
      </x:c>
      <x:c r="C335" s="2" t="str">
        <x:f>'Покупки'!C40</x:f>
        <x:v>Докупка</x:v>
      </x:c>
      <x:c r="D335" s="9" t="n">
        <x:v>46282.02446759259</x:v>
      </x:c>
      <x:c r="E335" s="12"/>
      <x:c r="F335" s="12" t="n">
        <x:f>'Покупки'!H40</x:f>
        <x:v>0.20118265148982958</x:v>
      </x:c>
      <x:c r="G335" s="14" t="str">
        <x:f>IF(I335="Есть цена",IF(AND(ISNUMBER(E335),E335&gt;0,F335&gt;0),E335/F335-1,NA()),"")</x:f>
      </x:c>
      <x:c r="H335" s="14" t="str">
        <x:f>IF(AND(I335="Есть цена",I328="Есть цена"),IF(AND(E335&gt;0,E328&gt;0),E335/E328-1,NA()),"")</x:f>
      </x:c>
      <x:c r="I335" s="2" t="str">
        <x:v>RPC: данные не загружены</x:v>
      </x:c>
      <x:c r="J335" s="2"/>
      <x:c r="K335" s="9"/>
      <x:c r="L335" s="2"/>
      <x:c r="M335" s="2"/>
      <x:c r="N335" s="2"/>
      <x:c r="O335" s="2"/>
      <x:c r="P335" s="2" t="str">
        <x:v>not_cached:getSignaturesForAddress:history/e7961b9ceedd8dbab33dbb43</x:v>
      </x:c>
      <x:c r="Q335" s="2" t="str"/>
      <x:c r="R335" s="14" t="str">
        <x:f>IF(AND(C335="Нулевой остаток",I335="Есть цена"),G335,"")</x:f>
      </x:c>
      <x:c r="S335" s="14" t="str">
        <x:f>IF(AND(C335="Докупка",I335="Есть цена"),G335,"")</x:f>
      </x:c>
    </x:row>
    <x:row r="336" ht="21" customHeight="1">
      <x:c r="A336" s="2" t="n">
        <x:v>33</x:v>
      </x:c>
      <x:c r="B336" s="2" t="n">
        <x:v>21600</x:v>
      </x:c>
      <x:c r="C336" s="2" t="str">
        <x:f>'Покупки'!C40</x:f>
        <x:v>Докупка</x:v>
      </x:c>
      <x:c r="D336" s="9" t="n">
        <x:v>46282.23280092593</x:v>
      </x:c>
      <x:c r="E336" s="12"/>
      <x:c r="F336" s="12" t="n">
        <x:f>'Покупки'!H40</x:f>
        <x:v>0.20118265148982958</x:v>
      </x:c>
      <x:c r="G336" s="14" t="str">
        <x:f>IF(I336="Есть цена",IF(AND(ISNUMBER(E336),E336&gt;0,F336&gt;0),E336/F336-1,NA()),"")</x:f>
      </x:c>
      <x:c r="H336" s="14" t="str">
        <x:f>IF(AND(I336="Есть цена",I328="Есть цена"),IF(AND(E336&gt;0,E328&gt;0),E336/E328-1,NA()),"")</x:f>
      </x:c>
      <x:c r="I336" s="2" t="str">
        <x:v>RPC: данные не загружены</x:v>
      </x:c>
      <x:c r="J336" s="2"/>
      <x:c r="K336" s="9"/>
      <x:c r="L336" s="2"/>
      <x:c r="M336" s="2"/>
      <x:c r="N336" s="2"/>
      <x:c r="O336" s="2"/>
      <x:c r="P336" s="2" t="str">
        <x:v>not_cached:getSignaturesForAddress:history/7c6858ce43f9727f22252bb9</x:v>
      </x:c>
      <x:c r="Q336" s="2" t="str"/>
      <x:c r="R336" s="14" t="str">
        <x:f>IF(AND(C336="Нулевой остаток",I336="Есть цена"),G336,"")</x:f>
      </x:c>
      <x:c r="S336" s="14" t="str">
        <x:f>IF(AND(C336="Докупка",I336="Есть цена"),G336,"")</x:f>
      </x:c>
    </x:row>
    <x:row r="337" ht="21" customHeight="1">
      <x:c r="A337" s="2" t="n">
        <x:v>33</x:v>
      </x:c>
      <x:c r="B337" s="2" t="n">
        <x:v>86400</x:v>
      </x:c>
      <x:c r="C337" s="2" t="str">
        <x:f>'Покупки'!C40</x:f>
        <x:v>Докупка</x:v>
      </x:c>
      <x:c r="D337" s="9" t="n">
        <x:v>46282.98280092593</x:v>
      </x:c>
      <x:c r="E337" s="12"/>
      <x:c r="F337" s="12" t="n">
        <x:f>'Покупки'!H40</x:f>
        <x:v>0.20118265148982958</x:v>
      </x:c>
      <x:c r="G337" s="14" t="str">
        <x:f>IF(I337="Есть цена",IF(AND(ISNUMBER(E337),E337&gt;0,F337&gt;0),E337/F337-1,NA()),"")</x:f>
      </x:c>
      <x:c r="H337" s="14" t="str">
        <x:f>IF(AND(I337="Есть цена",I328="Есть цена"),IF(AND(E337&gt;0,E328&gt;0),E337/E328-1,NA()),"")</x:f>
      </x:c>
      <x:c r="I337" s="2" t="str">
        <x:v>Ещё рано</x:v>
      </x:c>
      <x:c r="J337" s="2"/>
      <x:c r="K337" s="9"/>
      <x:c r="L337" s="2"/>
      <x:c r="M337" s="2"/>
      <x:c r="N337" s="2"/>
      <x:c r="O337" s="2"/>
      <x:c r="P337" s="2" t="str">
        <x:v>future</x:v>
      </x:c>
      <x:c r="Q337" s="2" t="str"/>
      <x:c r="R337" s="14" t="str">
        <x:f>IF(AND(C337="Нулевой остаток",I337="Есть цена"),G337,"")</x:f>
      </x:c>
      <x:c r="S337" s="14" t="str">
        <x:f>IF(AND(C337="Докупка",I337="Есть цена"),G337,"")</x:f>
      </x:c>
    </x:row>
    <x:row r="338" ht="21" customHeight="1">
      <x:c r="A338" s="2" t="n">
        <x:v>34</x:v>
      </x:c>
      <x:c r="B338" s="2" t="n">
        <x:v>5</x:v>
      </x:c>
      <x:c r="C338" s="2" t="str">
        <x:f>'Покупки'!C41</x:f>
        <x:v>Докупка</x:v>
      </x:c>
      <x:c r="D338" s="9" t="n">
        <x:v>46281.96925925926</x:v>
      </x:c>
      <x:c r="E338" s="12" t="n">
        <x:v>0.00032916435605963605</x:v>
      </x:c>
      <x:c r="F338" s="12" t="n">
        <x:f>'Покупки'!H41</x:f>
        <x:v>0.00017247353585185245</x:v>
      </x:c>
      <x:c r="G338" s="14" t="n">
        <x:f>IF(I338="Есть цена",IF(AND(ISNUMBER(E338),E338&gt;0,F338&gt;0),E338/F338-1,NA()),"")</x:f>
        <x:v>0.9084919575277592</x:v>
      </x:c>
      <x:c r="H338" s="14" t="n">
        <x:f>IF(AND(I338="Есть цена",I338="Есть цена"),IF(AND(E338&gt;0,E338&gt;0),E338/E338-1,NA()),"")</x:f>
        <x:v>0</x:v>
      </x:c>
      <x:c r="I338" s="2" t="str">
        <x:v>Есть цена</x:v>
      </x:c>
      <x:c r="J338" s="2" t="n">
        <x:v>447644990</x:v>
      </x:c>
      <x:c r="K338" s="9" t="n">
        <x:v>46281.969247685185</x:v>
      </x:c>
      <x:c r="L338" s="2" t="n">
        <x:v>1</x:v>
      </x:c>
      <x:c r="M338" s="2" t="n">
        <x:v>1</x:v>
      </x:c>
      <x:c r="N338" s="2" t="str">
        <x:v>LeZ2DH1y7bqzAghYbXqKB6fNxoBKqPSPihv3EmkLBRv</x:v>
      </x:c>
      <x:c r="O338" s="2"/>
      <x:c r="P338" s="2" t="str">
        <x:v>previous_WOW_calculation</x:v>
      </x:c>
      <x:c r="Q338" s="2" t="str">
        <x:v>78ReVNMLGRWmjtf2HmBoHUe2pRcsctXTTbxJnbhchyze; slot 447644992; age 1s</x:v>
      </x:c>
      <x:c r="R338" s="14" t="str">
        <x:f>IF(AND(C338="Нулевой остаток",I338="Есть цена"),G338,"")</x:f>
      </x:c>
      <x:c r="S338" s="14" t="n">
        <x:f>IF(AND(C338="Докупка",I338="Есть цена"),G338,"")</x:f>
        <x:v>0.9084919575277592</x:v>
      </x:c>
    </x:row>
    <x:row r="339" ht="21" customHeight="1">
      <x:c r="A339" s="2" t="n">
        <x:v>34</x:v>
      </x:c>
      <x:c r="B339" s="2" t="n">
        <x:v>15</x:v>
      </x:c>
      <x:c r="C339" s="2" t="str">
        <x:f>'Покупки'!C41</x:f>
        <x:v>Докупка</x:v>
      </x:c>
      <x:c r="D339" s="9" t="n">
        <x:v>46281.969375</x:v>
      </x:c>
      <x:c r="E339" s="12" t="n">
        <x:v>0.00036093488616861016</x:v>
      </x:c>
      <x:c r="F339" s="12" t="n">
        <x:f>'Покупки'!H41</x:f>
        <x:v>0.00017247353585185245</x:v>
      </x:c>
      <x:c r="G339" s="14" t="n">
        <x:f>IF(I339="Есть цена",IF(AND(ISNUMBER(E339),E339&gt;0,F339&gt;0),E339/F339-1,NA()),"")</x:f>
        <x:v>1.0926972035793256</x:v>
      </x:c>
      <x:c r="H339" s="14" t="n">
        <x:f>IF(AND(I339="Есть цена",I338="Есть цена"),IF(AND(E339&gt;0,E338&gt;0),E339/E338-1,NA()),"")</x:f>
        <x:v>0.09651874367350421</x:v>
      </x:c>
      <x:c r="I339" s="2" t="str">
        <x:v>Есть цена</x:v>
      </x:c>
      <x:c r="J339" s="2" t="n">
        <x:v>447645026</x:v>
      </x:c>
      <x:c r="K339" s="9" t="n">
        <x:v>46281.969375</x:v>
      </x:c>
      <x:c r="L339" s="2" t="n">
        <x:v>0</x:v>
      </x:c>
      <x:c r="M339" s="2" t="n">
        <x:v>0</x:v>
      </x:c>
      <x:c r="N339" s="2" t="str">
        <x:v>LeZ2DH1y7bqzAghYbXqKB6fNxoBKqPSPihv3EmkLBRv</x:v>
      </x:c>
      <x:c r="O339" s="2"/>
      <x:c r="P339" s="2" t="str">
        <x:v>previous_WOW_calculation</x:v>
      </x:c>
      <x:c r="Q339" s="2" t="str">
        <x:v>78ReVNMLGRWmjtf2HmBoHUe2pRcsctXTTbxJnbhchyze; slot 447645026; age 0s</x:v>
      </x:c>
      <x:c r="R339" s="14" t="str">
        <x:f>IF(AND(C339="Нулевой остаток",I339="Есть цена"),G339,"")</x:f>
      </x:c>
      <x:c r="S339" s="14" t="n">
        <x:f>IF(AND(C339="Докупка",I339="Есть цена"),G339,"")</x:f>
        <x:v>1.0926972035793256</x:v>
      </x:c>
    </x:row>
    <x:row r="340" ht="21" customHeight="1">
      <x:c r="A340" s="2" t="n">
        <x:v>34</x:v>
      </x:c>
      <x:c r="B340" s="2" t="n">
        <x:v>30</x:v>
      </x:c>
      <x:c r="C340" s="2" t="str">
        <x:f>'Покупки'!C41</x:f>
        <x:v>Докупка</x:v>
      </x:c>
      <x:c r="D340" s="9" t="n">
        <x:v>46281.96954861111</x:v>
      </x:c>
      <x:c r="E340" s="12" t="n">
        <x:v>0.0003890824882358155</x:v>
      </x:c>
      <x:c r="F340" s="12" t="n">
        <x:f>'Покупки'!H41</x:f>
        <x:v>0.00017247353585185245</x:v>
      </x:c>
      <x:c r="G340" s="14" t="n">
        <x:f>IF(I340="Есть цена",IF(AND(ISNUMBER(E340),E340&gt;0,F340&gt;0),E340/F340-1,NA()),"")</x:f>
        <x:v>1.2558967456318695</x:v>
      </x:c>
      <x:c r="H340" s="14" t="n">
        <x:f>IF(AND(I340="Есть цена",I338="Есть цена"),IF(AND(E340&gt;0,E338&gt;0),E340/E338-1,NA()),"")</x:f>
        <x:v>0.1820310464153776</x:v>
      </x:c>
      <x:c r="I340" s="2" t="str">
        <x:v>Есть цена</x:v>
      </x:c>
      <x:c r="J340" s="2" t="n">
        <x:v>447645074</x:v>
      </x:c>
      <x:c r="K340" s="9" t="n">
        <x:v>46281.96954861111</x:v>
      </x:c>
      <x:c r="L340" s="2" t="n">
        <x:v>0</x:v>
      </x:c>
      <x:c r="M340" s="2" t="n">
        <x:v>0</x:v>
      </x:c>
      <x:c r="N340" s="2" t="str">
        <x:v>LeZ2DH1y7bqzAghYbXqKB6fNxoBKqPSPihv3EmkLBRv</x:v>
      </x:c>
      <x:c r="O340" s="2"/>
      <x:c r="P340" s="2" t="str">
        <x:v>previous_WOW_calculation</x:v>
      </x:c>
      <x:c r="Q340" s="2" t="str">
        <x:v>78ReVNMLGRWmjtf2HmBoHUe2pRcsctXTTbxJnbhchyze; slot 447645074; age 0s</x:v>
      </x:c>
      <x:c r="R340" s="14" t="str">
        <x:f>IF(AND(C340="Нулевой остаток",I340="Есть цена"),G340,"")</x:f>
      </x:c>
      <x:c r="S340" s="14" t="n">
        <x:f>IF(AND(C340="Докупка",I340="Есть цена"),G340,"")</x:f>
        <x:v>1.2558967456318695</x:v>
      </x:c>
    </x:row>
    <x:row r="341" ht="21" customHeight="1">
      <x:c r="A341" s="2" t="n">
        <x:v>34</x:v>
      </x:c>
      <x:c r="B341" s="2" t="n">
        <x:v>60</x:v>
      </x:c>
      <x:c r="C341" s="2" t="str">
        <x:f>'Покупки'!C41</x:f>
        <x:v>Докупка</x:v>
      </x:c>
      <x:c r="D341" s="9" t="n">
        <x:v>46281.96989583333</x:v>
      </x:c>
      <x:c r="E341" s="12" t="n">
        <x:v>0.00033216412138190125</x:v>
      </x:c>
      <x:c r="F341" s="12" t="n">
        <x:f>'Покупки'!H41</x:f>
        <x:v>0.00017247353585185245</x:v>
      </x:c>
      <x:c r="G341" s="14" t="n">
        <x:f>IF(I341="Есть цена",IF(AND(ISNUMBER(E341),E341&gt;0,F341&gt;0),E341/F341-1,NA()),"")</x:f>
        <x:v>0.9258845697186631</x:v>
      </x:c>
      <x:c r="H341" s="14" t="n">
        <x:f>IF(AND(I341="Есть цена",I338="Есть цена"),IF(AND(E341&gt;0,E338&gt;0),E341/E338-1,NA()),"")</x:f>
        <x:v>0.00911327507684856</x:v>
      </x:c>
      <x:c r="I341" s="2" t="str">
        <x:v>Есть цена</x:v>
      </x:c>
      <x:c r="J341" s="2" t="n">
        <x:v>447645170</x:v>
      </x:c>
      <x:c r="K341" s="9" t="n">
        <x:v>46281.96989583333</x:v>
      </x:c>
      <x:c r="L341" s="2" t="n">
        <x:v>0</x:v>
      </x:c>
      <x:c r="M341" s="2" t="n">
        <x:v>0</x:v>
      </x:c>
      <x:c r="N341" s="2" t="str">
        <x:v>LeZ2DH1y7bqzAghYbXqKB6fNxoBKqPSPihv3EmkLBRv</x:v>
      </x:c>
      <x:c r="O341" s="2"/>
      <x:c r="P341" s="2" t="str">
        <x:v>previous_WOW_calculation</x:v>
      </x:c>
      <x:c r="Q341" s="2" t="str">
        <x:v>78ReVNMLGRWmjtf2HmBoHUe2pRcsctXTTbxJnbhchyze; slot 447645170; age 0s</x:v>
      </x:c>
      <x:c r="R341" s="14" t="str">
        <x:f>IF(AND(C341="Нулевой остаток",I341="Есть цена"),G341,"")</x:f>
      </x:c>
      <x:c r="S341" s="14" t="n">
        <x:f>IF(AND(C341="Докупка",I341="Есть цена"),G341,"")</x:f>
        <x:v>0.9258845697186631</x:v>
      </x:c>
    </x:row>
    <x:row r="342" ht="21" customHeight="1">
      <x:c r="A342" s="2" t="n">
        <x:v>34</x:v>
      </x:c>
      <x:c r="B342" s="2" t="n">
        <x:v>180</x:v>
      </x:c>
      <x:c r="C342" s="2" t="str">
        <x:f>'Покупки'!C41</x:f>
        <x:v>Докупка</x:v>
      </x:c>
      <x:c r="D342" s="9" t="n">
        <x:v>46281.971284722225</x:v>
      </x:c>
      <x:c r="E342" s="12" t="n">
        <x:v>0.0002602435443137963</x:v>
      </x:c>
      <x:c r="F342" s="12" t="n">
        <x:f>'Покупки'!H41</x:f>
        <x:v>0.00017247353585185245</x:v>
      </x:c>
      <x:c r="G342" s="14" t="n">
        <x:f>IF(I342="Есть цена",IF(AND(ISNUMBER(E342),E342&gt;0,F342&gt;0),E342/F342-1,NA()),"")</x:f>
        <x:v>0.5088897147521496</x:v>
      </x:c>
      <x:c r="H342" s="14" t="n">
        <x:f>IF(AND(I342="Есть цена",I338="Есть цена"),IF(AND(E342&gt;0,E338&gt;0),E342/E338-1,NA()),"")</x:f>
        <x:v>-0.2093811510179221</x:v>
      </x:c>
      <x:c r="I342" s="2" t="str">
        <x:v>Есть цена</x:v>
      </x:c>
      <x:c r="J342" s="2" t="n">
        <x:v>447645553</x:v>
      </x:c>
      <x:c r="K342" s="9" t="n">
        <x:v>46281.971284722225</x:v>
      </x:c>
      <x:c r="L342" s="2" t="n">
        <x:v>0</x:v>
      </x:c>
      <x:c r="M342" s="2" t="n">
        <x:v>0</x:v>
      </x:c>
      <x:c r="N342" s="2" t="str">
        <x:v>LeZ2DH1y7bqzAghYbXqKB6fNxoBKqPSPihv3EmkLBRv</x:v>
      </x:c>
      <x:c r="O342" s="2"/>
      <x:c r="P342" s="2" t="str">
        <x:v>previous_WOW_calculation</x:v>
      </x:c>
      <x:c r="Q342" s="2" t="str">
        <x:v>78ReVNMLGRWmjtf2HmBoHUe2pRcsctXTTbxJnbhchyze; slot 447645553; age 0s</x:v>
      </x:c>
      <x:c r="R342" s="14" t="str">
        <x:f>IF(AND(C342="Нулевой остаток",I342="Есть цена"),G342,"")</x:f>
      </x:c>
      <x:c r="S342" s="14" t="n">
        <x:f>IF(AND(C342="Докупка",I342="Есть цена"),G342,"")</x:f>
        <x:v>0.5088897147521496</x:v>
      </x:c>
    </x:row>
    <x:row r="343" ht="21" customHeight="1">
      <x:c r="A343" s="2" t="n">
        <x:v>34</x:v>
      </x:c>
      <x:c r="B343" s="2" t="n">
        <x:v>300</x:v>
      </x:c>
      <x:c r="C343" s="2" t="str">
        <x:f>'Покупки'!C41</x:f>
        <x:v>Докупка</x:v>
      </x:c>
      <x:c r="D343" s="9" t="n">
        <x:v>46281.97267361111</x:v>
      </x:c>
      <x:c r="E343" s="12" t="n">
        <x:v>0.0003126007398799201</x:v>
      </x:c>
      <x:c r="F343" s="12" t="n">
        <x:f>'Покупки'!H41</x:f>
        <x:v>0.00017247353585185245</x:v>
      </x:c>
      <x:c r="G343" s="14" t="n">
        <x:f>IF(I343="Есть цена",IF(AND(ISNUMBER(E343),E343&gt;0,F343&gt;0),E343/F343-1,NA()),"")</x:f>
        <x:v>0.8124562608169119</x:v>
      </x:c>
      <x:c r="H343" s="14" t="n">
        <x:f>IF(AND(I343="Есть цена",I338="Есть цена"),IF(AND(E343&gt;0,E338&gt;0),E343/E338-1,NA()),"")</x:f>
        <x:v>-0.05032019984786884</x:v>
      </x:c>
      <x:c r="I343" s="2" t="str">
        <x:v>Есть цена</x:v>
      </x:c>
      <x:c r="J343" s="2" t="n">
        <x:v>447645928</x:v>
      </x:c>
      <x:c r="K343" s="9" t="n">
        <x:v>46281.972650462965</x:v>
      </x:c>
      <x:c r="L343" s="2" t="n">
        <x:v>2</x:v>
      </x:c>
      <x:c r="M343" s="2" t="n">
        <x:v>2</x:v>
      </x:c>
      <x:c r="N343" s="2" t="str">
        <x:v>LeZ2DH1y7bqzAghYbXqKB6fNxoBKqPSPihv3EmkLBRv</x:v>
      </x:c>
      <x:c r="O343" s="2"/>
      <x:c r="P343" s="2" t="str">
        <x:v>previous_WOW_calculation</x:v>
      </x:c>
      <x:c r="Q343" s="2" t="str">
        <x:v>78ReVNMLGRWmjtf2HmBoHUe2pRcsctXTTbxJnbhchyze; slot 447645928; age 2s</x:v>
      </x:c>
      <x:c r="R343" s="14" t="str">
        <x:f>IF(AND(C343="Нулевой остаток",I343="Есть цена"),G343,"")</x:f>
      </x:c>
      <x:c r="S343" s="14" t="n">
        <x:f>IF(AND(C343="Докупка",I343="Есть цена"),G343,"")</x:f>
        <x:v>0.8124562608169119</x:v>
      </x:c>
    </x:row>
    <x:row r="344" ht="21" customHeight="1">
      <x:c r="A344" s="2" t="n">
        <x:v>34</x:v>
      </x:c>
      <x:c r="B344" s="2" t="n">
        <x:v>900</x:v>
      </x:c>
      <x:c r="C344" s="2" t="str">
        <x:f>'Покупки'!C41</x:f>
        <x:v>Докупка</x:v>
      </x:c>
      <x:c r="D344" s="9" t="n">
        <x:v>46281.97961805556</x:v>
      </x:c>
      <x:c r="E344" s="12" t="n">
        <x:v>0.00029914765143986927</x:v>
      </x:c>
      <x:c r="F344" s="12" t="n">
        <x:f>'Покупки'!H41</x:f>
        <x:v>0.00017247353585185245</x:v>
      </x:c>
      <x:c r="G344" s="14" t="n">
        <x:f>IF(I344="Есть цена",IF(AND(ISNUMBER(E344),E344&gt;0,F344&gt;0),E344/F344-1,NA()),"")</x:f>
        <x:v>0.7344553757906638</x:v>
      </x:c>
      <x:c r="H344" s="14" t="n">
        <x:f>IF(AND(I344="Есть цена",I338="Есть цена"),IF(AND(E344&gt;0,E338&gt;0),E344/E338-1,NA()),"")</x:f>
        <x:v>-0.09119062883688578</x:v>
      </x:c>
      <x:c r="I344" s="2" t="str">
        <x:v>Есть цена</x:v>
      </x:c>
      <x:c r="J344" s="2" t="n">
        <x:v>447647801</x:v>
      </x:c>
      <x:c r="K344" s="9" t="n">
        <x:v>46281.979479166665</x:v>
      </x:c>
      <x:c r="L344" s="2" t="n">
        <x:v>12</x:v>
      </x:c>
      <x:c r="M344" s="2" t="n">
        <x:v>0</x:v>
      </x:c>
      <x:c r="N344" s="2" t="str">
        <x:v>LeZ2DH1y7bqzAghYbXqKB6fNxoBKqPSPihv3EmkLBRv</x:v>
      </x:c>
      <x:c r="O344" s="2"/>
      <x:c r="P344" s="2" t="str">
        <x:v>previous_WOW_calculation</x:v>
      </x:c>
      <x:c r="Q344" s="2" t="str">
        <x:v>78ReVNMLGRWmjtf2HmBoHUe2pRcsctXTTbxJnbhchyze; slot 447647840; age 0s</x:v>
      </x:c>
      <x:c r="R344" s="14" t="str">
        <x:f>IF(AND(C344="Нулевой остаток",I344="Есть цена"),G344,"")</x:f>
      </x:c>
      <x:c r="S344" s="14" t="n">
        <x:f>IF(AND(C344="Докупка",I344="Есть цена"),G344,"")</x:f>
        <x:v>0.7344553757906638</x:v>
      </x:c>
    </x:row>
    <x:row r="345" ht="21" customHeight="1">
      <x:c r="A345" s="2" t="n">
        <x:v>34</x:v>
      </x:c>
      <x:c r="B345" s="2" t="n">
        <x:v>3600</x:v>
      </x:c>
      <x:c r="C345" s="2" t="str">
        <x:f>'Покупки'!C41</x:f>
        <x:v>Докупка</x:v>
      </x:c>
      <x:c r="D345" s="9" t="n">
        <x:v>46282.01086805556</x:v>
      </x:c>
      <x:c r="E345" s="12" t="n">
        <x:v>0.0002950215102539423</x:v>
      </x:c>
      <x:c r="F345" s="12" t="n">
        <x:f>'Покупки'!H41</x:f>
        <x:v>0.00017247353585185245</x:v>
      </x:c>
      <x:c r="G345" s="14" t="n">
        <x:f>IF(I345="Есть цена",IF(AND(ISNUMBER(E345),E345&gt;0,F345&gt;0),E345/F345-1,NA()),"")</x:f>
        <x:v>0.7105320465358433</x:v>
      </x:c>
      <x:c r="H345" s="14" t="n">
        <x:f>IF(AND(I345="Есть цена",I338="Есть цена"),IF(AND(E345&gt;0,E338&gt;0),E345/E338-1,NA()),"")</x:f>
        <x:v>-0.10372582929212404</x:v>
      </x:c>
      <x:c r="I345" s="2" t="str">
        <x:v>Есть цена</x:v>
      </x:c>
      <x:c r="J345" s="2" t="n">
        <x:v>447656286</x:v>
      </x:c>
      <x:c r="K345" s="9" t="n">
        <x:v>46282.010659722226</x:v>
      </x:c>
      <x:c r="L345" s="2" t="n">
        <x:v>18</x:v>
      </x:c>
      <x:c r="M345" s="2" t="n">
        <x:v>1</x:v>
      </x:c>
      <x:c r="N345" s="2" t="str">
        <x:v>LeZ2DH1y7bqzAghYbXqKB6fNxoBKqPSPihv3EmkLBRv</x:v>
      </x:c>
      <x:c r="O345" s="2"/>
      <x:c r="P345" s="2" t="str">
        <x:v>previous_WOW_calculation</x:v>
      </x:c>
      <x:c r="Q345" s="2" t="str">
        <x:v>78ReVNMLGRWmjtf2HmBoHUe2pRcsctXTTbxJnbhchyze; slot 447656338; age 1s</x:v>
      </x:c>
      <x:c r="R345" s="14" t="str">
        <x:f>IF(AND(C345="Нулевой остаток",I345="Есть цена"),G345,"")</x:f>
      </x:c>
      <x:c r="S345" s="14" t="n">
        <x:f>IF(AND(C345="Докупка",I345="Есть цена"),G345,"")</x:f>
        <x:v>0.7105320465358433</x:v>
      </x:c>
    </x:row>
    <x:row r="346" ht="21" customHeight="1">
      <x:c r="A346" s="2" t="n">
        <x:v>34</x:v>
      </x:c>
      <x:c r="B346" s="2" t="n">
        <x:v>21600</x:v>
      </x:c>
      <x:c r="C346" s="2" t="str">
        <x:f>'Покупки'!C41</x:f>
        <x:v>Докупка</x:v>
      </x:c>
      <x:c r="D346" s="9" t="n">
        <x:v>46282.219201388885</x:v>
      </x:c>
      <x:c r="E346" s="12" t="n">
        <x:v>0.00029702527794104444</x:v>
      </x:c>
      <x:c r="F346" s="12" t="n">
        <x:f>'Покупки'!H41</x:f>
        <x:v>0.00017247353585185245</x:v>
      </x:c>
      <x:c r="G346" s="14" t="n">
        <x:f>IF(I346="Есть цена",IF(AND(ISNUMBER(E346),E346&gt;0,F346&gt;0),E346/F346-1,NA()),"")</x:f>
        <x:v>0.7221498734517551</x:v>
      </x:c>
      <x:c r="H346" s="14" t="n">
        <x:f>IF(AND(I346="Есть цена",I338="Есть цена"),IF(AND(E346&gt;0,E338&gt;0),E346/E338-1,NA()),"")</x:f>
        <x:v>-0.09763839105583116</x:v>
      </x:c>
      <x:c r="I346" s="2" t="str">
        <x:v>Есть цена</x:v>
      </x:c>
      <x:c r="J346" s="2" t="n">
        <x:v>447713089</x:v>
      </x:c>
      <x:c r="K346" s="9" t="n">
        <x:v>46282.21912037037</x:v>
      </x:c>
      <x:c r="L346" s="2" t="n">
        <x:v>7</x:v>
      </x:c>
      <x:c r="M346" s="2" t="n">
        <x:v>0</x:v>
      </x:c>
      <x:c r="N346" s="2" t="str">
        <x:v>LeZ2DH1y7bqzAghYbXqKB6fNxoBKqPSPihv3EmkLBRv</x:v>
      </x:c>
      <x:c r="O346" s="2"/>
      <x:c r="P346" s="2" t="str">
        <x:v>previous_WOW_calculation</x:v>
      </x:c>
      <x:c r="Q346" s="2" t="str">
        <x:v>78ReVNMLGRWmjtf2HmBoHUe2pRcsctXTTbxJnbhchyze; slot 447713112; age 0s</x:v>
      </x:c>
      <x:c r="R346" s="14" t="str">
        <x:f>IF(AND(C346="Нулевой остаток",I346="Есть цена"),G346,"")</x:f>
      </x:c>
      <x:c r="S346" s="14" t="n">
        <x:f>IF(AND(C346="Докупка",I346="Есть цена"),G346,"")</x:f>
        <x:v>0.7221498734517551</x:v>
      </x:c>
    </x:row>
    <x:row r="347" ht="21" customHeight="1">
      <x:c r="A347" s="2" t="n">
        <x:v>34</x:v>
      </x:c>
      <x:c r="B347" s="2" t="n">
        <x:v>86400</x:v>
      </x:c>
      <x:c r="C347" s="2" t="str">
        <x:f>'Покупки'!C41</x:f>
        <x:v>Докупка</x:v>
      </x:c>
      <x:c r="D347" s="9" t="n">
        <x:v>46282.969201388885</x:v>
      </x:c>
      <x:c r="E347" s="12"/>
      <x:c r="F347" s="12" t="n">
        <x:f>'Покупки'!H41</x:f>
        <x:v>0.00017247353585185245</x:v>
      </x:c>
      <x:c r="G347" s="14" t="str">
        <x:f>IF(I347="Есть цена",IF(AND(ISNUMBER(E347),E347&gt;0,F347&gt;0),E347/F347-1,NA()),"")</x:f>
      </x:c>
      <x:c r="H347" s="14" t="str">
        <x:f>IF(AND(I347="Есть цена",I338="Есть цена"),IF(AND(E347&gt;0,E338&gt;0),E347/E338-1,NA()),"")</x:f>
      </x:c>
      <x:c r="I347" s="2" t="str">
        <x:v>Ещё рано</x:v>
      </x:c>
      <x:c r="J347" s="2"/>
      <x:c r="K347" s="9"/>
      <x:c r="L347" s="2"/>
      <x:c r="M347" s="2"/>
      <x:c r="N347" s="2"/>
      <x:c r="O347" s="2"/>
      <x:c r="P347" s="2" t="str">
        <x:v>future</x:v>
      </x:c>
      <x:c r="Q347" s="2" t="str"/>
      <x:c r="R347" s="14" t="str">
        <x:f>IF(AND(C347="Нулевой остаток",I347="Есть цена"),G347,"")</x:f>
      </x:c>
      <x:c r="S347" s="14" t="str">
        <x:f>IF(AND(C347="Докупка",I347="Есть цена"),G347,"")</x:f>
      </x:c>
    </x:row>
    <x:row r="348" ht="21" customHeight="1">
      <x:c r="A348" s="2" t="n">
        <x:v>35</x:v>
      </x:c>
      <x:c r="B348" s="2" t="n">
        <x:v>5</x:v>
      </x:c>
      <x:c r="C348" s="2" t="str">
        <x:f>'Покупки'!C42</x:f>
        <x:v>Докупка</x:v>
      </x:c>
      <x:c r="D348" s="9" t="n">
        <x:v>46281.966944444444</x:v>
      </x:c>
      <x:c r="E348" s="12"/>
      <x:c r="F348" s="12" t="n">
        <x:f>'Покупки'!H42</x:f>
        <x:v>0.0005341623641740042</x:v>
      </x:c>
      <x:c r="G348" s="14" t="str">
        <x:f>IF(I348="Есть цена",IF(AND(ISNUMBER(E348),E348&gt;0,F348&gt;0),E348/F348-1,NA()),"")</x:f>
      </x:c>
      <x:c r="H348" s="14" t="str">
        <x:f>IF(AND(I348="Есть цена",I348="Есть цена"),IF(AND(E348&gt;0,E348&gt;0),E348/E348-1,NA()),"")</x:f>
      </x:c>
      <x:c r="I348" s="2" t="str">
        <x:v>RPC: данные не загружены</x:v>
      </x:c>
      <x:c r="J348" s="2"/>
      <x:c r="K348" s="9"/>
      <x:c r="L348" s="2"/>
      <x:c r="M348" s="2"/>
      <x:c r="N348" s="2"/>
      <x:c r="O348" s="2"/>
      <x:c r="P348" s="2" t="str">
        <x:v>not_cached:getSignaturesForAddress:history/3884bf8ebeeaed5e5cbbcf45</x:v>
      </x:c>
      <x:c r="Q348" s="2" t="str"/>
      <x:c r="R348" s="14" t="str">
        <x:f>IF(AND(C348="Нулевой остаток",I348="Есть цена"),G348,"")</x:f>
      </x:c>
      <x:c r="S348" s="14" t="str">
        <x:f>IF(AND(C348="Докупка",I348="Есть цена"),G348,"")</x:f>
      </x:c>
    </x:row>
    <x:row r="349" ht="21" customHeight="1">
      <x:c r="A349" s="2" t="n">
        <x:v>35</x:v>
      </x:c>
      <x:c r="B349" s="2" t="n">
        <x:v>15</x:v>
      </x:c>
      <x:c r="C349" s="2" t="str">
        <x:f>'Покупки'!C42</x:f>
        <x:v>Докупка</x:v>
      </x:c>
      <x:c r="D349" s="9" t="n">
        <x:v>46281.96706018518</x:v>
      </x:c>
      <x:c r="E349" s="12"/>
      <x:c r="F349" s="12" t="n">
        <x:f>'Покупки'!H42</x:f>
        <x:v>0.0005341623641740042</x:v>
      </x:c>
      <x:c r="G349" s="14" t="str">
        <x:f>IF(I349="Есть цена",IF(AND(ISNUMBER(E349),E349&gt;0,F349&gt;0),E349/F349-1,NA()),"")</x:f>
      </x:c>
      <x:c r="H349" s="14" t="str">
        <x:f>IF(AND(I349="Есть цена",I348="Есть цена"),IF(AND(E349&gt;0,E348&gt;0),E349/E348-1,NA()),"")</x:f>
      </x:c>
      <x:c r="I349" s="2" t="str">
        <x:v>RPC: данные не загружены</x:v>
      </x:c>
      <x:c r="J349" s="2"/>
      <x:c r="K349" s="9"/>
      <x:c r="L349" s="2"/>
      <x:c r="M349" s="2"/>
      <x:c r="N349" s="2"/>
      <x:c r="O349" s="2"/>
      <x:c r="P349" s="2" t="str">
        <x:v>not_cached:getSignaturesForAddress:history/3884bf8ebeeaed5e5cbbcf45</x:v>
      </x:c>
      <x:c r="Q349" s="2" t="str"/>
      <x:c r="R349" s="14" t="str">
        <x:f>IF(AND(C349="Нулевой остаток",I349="Есть цена"),G349,"")</x:f>
      </x:c>
      <x:c r="S349" s="14" t="str">
        <x:f>IF(AND(C349="Докупка",I349="Есть цена"),G349,"")</x:f>
      </x:c>
    </x:row>
    <x:row r="350" ht="21" customHeight="1">
      <x:c r="A350" s="2" t="n">
        <x:v>35</x:v>
      </x:c>
      <x:c r="B350" s="2" t="n">
        <x:v>30</x:v>
      </x:c>
      <x:c r="C350" s="2" t="str">
        <x:f>'Покупки'!C42</x:f>
        <x:v>Докупка</x:v>
      </x:c>
      <x:c r="D350" s="9" t="n">
        <x:v>46281.9672337963</x:v>
      </x:c>
      <x:c r="E350" s="12"/>
      <x:c r="F350" s="12" t="n">
        <x:f>'Покупки'!H42</x:f>
        <x:v>0.0005341623641740042</x:v>
      </x:c>
      <x:c r="G350" s="14" t="str">
        <x:f>IF(I350="Есть цена",IF(AND(ISNUMBER(E350),E350&gt;0,F350&gt;0),E350/F350-1,NA()),"")</x:f>
      </x:c>
      <x:c r="H350" s="14" t="str">
        <x:f>IF(AND(I350="Есть цена",I348="Есть цена"),IF(AND(E350&gt;0,E348&gt;0),E350/E348-1,NA()),"")</x:f>
      </x:c>
      <x:c r="I350" s="2" t="str">
        <x:v>RPC: данные не загружены</x:v>
      </x:c>
      <x:c r="J350" s="2"/>
      <x:c r="K350" s="9"/>
      <x:c r="L350" s="2"/>
      <x:c r="M350" s="2"/>
      <x:c r="N350" s="2"/>
      <x:c r="O350" s="2"/>
      <x:c r="P350" s="2" t="str">
        <x:v>not_cached:getSignaturesForAddress:history/3884bf8ebeeaed5e5cbbcf45</x:v>
      </x:c>
      <x:c r="Q350" s="2" t="str"/>
      <x:c r="R350" s="14" t="str">
        <x:f>IF(AND(C350="Нулевой остаток",I350="Есть цена"),G350,"")</x:f>
      </x:c>
      <x:c r="S350" s="14" t="str">
        <x:f>IF(AND(C350="Докупка",I350="Есть цена"),G350,"")</x:f>
      </x:c>
    </x:row>
    <x:row r="351" ht="21" customHeight="1">
      <x:c r="A351" s="2" t="n">
        <x:v>35</x:v>
      </x:c>
      <x:c r="B351" s="2" t="n">
        <x:v>60</x:v>
      </x:c>
      <x:c r="C351" s="2" t="str">
        <x:f>'Покупки'!C42</x:f>
        <x:v>Докупка</x:v>
      </x:c>
      <x:c r="D351" s="9" t="n">
        <x:v>46281.96758101852</x:v>
      </x:c>
      <x:c r="E351" s="12"/>
      <x:c r="F351" s="12" t="n">
        <x:f>'Покупки'!H42</x:f>
        <x:v>0.0005341623641740042</x:v>
      </x:c>
      <x:c r="G351" s="14" t="str">
        <x:f>IF(I351="Есть цена",IF(AND(ISNUMBER(E351),E351&gt;0,F351&gt;0),E351/F351-1,NA()),"")</x:f>
      </x:c>
      <x:c r="H351" s="14" t="str">
        <x:f>IF(AND(I351="Есть цена",I348="Есть цена"),IF(AND(E351&gt;0,E348&gt;0),E351/E348-1,NA()),"")</x:f>
      </x:c>
      <x:c r="I351" s="2" t="str">
        <x:v>RPC: данные не загружены</x:v>
      </x:c>
      <x:c r="J351" s="2"/>
      <x:c r="K351" s="9"/>
      <x:c r="L351" s="2"/>
      <x:c r="M351" s="2"/>
      <x:c r="N351" s="2"/>
      <x:c r="O351" s="2"/>
      <x:c r="P351" s="2" t="str">
        <x:v>not_cached:getSignaturesForAddress:history/3884bf8ebeeaed5e5cbbcf45</x:v>
      </x:c>
      <x:c r="Q351" s="2" t="str"/>
      <x:c r="R351" s="14" t="str">
        <x:f>IF(AND(C351="Нулевой остаток",I351="Есть цена"),G351,"")</x:f>
      </x:c>
      <x:c r="S351" s="14" t="str">
        <x:f>IF(AND(C351="Докупка",I351="Есть цена"),G351,"")</x:f>
      </x:c>
    </x:row>
    <x:row r="352" ht="21" customHeight="1">
      <x:c r="A352" s="2" t="n">
        <x:v>35</x:v>
      </x:c>
      <x:c r="B352" s="2" t="n">
        <x:v>180</x:v>
      </x:c>
      <x:c r="C352" s="2" t="str">
        <x:f>'Покупки'!C42</x:f>
        <x:v>Докупка</x:v>
      </x:c>
      <x:c r="D352" s="9" t="n">
        <x:v>46281.96896990741</x:v>
      </x:c>
      <x:c r="E352" s="12"/>
      <x:c r="F352" s="12" t="n">
        <x:f>'Покупки'!H42</x:f>
        <x:v>0.0005341623641740042</x:v>
      </x:c>
      <x:c r="G352" s="14" t="str">
        <x:f>IF(I352="Есть цена",IF(AND(ISNUMBER(E352),E352&gt;0,F352&gt;0),E352/F352-1,NA()),"")</x:f>
      </x:c>
      <x:c r="H352" s="14" t="str">
        <x:f>IF(AND(I352="Есть цена",I348="Есть цена"),IF(AND(E352&gt;0,E348&gt;0),E352/E348-1,NA()),"")</x:f>
      </x:c>
      <x:c r="I352" s="2" t="str">
        <x:v>RPC: данные не загружены</x:v>
      </x:c>
      <x:c r="J352" s="2"/>
      <x:c r="K352" s="9"/>
      <x:c r="L352" s="2"/>
      <x:c r="M352" s="2"/>
      <x:c r="N352" s="2"/>
      <x:c r="O352" s="2"/>
      <x:c r="P352" s="2" t="str">
        <x:v>not_cached:getSignaturesForAddress:history/971b0e15d80978ffc1c05af9</x:v>
      </x:c>
      <x:c r="Q352" s="2" t="str"/>
      <x:c r="R352" s="14" t="str">
        <x:f>IF(AND(C352="Нулевой остаток",I352="Есть цена"),G352,"")</x:f>
      </x:c>
      <x:c r="S352" s="14" t="str">
        <x:f>IF(AND(C352="Докупка",I352="Есть цена"),G352,"")</x:f>
      </x:c>
    </x:row>
    <x:row r="353" ht="21" customHeight="1">
      <x:c r="A353" s="2" t="n">
        <x:v>35</x:v>
      </x:c>
      <x:c r="B353" s="2" t="n">
        <x:v>300</x:v>
      </x:c>
      <x:c r="C353" s="2" t="str">
        <x:f>'Покупки'!C42</x:f>
        <x:v>Докупка</x:v>
      </x:c>
      <x:c r="D353" s="9" t="n">
        <x:v>46281.970358796294</x:v>
      </x:c>
      <x:c r="E353" s="12"/>
      <x:c r="F353" s="12" t="n">
        <x:f>'Покупки'!H42</x:f>
        <x:v>0.0005341623641740042</x:v>
      </x:c>
      <x:c r="G353" s="14" t="str">
        <x:f>IF(I353="Есть цена",IF(AND(ISNUMBER(E353),E353&gt;0,F353&gt;0),E353/F353-1,NA()),"")</x:f>
      </x:c>
      <x:c r="H353" s="14" t="str">
        <x:f>IF(AND(I353="Есть цена",I348="Есть цена"),IF(AND(E353&gt;0,E348&gt;0),E353/E348-1,NA()),"")</x:f>
      </x:c>
      <x:c r="I353" s="2" t="str">
        <x:v>RPC: данные не загружены</x:v>
      </x:c>
      <x:c r="J353" s="2"/>
      <x:c r="K353" s="9"/>
      <x:c r="L353" s="2"/>
      <x:c r="M353" s="2"/>
      <x:c r="N353" s="2"/>
      <x:c r="O353" s="2"/>
      <x:c r="P353" s="2" t="str">
        <x:v>not_cached:getSignaturesForAddress:history/c62358915f0d5b83dd8de1fc</x:v>
      </x:c>
      <x:c r="Q353" s="2" t="str"/>
      <x:c r="R353" s="14" t="str">
        <x:f>IF(AND(C353="Нулевой остаток",I353="Есть цена"),G353,"")</x:f>
      </x:c>
      <x:c r="S353" s="14" t="str">
        <x:f>IF(AND(C353="Докупка",I353="Есть цена"),G353,"")</x:f>
      </x:c>
    </x:row>
    <x:row r="354" ht="21" customHeight="1">
      <x:c r="A354" s="2" t="n">
        <x:v>35</x:v>
      </x:c>
      <x:c r="B354" s="2" t="n">
        <x:v>900</x:v>
      </x:c>
      <x:c r="C354" s="2" t="str">
        <x:f>'Покупки'!C42</x:f>
        <x:v>Докупка</x:v>
      </x:c>
      <x:c r="D354" s="9" t="n">
        <x:v>46281.97730324074</x:v>
      </x:c>
      <x:c r="E354" s="12"/>
      <x:c r="F354" s="12" t="n">
        <x:f>'Покупки'!H42</x:f>
        <x:v>0.0005341623641740042</x:v>
      </x:c>
      <x:c r="G354" s="14" t="str">
        <x:f>IF(I354="Есть цена",IF(AND(ISNUMBER(E354),E354&gt;0,F354&gt;0),E354/F354-1,NA()),"")</x:f>
      </x:c>
      <x:c r="H354" s="14" t="str">
        <x:f>IF(AND(I354="Есть цена",I348="Есть цена"),IF(AND(E354&gt;0,E348&gt;0),E354/E348-1,NA()),"")</x:f>
      </x:c>
      <x:c r="I354" s="2" t="str">
        <x:v>RPC: данные не загружены</x:v>
      </x:c>
      <x:c r="J354" s="2"/>
      <x:c r="K354" s="9"/>
      <x:c r="L354" s="2"/>
      <x:c r="M354" s="2"/>
      <x:c r="N354" s="2"/>
      <x:c r="O354" s="2"/>
      <x:c r="P354" s="2" t="str">
        <x:v>not_cached:getSignaturesForAddress:history/c9f016359763cffd2ef34a9d</x:v>
      </x:c>
      <x:c r="Q354" s="2" t="str"/>
      <x:c r="R354" s="14" t="str">
        <x:f>IF(AND(C354="Нулевой остаток",I354="Есть цена"),G354,"")</x:f>
      </x:c>
      <x:c r="S354" s="14" t="str">
        <x:f>IF(AND(C354="Докупка",I354="Есть цена"),G354,"")</x:f>
      </x:c>
    </x:row>
    <x:row r="355" ht="21" customHeight="1">
      <x:c r="A355" s="2" t="n">
        <x:v>35</x:v>
      </x:c>
      <x:c r="B355" s="2" t="n">
        <x:v>3600</x:v>
      </x:c>
      <x:c r="C355" s="2" t="str">
        <x:f>'Покупки'!C42</x:f>
        <x:v>Докупка</x:v>
      </x:c>
      <x:c r="D355" s="9" t="n">
        <x:v>46282.00855324074</x:v>
      </x:c>
      <x:c r="E355" s="12"/>
      <x:c r="F355" s="12" t="n">
        <x:f>'Покупки'!H42</x:f>
        <x:v>0.0005341623641740042</x:v>
      </x:c>
      <x:c r="G355" s="14" t="str">
        <x:f>IF(I355="Есть цена",IF(AND(ISNUMBER(E355),E355&gt;0,F355&gt;0),E355/F355-1,NA()),"")</x:f>
      </x:c>
      <x:c r="H355" s="14" t="str">
        <x:f>IF(AND(I355="Есть цена",I348="Есть цена"),IF(AND(E355&gt;0,E348&gt;0),E355/E348-1,NA()),"")</x:f>
      </x:c>
      <x:c r="I355" s="2" t="str">
        <x:v>RPC: данные не загружены</x:v>
      </x:c>
      <x:c r="J355" s="2"/>
      <x:c r="K355" s="9"/>
      <x:c r="L355" s="2"/>
      <x:c r="M355" s="2"/>
      <x:c r="N355" s="2"/>
      <x:c r="O355" s="2"/>
      <x:c r="P355" s="2" t="str">
        <x:v>not_cached:getSignaturesForAddress:history/bb85ac10762aeee26f30faf8</x:v>
      </x:c>
      <x:c r="Q355" s="2" t="str"/>
      <x:c r="R355" s="14" t="str">
        <x:f>IF(AND(C355="Нулевой остаток",I355="Есть цена"),G355,"")</x:f>
      </x:c>
      <x:c r="S355" s="14" t="str">
        <x:f>IF(AND(C355="Докупка",I355="Есть цена"),G355,"")</x:f>
      </x:c>
    </x:row>
    <x:row r="356" ht="21" customHeight="1">
      <x:c r="A356" s="2" t="n">
        <x:v>35</x:v>
      </x:c>
      <x:c r="B356" s="2" t="n">
        <x:v>21600</x:v>
      </x:c>
      <x:c r="C356" s="2" t="str">
        <x:f>'Покупки'!C42</x:f>
        <x:v>Докупка</x:v>
      </x:c>
      <x:c r="D356" s="9" t="n">
        <x:v>46282.216886574075</x:v>
      </x:c>
      <x:c r="E356" s="12"/>
      <x:c r="F356" s="12" t="n">
        <x:f>'Покупки'!H42</x:f>
        <x:v>0.0005341623641740042</x:v>
      </x:c>
      <x:c r="G356" s="14" t="str">
        <x:f>IF(I356="Есть цена",IF(AND(ISNUMBER(E356),E356&gt;0,F356&gt;0),E356/F356-1,NA()),"")</x:f>
      </x:c>
      <x:c r="H356" s="14" t="str">
        <x:f>IF(AND(I356="Есть цена",I348="Есть цена"),IF(AND(E356&gt;0,E348&gt;0),E356/E348-1,NA()),"")</x:f>
      </x:c>
      <x:c r="I356" s="2" t="str">
        <x:v>RPC: данные не загружены</x:v>
      </x:c>
      <x:c r="J356" s="2"/>
      <x:c r="K356" s="9"/>
      <x:c r="L356" s="2"/>
      <x:c r="M356" s="2"/>
      <x:c r="N356" s="2"/>
      <x:c r="O356" s="2"/>
      <x:c r="P356" s="2" t="str">
        <x:v>not_cached:getSignaturesForAddress:history/ede777185e0d3d616edecc3d</x:v>
      </x:c>
      <x:c r="Q356" s="2" t="str"/>
      <x:c r="R356" s="14" t="str">
        <x:f>IF(AND(C356="Нулевой остаток",I356="Есть цена"),G356,"")</x:f>
      </x:c>
      <x:c r="S356" s="14" t="str">
        <x:f>IF(AND(C356="Докупка",I356="Есть цена"),G356,"")</x:f>
      </x:c>
    </x:row>
    <x:row r="357" ht="21" customHeight="1">
      <x:c r="A357" s="2" t="n">
        <x:v>35</x:v>
      </x:c>
      <x:c r="B357" s="2" t="n">
        <x:v>86400</x:v>
      </x:c>
      <x:c r="C357" s="2" t="str">
        <x:f>'Покупки'!C42</x:f>
        <x:v>Докупка</x:v>
      </x:c>
      <x:c r="D357" s="9" t="n">
        <x:v>46282.966886574075</x:v>
      </x:c>
      <x:c r="E357" s="12"/>
      <x:c r="F357" s="12" t="n">
        <x:f>'Покупки'!H42</x:f>
        <x:v>0.0005341623641740042</x:v>
      </x:c>
      <x:c r="G357" s="14" t="str">
        <x:f>IF(I357="Есть цена",IF(AND(ISNUMBER(E357),E357&gt;0,F357&gt;0),E357/F357-1,NA()),"")</x:f>
      </x:c>
      <x:c r="H357" s="14" t="str">
        <x:f>IF(AND(I357="Есть цена",I348="Есть цена"),IF(AND(E357&gt;0,E348&gt;0),E357/E348-1,NA()),"")</x:f>
      </x:c>
      <x:c r="I357" s="2" t="str">
        <x:v>Ещё рано</x:v>
      </x:c>
      <x:c r="J357" s="2"/>
      <x:c r="K357" s="9"/>
      <x:c r="L357" s="2"/>
      <x:c r="M357" s="2"/>
      <x:c r="N357" s="2"/>
      <x:c r="O357" s="2"/>
      <x:c r="P357" s="2" t="str">
        <x:v>future</x:v>
      </x:c>
      <x:c r="Q357" s="2" t="str"/>
      <x:c r="R357" s="14" t="str">
        <x:f>IF(AND(C357="Нулевой остаток",I357="Есть цена"),G357,"")</x:f>
      </x:c>
      <x:c r="S357" s="14" t="str">
        <x:f>IF(AND(C357="Докупка",I357="Есть цена"),G357,"")</x:f>
      </x:c>
    </x:row>
    <x:row r="358" ht="21" customHeight="1">
      <x:c r="A358" s="2" t="n">
        <x:v>36</x:v>
      </x:c>
      <x:c r="B358" s="2" t="n">
        <x:v>5</x:v>
      </x:c>
      <x:c r="C358" s="2" t="str">
        <x:f>'Покупки'!C43</x:f>
        <x:v>Нулевой остаток</x:v>
      </x:c>
      <x:c r="D358" s="9" t="n">
        <x:v>46281.96565972222</x:v>
      </x:c>
      <x:c r="E358" s="12"/>
      <x:c r="F358" s="12" t="n">
        <x:f>'Покупки'!H43</x:f>
        <x:v>0.00012232042049646695</x:v>
      </x:c>
      <x:c r="G358" s="14" t="str">
        <x:f>IF(I358="Есть цена",IF(AND(ISNUMBER(E358),E358&gt;0,F358&gt;0),E358/F358-1,NA()),"")</x:f>
      </x:c>
      <x:c r="H358" s="14" t="str">
        <x:f>IF(AND(I358="Есть цена",I358="Есть цена"),IF(AND(E358&gt;0,E358&gt;0),E358/E358-1,NA()),"")</x:f>
      </x:c>
      <x:c r="I358" s="2" t="str">
        <x:v>RPC: данные не загружены</x:v>
      </x:c>
      <x:c r="J358" s="2"/>
      <x:c r="K358" s="9"/>
      <x:c r="L358" s="2"/>
      <x:c r="M358" s="2"/>
      <x:c r="N358" s="2"/>
      <x:c r="O358" s="2"/>
      <x:c r="P358" s="2" t="str">
        <x:v>not_cached:getSignaturesForAddress:history/ed31a393ffd2f3f10c3b5ac0</x:v>
      </x:c>
      <x:c r="Q358" s="2" t="str"/>
      <x:c r="R358" s="14" t="str">
        <x:f>IF(AND(C358="Нулевой остаток",I358="Есть цена"),G358,"")</x:f>
      </x:c>
      <x:c r="S358" s="14" t="str">
        <x:f>IF(AND(C358="Докупка",I358="Есть цена"),G358,"")</x:f>
      </x:c>
    </x:row>
    <x:row r="359" ht="21" customHeight="1">
      <x:c r="A359" s="2" t="n">
        <x:v>36</x:v>
      </x:c>
      <x:c r="B359" s="2" t="n">
        <x:v>15</x:v>
      </x:c>
      <x:c r="C359" s="2" t="str">
        <x:f>'Покупки'!C43</x:f>
        <x:v>Нулевой остаток</x:v>
      </x:c>
      <x:c r="D359" s="9" t="n">
        <x:v>46281.965775462966</x:v>
      </x:c>
      <x:c r="E359" s="12"/>
      <x:c r="F359" s="12" t="n">
        <x:f>'Покупки'!H43</x:f>
        <x:v>0.00012232042049646695</x:v>
      </x:c>
      <x:c r="G359" s="14" t="str">
        <x:f>IF(I359="Есть цена",IF(AND(ISNUMBER(E359),E359&gt;0,F359&gt;0),E359/F359-1,NA()),"")</x:f>
      </x:c>
      <x:c r="H359" s="14" t="str">
        <x:f>IF(AND(I359="Есть цена",I358="Есть цена"),IF(AND(E359&gt;0,E358&gt;0),E359/E358-1,NA()),"")</x:f>
      </x:c>
      <x:c r="I359" s="2" t="str">
        <x:v>RPC: данные не загружены</x:v>
      </x:c>
      <x:c r="J359" s="2"/>
      <x:c r="K359" s="9"/>
      <x:c r="L359" s="2"/>
      <x:c r="M359" s="2"/>
      <x:c r="N359" s="2"/>
      <x:c r="O359" s="2"/>
      <x:c r="P359" s="2" t="str">
        <x:v>not_cached:getSignaturesForAddress:history/ed31a393ffd2f3f10c3b5ac0</x:v>
      </x:c>
      <x:c r="Q359" s="2" t="str"/>
      <x:c r="R359" s="14" t="str">
        <x:f>IF(AND(C359="Нулевой остаток",I359="Есть цена"),G359,"")</x:f>
      </x:c>
      <x:c r="S359" s="14" t="str">
        <x:f>IF(AND(C359="Докупка",I359="Есть цена"),G359,"")</x:f>
      </x:c>
    </x:row>
    <x:row r="360" ht="21" customHeight="1">
      <x:c r="A360" s="2" t="n">
        <x:v>36</x:v>
      </x:c>
      <x:c r="B360" s="2" t="n">
        <x:v>30</x:v>
      </x:c>
      <x:c r="C360" s="2" t="str">
        <x:f>'Покупки'!C43</x:f>
        <x:v>Нулевой остаток</x:v>
      </x:c>
      <x:c r="D360" s="9" t="n">
        <x:v>46281.965949074074</x:v>
      </x:c>
      <x:c r="E360" s="12"/>
      <x:c r="F360" s="12" t="n">
        <x:f>'Покупки'!H43</x:f>
        <x:v>0.00012232042049646695</x:v>
      </x:c>
      <x:c r="G360" s="14" t="str">
        <x:f>IF(I360="Есть цена",IF(AND(ISNUMBER(E360),E360&gt;0,F360&gt;0),E360/F360-1,NA()),"")</x:f>
      </x:c>
      <x:c r="H360" s="14" t="str">
        <x:f>IF(AND(I360="Есть цена",I358="Есть цена"),IF(AND(E360&gt;0,E358&gt;0),E360/E358-1,NA()),"")</x:f>
      </x:c>
      <x:c r="I360" s="2" t="str">
        <x:v>RPC: данные не загружены</x:v>
      </x:c>
      <x:c r="J360" s="2"/>
      <x:c r="K360" s="9"/>
      <x:c r="L360" s="2"/>
      <x:c r="M360" s="2"/>
      <x:c r="N360" s="2"/>
      <x:c r="O360" s="2"/>
      <x:c r="P360" s="2" t="str">
        <x:v>not_cached:getSignaturesForAddress:history/963143f874d840943dd714cf</x:v>
      </x:c>
      <x:c r="Q360" s="2" t="str"/>
      <x:c r="R360" s="14" t="str">
        <x:f>IF(AND(C360="Нулевой остаток",I360="Есть цена"),G360,"")</x:f>
      </x:c>
      <x:c r="S360" s="14" t="str">
        <x:f>IF(AND(C360="Докупка",I360="Есть цена"),G360,"")</x:f>
      </x:c>
    </x:row>
    <x:row r="361" ht="21" customHeight="1">
      <x:c r="A361" s="2" t="n">
        <x:v>36</x:v>
      </x:c>
      <x:c r="B361" s="2" t="n">
        <x:v>60</x:v>
      </x:c>
      <x:c r="C361" s="2" t="str">
        <x:f>'Покупки'!C43</x:f>
        <x:v>Нулевой остаток</x:v>
      </x:c>
      <x:c r="D361" s="9" t="n">
        <x:v>46281.9662962963</x:v>
      </x:c>
      <x:c r="E361" s="12"/>
      <x:c r="F361" s="12" t="n">
        <x:f>'Покупки'!H43</x:f>
        <x:v>0.00012232042049646695</x:v>
      </x:c>
      <x:c r="G361" s="14" t="str">
        <x:f>IF(I361="Есть цена",IF(AND(ISNUMBER(E361),E361&gt;0,F361&gt;0),E361/F361-1,NA()),"")</x:f>
      </x:c>
      <x:c r="H361" s="14" t="str">
        <x:f>IF(AND(I361="Есть цена",I358="Есть цена"),IF(AND(E361&gt;0,E358&gt;0),E361/E358-1,NA()),"")</x:f>
      </x:c>
      <x:c r="I361" s="2" t="str">
        <x:v>RPC: данные не загружены</x:v>
      </x:c>
      <x:c r="J361" s="2"/>
      <x:c r="K361" s="9"/>
      <x:c r="L361" s="2"/>
      <x:c r="M361" s="2"/>
      <x:c r="N361" s="2"/>
      <x:c r="O361" s="2"/>
      <x:c r="P361" s="2" t="str">
        <x:v>not_cached:getSignaturesForAddress:history/963143f874d840943dd714cf</x:v>
      </x:c>
      <x:c r="Q361" s="2" t="str"/>
      <x:c r="R361" s="14" t="str">
        <x:f>IF(AND(C361="Нулевой остаток",I361="Есть цена"),G361,"")</x:f>
      </x:c>
      <x:c r="S361" s="14" t="str">
        <x:f>IF(AND(C361="Докупка",I361="Есть цена"),G361,"")</x:f>
      </x:c>
    </x:row>
    <x:row r="362" ht="21" customHeight="1">
      <x:c r="A362" s="2" t="n">
        <x:v>36</x:v>
      </x:c>
      <x:c r="B362" s="2" t="n">
        <x:v>180</x:v>
      </x:c>
      <x:c r="C362" s="2" t="str">
        <x:f>'Покупки'!C43</x:f>
        <x:v>Нулевой остаток</x:v>
      </x:c>
      <x:c r="D362" s="9" t="n">
        <x:v>46281.967685185184</x:v>
      </x:c>
      <x:c r="E362" s="12"/>
      <x:c r="F362" s="12" t="n">
        <x:f>'Покупки'!H43</x:f>
        <x:v>0.00012232042049646695</x:v>
      </x:c>
      <x:c r="G362" s="14" t="str">
        <x:f>IF(I362="Есть цена",IF(AND(ISNUMBER(E362),E362&gt;0,F362&gt;0),E362/F362-1,NA()),"")</x:f>
      </x:c>
      <x:c r="H362" s="14" t="str">
        <x:f>IF(AND(I362="Есть цена",I358="Есть цена"),IF(AND(E362&gt;0,E358&gt;0),E362/E358-1,NA()),"")</x:f>
      </x:c>
      <x:c r="I362" s="2" t="str">
        <x:v>RPC: данные не загружены</x:v>
      </x:c>
      <x:c r="J362" s="2"/>
      <x:c r="K362" s="9"/>
      <x:c r="L362" s="2"/>
      <x:c r="M362" s="2"/>
      <x:c r="N362" s="2"/>
      <x:c r="O362" s="2"/>
      <x:c r="P362" s="2" t="str">
        <x:v>not_cached:getSignaturesForAddress:history/e98a48f2974d57a1df413415</x:v>
      </x:c>
      <x:c r="Q362" s="2" t="str"/>
      <x:c r="R362" s="14" t="str">
        <x:f>IF(AND(C362="Нулевой остаток",I362="Есть цена"),G362,"")</x:f>
      </x:c>
      <x:c r="S362" s="14" t="str">
        <x:f>IF(AND(C362="Докупка",I362="Есть цена"),G362,"")</x:f>
      </x:c>
    </x:row>
    <x:row r="363" ht="21" customHeight="1">
      <x:c r="A363" s="2" t="n">
        <x:v>36</x:v>
      </x:c>
      <x:c r="B363" s="2" t="n">
        <x:v>300</x:v>
      </x:c>
      <x:c r="C363" s="2" t="str">
        <x:f>'Покупки'!C43</x:f>
        <x:v>Нулевой остаток</x:v>
      </x:c>
      <x:c r="D363" s="9" t="n">
        <x:v>46281.96907407408</x:v>
      </x:c>
      <x:c r="E363" s="12"/>
      <x:c r="F363" s="12" t="n">
        <x:f>'Покупки'!H43</x:f>
        <x:v>0.00012232042049646695</x:v>
      </x:c>
      <x:c r="G363" s="14" t="str">
        <x:f>IF(I363="Есть цена",IF(AND(ISNUMBER(E363),E363&gt;0,F363&gt;0),E363/F363-1,NA()),"")</x:f>
      </x:c>
      <x:c r="H363" s="14" t="str">
        <x:f>IF(AND(I363="Есть цена",I358="Есть цена"),IF(AND(E363&gt;0,E358&gt;0),E363/E358-1,NA()),"")</x:f>
      </x:c>
      <x:c r="I363" s="2" t="str">
        <x:v>RPC: данные не загружены</x:v>
      </x:c>
      <x:c r="J363" s="2"/>
      <x:c r="K363" s="9"/>
      <x:c r="L363" s="2"/>
      <x:c r="M363" s="2"/>
      <x:c r="N363" s="2"/>
      <x:c r="O363" s="2"/>
      <x:c r="P363" s="2" t="str">
        <x:v>not_cached:getSignaturesForAddress:history/9bdcf4ebb8a7e7714117d769</x:v>
      </x:c>
      <x:c r="Q363" s="2" t="str"/>
      <x:c r="R363" s="14" t="str">
        <x:f>IF(AND(C363="Нулевой остаток",I363="Есть цена"),G363,"")</x:f>
      </x:c>
      <x:c r="S363" s="14" t="str">
        <x:f>IF(AND(C363="Докупка",I363="Есть цена"),G363,"")</x:f>
      </x:c>
    </x:row>
    <x:row r="364" ht="21" customHeight="1">
      <x:c r="A364" s="2" t="n">
        <x:v>36</x:v>
      </x:c>
      <x:c r="B364" s="2" t="n">
        <x:v>900</x:v>
      </x:c>
      <x:c r="C364" s="2" t="str">
        <x:f>'Покупки'!C43</x:f>
        <x:v>Нулевой остаток</x:v>
      </x:c>
      <x:c r="D364" s="9" t="n">
        <x:v>46281.976018518515</x:v>
      </x:c>
      <x:c r="E364" s="12"/>
      <x:c r="F364" s="12" t="n">
        <x:f>'Покупки'!H43</x:f>
        <x:v>0.00012232042049646695</x:v>
      </x:c>
      <x:c r="G364" s="14" t="str">
        <x:f>IF(I364="Есть цена",IF(AND(ISNUMBER(E364),E364&gt;0,F364&gt;0),E364/F364-1,NA()),"")</x:f>
      </x:c>
      <x:c r="H364" s="14" t="str">
        <x:f>IF(AND(I364="Есть цена",I358="Есть цена"),IF(AND(E364&gt;0,E358&gt;0),E364/E358-1,NA()),"")</x:f>
      </x:c>
      <x:c r="I364" s="2" t="str">
        <x:v>RPC: данные не загружены</x:v>
      </x:c>
      <x:c r="J364" s="2"/>
      <x:c r="K364" s="9"/>
      <x:c r="L364" s="2"/>
      <x:c r="M364" s="2"/>
      <x:c r="N364" s="2"/>
      <x:c r="O364" s="2"/>
      <x:c r="P364" s="2" t="str">
        <x:v>not_cached:getSignaturesForAddress:history/191ab65db616a66e9632dc1d</x:v>
      </x:c>
      <x:c r="Q364" s="2" t="str"/>
      <x:c r="R364" s="14" t="str">
        <x:f>IF(AND(C364="Нулевой остаток",I364="Есть цена"),G364,"")</x:f>
      </x:c>
      <x:c r="S364" s="14" t="str">
        <x:f>IF(AND(C364="Докупка",I364="Есть цена"),G364,"")</x:f>
      </x:c>
    </x:row>
    <x:row r="365" ht="21" customHeight="1">
      <x:c r="A365" s="2" t="n">
        <x:v>36</x:v>
      </x:c>
      <x:c r="B365" s="2" t="n">
        <x:v>3600</x:v>
      </x:c>
      <x:c r="C365" s="2" t="str">
        <x:f>'Покупки'!C43</x:f>
        <x:v>Нулевой остаток</x:v>
      </x:c>
      <x:c r="D365" s="9" t="n">
        <x:v>46282.007268518515</x:v>
      </x:c>
      <x:c r="E365" s="12"/>
      <x:c r="F365" s="12" t="n">
        <x:f>'Покупки'!H43</x:f>
        <x:v>0.00012232042049646695</x:v>
      </x:c>
      <x:c r="G365" s="14" t="str">
        <x:f>IF(I365="Есть цена",IF(AND(ISNUMBER(E365),E365&gt;0,F365&gt;0),E365/F365-1,NA()),"")</x:f>
      </x:c>
      <x:c r="H365" s="14" t="str">
        <x:f>IF(AND(I365="Есть цена",I358="Есть цена"),IF(AND(E365&gt;0,E358&gt;0),E365/E358-1,NA()),"")</x:f>
      </x:c>
      <x:c r="I365" s="2" t="str">
        <x:v>RPC: данные не загружены</x:v>
      </x:c>
      <x:c r="J365" s="2"/>
      <x:c r="K365" s="9"/>
      <x:c r="L365" s="2"/>
      <x:c r="M365" s="2"/>
      <x:c r="N365" s="2"/>
      <x:c r="O365" s="2"/>
      <x:c r="P365" s="2" t="str">
        <x:v>not_cached:getSignaturesForAddress:history/59235ea673c75180a5bb55ee</x:v>
      </x:c>
      <x:c r="Q365" s="2" t="str"/>
      <x:c r="R365" s="14" t="str">
        <x:f>IF(AND(C365="Нулевой остаток",I365="Есть цена"),G365,"")</x:f>
      </x:c>
      <x:c r="S365" s="14" t="str">
        <x:f>IF(AND(C365="Докупка",I365="Есть цена"),G365,"")</x:f>
      </x:c>
    </x:row>
    <x:row r="366" ht="21" customHeight="1">
      <x:c r="A366" s="2" t="n">
        <x:v>36</x:v>
      </x:c>
      <x:c r="B366" s="2" t="n">
        <x:v>21600</x:v>
      </x:c>
      <x:c r="C366" s="2" t="str">
        <x:f>'Покупки'!C43</x:f>
        <x:v>Нулевой остаток</x:v>
      </x:c>
      <x:c r="D366" s="9" t="n">
        <x:v>46282.21560185185</x:v>
      </x:c>
      <x:c r="E366" s="12"/>
      <x:c r="F366" s="12" t="n">
        <x:f>'Покупки'!H43</x:f>
        <x:v>0.00012232042049646695</x:v>
      </x:c>
      <x:c r="G366" s="14" t="str">
        <x:f>IF(I366="Есть цена",IF(AND(ISNUMBER(E366),E366&gt;0,F366&gt;0),E366/F366-1,NA()),"")</x:f>
      </x:c>
      <x:c r="H366" s="14" t="str">
        <x:f>IF(AND(I366="Есть цена",I358="Есть цена"),IF(AND(E366&gt;0,E358&gt;0),E366/E358-1,NA()),"")</x:f>
      </x:c>
      <x:c r="I366" s="2" t="str">
        <x:v>RPC: данные не загружены</x:v>
      </x:c>
      <x:c r="J366" s="2"/>
      <x:c r="K366" s="9"/>
      <x:c r="L366" s="2"/>
      <x:c r="M366" s="2"/>
      <x:c r="N366" s="2"/>
      <x:c r="O366" s="2"/>
      <x:c r="P366" s="2" t="str">
        <x:v>not_cached:getSignaturesForAddress:history/72f050a1295ea917e74b3f72</x:v>
      </x:c>
      <x:c r="Q366" s="2" t="str"/>
      <x:c r="R366" s="14" t="str">
        <x:f>IF(AND(C366="Нулевой остаток",I366="Есть цена"),G366,"")</x:f>
      </x:c>
      <x:c r="S366" s="14" t="str">
        <x:f>IF(AND(C366="Докупка",I366="Есть цена"),G366,"")</x:f>
      </x:c>
    </x:row>
    <x:row r="367" ht="21" customHeight="1">
      <x:c r="A367" s="2" t="n">
        <x:v>36</x:v>
      </x:c>
      <x:c r="B367" s="2" t="n">
        <x:v>86400</x:v>
      </x:c>
      <x:c r="C367" s="2" t="str">
        <x:f>'Покупки'!C43</x:f>
        <x:v>Нулевой остаток</x:v>
      </x:c>
      <x:c r="D367" s="9" t="n">
        <x:v>46282.96560185185</x:v>
      </x:c>
      <x:c r="E367" s="12"/>
      <x:c r="F367" s="12" t="n">
        <x:f>'Покупки'!H43</x:f>
        <x:v>0.00012232042049646695</x:v>
      </x:c>
      <x:c r="G367" s="14" t="str">
        <x:f>IF(I367="Есть цена",IF(AND(ISNUMBER(E367),E367&gt;0,F367&gt;0),E367/F367-1,NA()),"")</x:f>
      </x:c>
      <x:c r="H367" s="14" t="str">
        <x:f>IF(AND(I367="Есть цена",I358="Есть цена"),IF(AND(E367&gt;0,E358&gt;0),E367/E358-1,NA()),"")</x:f>
      </x:c>
      <x:c r="I367" s="2" t="str">
        <x:v>Ещё рано</x:v>
      </x:c>
      <x:c r="J367" s="2"/>
      <x:c r="K367" s="9"/>
      <x:c r="L367" s="2"/>
      <x:c r="M367" s="2"/>
      <x:c r="N367" s="2"/>
      <x:c r="O367" s="2"/>
      <x:c r="P367" s="2" t="str">
        <x:v>future</x:v>
      </x:c>
      <x:c r="Q367" s="2" t="str"/>
      <x:c r="R367" s="14" t="str">
        <x:f>IF(AND(C367="Нулевой остаток",I367="Есть цена"),G367,"")</x:f>
      </x:c>
      <x:c r="S367" s="14" t="str">
        <x:f>IF(AND(C367="Докупка",I367="Есть цена"),G367,"")</x:f>
      </x:c>
    </x:row>
    <x:row r="368" ht="21" customHeight="1">
      <x:c r="A368" s="2" t="n">
        <x:v>37</x:v>
      </x:c>
      <x:c r="B368" s="2" t="n">
        <x:v>5</x:v>
      </x:c>
      <x:c r="C368" s="2" t="str">
        <x:f>'Покупки'!C44</x:f>
        <x:v>Нулевой остаток</x:v>
      </x:c>
      <x:c r="D368" s="9" t="n">
        <x:v>46281.965266203704</x:v>
      </x:c>
      <x:c r="E368" s="12"/>
      <x:c r="F368" s="12" t="n">
        <x:f>'Покупки'!H44</x:f>
        <x:v>0.00003255880560520746</x:v>
      </x:c>
      <x:c r="G368" s="14" t="str">
        <x:f>IF(I368="Есть цена",IF(AND(ISNUMBER(E368),E368&gt;0,F368&gt;0),E368/F368-1,NA()),"")</x:f>
      </x:c>
      <x:c r="H368" s="14" t="str">
        <x:f>IF(AND(I368="Есть цена",I368="Есть цена"),IF(AND(E368&gt;0,E368&gt;0),E368/E368-1,NA()),"")</x:f>
      </x:c>
      <x:c r="I368" s="2" t="str">
        <x:v>RPC: данные не загружены</x:v>
      </x:c>
      <x:c r="J368" s="2"/>
      <x:c r="K368" s="9"/>
      <x:c r="L368" s="2"/>
      <x:c r="M368" s="2"/>
      <x:c r="N368" s="2"/>
      <x:c r="O368" s="2"/>
      <x:c r="P368" s="2" t="str">
        <x:v>not_cached:getSignaturesForAddress:history/fe9259d1de9ea43c5a7f7552</x:v>
      </x:c>
      <x:c r="Q368" s="2" t="str"/>
      <x:c r="R368" s="14" t="str">
        <x:f>IF(AND(C368="Нулевой остаток",I368="Есть цена"),G368,"")</x:f>
      </x:c>
      <x:c r="S368" s="14" t="str">
        <x:f>IF(AND(C368="Докупка",I368="Есть цена"),G368,"")</x:f>
      </x:c>
    </x:row>
    <x:row r="369" ht="21" customHeight="1">
      <x:c r="A369" s="2" t="n">
        <x:v>37</x:v>
      </x:c>
      <x:c r="B369" s="2" t="n">
        <x:v>15</x:v>
      </x:c>
      <x:c r="C369" s="2" t="str">
        <x:f>'Покупки'!C44</x:f>
        <x:v>Нулевой остаток</x:v>
      </x:c>
      <x:c r="D369" s="9" t="n">
        <x:v>46281.96538194444</x:v>
      </x:c>
      <x:c r="E369" s="12"/>
      <x:c r="F369" s="12" t="n">
        <x:f>'Покупки'!H44</x:f>
        <x:v>0.00003255880560520746</x:v>
      </x:c>
      <x:c r="G369" s="14" t="str">
        <x:f>IF(I369="Есть цена",IF(AND(ISNUMBER(E369),E369&gt;0,F369&gt;0),E369/F369-1,NA()),"")</x:f>
      </x:c>
      <x:c r="H369" s="14" t="str">
        <x:f>IF(AND(I369="Есть цена",I368="Есть цена"),IF(AND(E369&gt;0,E368&gt;0),E369/E368-1,NA()),"")</x:f>
      </x:c>
      <x:c r="I369" s="2" t="str">
        <x:v>RPC: данные не загружены</x:v>
      </x:c>
      <x:c r="J369" s="2"/>
      <x:c r="K369" s="9"/>
      <x:c r="L369" s="2"/>
      <x:c r="M369" s="2"/>
      <x:c r="N369" s="2"/>
      <x:c r="O369" s="2"/>
      <x:c r="P369" s="2" t="str">
        <x:v>not_cached:getSignaturesForAddress:history/fe9259d1de9ea43c5a7f7552</x:v>
      </x:c>
      <x:c r="Q369" s="2" t="str"/>
      <x:c r="R369" s="14" t="str">
        <x:f>IF(AND(C369="Нулевой остаток",I369="Есть цена"),G369,"")</x:f>
      </x:c>
      <x:c r="S369" s="14" t="str">
        <x:f>IF(AND(C369="Докупка",I369="Есть цена"),G369,"")</x:f>
      </x:c>
    </x:row>
    <x:row r="370" ht="21" customHeight="1">
      <x:c r="A370" s="2" t="n">
        <x:v>37</x:v>
      </x:c>
      <x:c r="B370" s="2" t="n">
        <x:v>30</x:v>
      </x:c>
      <x:c r="C370" s="2" t="str">
        <x:f>'Покупки'!C44</x:f>
        <x:v>Нулевой остаток</x:v>
      </x:c>
      <x:c r="D370" s="9" t="n">
        <x:v>46281.96555555556</x:v>
      </x:c>
      <x:c r="E370" s="12"/>
      <x:c r="F370" s="12" t="n">
        <x:f>'Покупки'!H44</x:f>
        <x:v>0.00003255880560520746</x:v>
      </x:c>
      <x:c r="G370" s="14" t="str">
        <x:f>IF(I370="Есть цена",IF(AND(ISNUMBER(E370),E370&gt;0,F370&gt;0),E370/F370-1,NA()),"")</x:f>
      </x:c>
      <x:c r="H370" s="14" t="str">
        <x:f>IF(AND(I370="Есть цена",I368="Есть цена"),IF(AND(E370&gt;0,E368&gt;0),E370/E368-1,NA()),"")</x:f>
      </x:c>
      <x:c r="I370" s="2" t="str">
        <x:v>RPC: данные не загружены</x:v>
      </x:c>
      <x:c r="J370" s="2"/>
      <x:c r="K370" s="9"/>
      <x:c r="L370" s="2"/>
      <x:c r="M370" s="2"/>
      <x:c r="N370" s="2"/>
      <x:c r="O370" s="2"/>
      <x:c r="P370" s="2" t="str">
        <x:v>not_cached:getSignaturesForAddress:history/fe9259d1de9ea43c5a7f7552</x:v>
      </x:c>
      <x:c r="Q370" s="2" t="str"/>
      <x:c r="R370" s="14" t="str">
        <x:f>IF(AND(C370="Нулевой остаток",I370="Есть цена"),G370,"")</x:f>
      </x:c>
      <x:c r="S370" s="14" t="str">
        <x:f>IF(AND(C370="Докупка",I370="Есть цена"),G370,"")</x:f>
      </x:c>
    </x:row>
    <x:row r="371" ht="21" customHeight="1">
      <x:c r="A371" s="2" t="n">
        <x:v>37</x:v>
      </x:c>
      <x:c r="B371" s="2" t="n">
        <x:v>60</x:v>
      </x:c>
      <x:c r="C371" s="2" t="str">
        <x:f>'Покупки'!C44</x:f>
        <x:v>Нулевой остаток</x:v>
      </x:c>
      <x:c r="D371" s="9" t="n">
        <x:v>46281.965902777774</x:v>
      </x:c>
      <x:c r="E371" s="12"/>
      <x:c r="F371" s="12" t="n">
        <x:f>'Покупки'!H44</x:f>
        <x:v>0.00003255880560520746</x:v>
      </x:c>
      <x:c r="G371" s="14" t="str">
        <x:f>IF(I371="Есть цена",IF(AND(ISNUMBER(E371),E371&gt;0,F371&gt;0),E371/F371-1,NA()),"")</x:f>
      </x:c>
      <x:c r="H371" s="14" t="str">
        <x:f>IF(AND(I371="Есть цена",I368="Есть цена"),IF(AND(E371&gt;0,E368&gt;0),E371/E368-1,NA()),"")</x:f>
      </x:c>
      <x:c r="I371" s="2" t="str">
        <x:v>RPC: данные не загружены</x:v>
      </x:c>
      <x:c r="J371" s="2"/>
      <x:c r="K371" s="9"/>
      <x:c r="L371" s="2"/>
      <x:c r="M371" s="2"/>
      <x:c r="N371" s="2"/>
      <x:c r="O371" s="2"/>
      <x:c r="P371" s="2" t="str">
        <x:v>not_cached:getSignaturesForAddress:history/0769552a15ada2e91e661fe0</x:v>
      </x:c>
      <x:c r="Q371" s="2" t="str"/>
      <x:c r="R371" s="14" t="str">
        <x:f>IF(AND(C371="Нулевой остаток",I371="Есть цена"),G371,"")</x:f>
      </x:c>
      <x:c r="S371" s="14" t="str">
        <x:f>IF(AND(C371="Докупка",I371="Есть цена"),G371,"")</x:f>
      </x:c>
    </x:row>
    <x:row r="372" ht="21" customHeight="1">
      <x:c r="A372" s="2" t="n">
        <x:v>37</x:v>
      </x:c>
      <x:c r="B372" s="2" t="n">
        <x:v>180</x:v>
      </x:c>
      <x:c r="C372" s="2" t="str">
        <x:f>'Покупки'!C44</x:f>
        <x:v>Нулевой остаток</x:v>
      </x:c>
      <x:c r="D372" s="9" t="n">
        <x:v>46281.96729166667</x:v>
      </x:c>
      <x:c r="E372" s="12"/>
      <x:c r="F372" s="12" t="n">
        <x:f>'Покупки'!H44</x:f>
        <x:v>0.00003255880560520746</x:v>
      </x:c>
      <x:c r="G372" s="14" t="str">
        <x:f>IF(I372="Есть цена",IF(AND(ISNUMBER(E372),E372&gt;0,F372&gt;0),E372/F372-1,NA()),"")</x:f>
      </x:c>
      <x:c r="H372" s="14" t="str">
        <x:f>IF(AND(I372="Есть цена",I368="Есть цена"),IF(AND(E372&gt;0,E368&gt;0),E372/E368-1,NA()),"")</x:f>
      </x:c>
      <x:c r="I372" s="2" t="str">
        <x:v>RPC: данные не загружены</x:v>
      </x:c>
      <x:c r="J372" s="2"/>
      <x:c r="K372" s="9"/>
      <x:c r="L372" s="2"/>
      <x:c r="M372" s="2"/>
      <x:c r="N372" s="2"/>
      <x:c r="O372" s="2"/>
      <x:c r="P372" s="2" t="str">
        <x:v>not_cached:getSignaturesForAddress:history/982bb905e1111371375108df</x:v>
      </x:c>
      <x:c r="Q372" s="2" t="str"/>
      <x:c r="R372" s="14" t="str">
        <x:f>IF(AND(C372="Нулевой остаток",I372="Есть цена"),G372,"")</x:f>
      </x:c>
      <x:c r="S372" s="14" t="str">
        <x:f>IF(AND(C372="Докупка",I372="Есть цена"),G372,"")</x:f>
      </x:c>
    </x:row>
    <x:row r="373" ht="21" customHeight="1">
      <x:c r="A373" s="2" t="n">
        <x:v>37</x:v>
      </x:c>
      <x:c r="B373" s="2" t="n">
        <x:v>300</x:v>
      </x:c>
      <x:c r="C373" s="2" t="str">
        <x:f>'Покупки'!C44</x:f>
        <x:v>Нулевой остаток</x:v>
      </x:c>
      <x:c r="D373" s="9" t="n">
        <x:v>46281.968680555554</x:v>
      </x:c>
      <x:c r="E373" s="12"/>
      <x:c r="F373" s="12" t="n">
        <x:f>'Покупки'!H44</x:f>
        <x:v>0.00003255880560520746</x:v>
      </x:c>
      <x:c r="G373" s="14" t="str">
        <x:f>IF(I373="Есть цена",IF(AND(ISNUMBER(E373),E373&gt;0,F373&gt;0),E373/F373-1,NA()),"")</x:f>
      </x:c>
      <x:c r="H373" s="14" t="str">
        <x:f>IF(AND(I373="Есть цена",I368="Есть цена"),IF(AND(E373&gt;0,E368&gt;0),E373/E368-1,NA()),"")</x:f>
      </x:c>
      <x:c r="I373" s="2" t="str">
        <x:v>RPC: данные не загружены</x:v>
      </x:c>
      <x:c r="J373" s="2"/>
      <x:c r="K373" s="9"/>
      <x:c r="L373" s="2"/>
      <x:c r="M373" s="2"/>
      <x:c r="N373" s="2"/>
      <x:c r="O373" s="2"/>
      <x:c r="P373" s="2" t="str">
        <x:v>not_cached:getSignaturesForAddress:history/1194fbacfe9950c777c5f782</x:v>
      </x:c>
      <x:c r="Q373" s="2" t="str"/>
      <x:c r="R373" s="14" t="str">
        <x:f>IF(AND(C373="Нулевой остаток",I373="Есть цена"),G373,"")</x:f>
      </x:c>
      <x:c r="S373" s="14" t="str">
        <x:f>IF(AND(C373="Докупка",I373="Есть цена"),G373,"")</x:f>
      </x:c>
    </x:row>
    <x:row r="374" ht="21" customHeight="1">
      <x:c r="A374" s="2" t="n">
        <x:v>37</x:v>
      </x:c>
      <x:c r="B374" s="2" t="n">
        <x:v>900</x:v>
      </x:c>
      <x:c r="C374" s="2" t="str">
        <x:f>'Покупки'!C44</x:f>
        <x:v>Нулевой остаток</x:v>
      </x:c>
      <x:c r="D374" s="9" t="n">
        <x:v>46281.975625</x:v>
      </x:c>
      <x:c r="E374" s="12"/>
      <x:c r="F374" s="12" t="n">
        <x:f>'Покупки'!H44</x:f>
        <x:v>0.00003255880560520746</x:v>
      </x:c>
      <x:c r="G374" s="14" t="str">
        <x:f>IF(I374="Есть цена",IF(AND(ISNUMBER(E374),E374&gt;0,F374&gt;0),E374/F374-1,NA()),"")</x:f>
      </x:c>
      <x:c r="H374" s="14" t="str">
        <x:f>IF(AND(I374="Есть цена",I368="Есть цена"),IF(AND(E374&gt;0,E368&gt;0),E374/E368-1,NA()),"")</x:f>
      </x:c>
      <x:c r="I374" s="2" t="str">
        <x:v>RPC: данные не загружены</x:v>
      </x:c>
      <x:c r="J374" s="2"/>
      <x:c r="K374" s="9"/>
      <x:c r="L374" s="2"/>
      <x:c r="M374" s="2"/>
      <x:c r="N374" s="2"/>
      <x:c r="O374" s="2"/>
      <x:c r="P374" s="2" t="str">
        <x:v>not_cached:getSignaturesForAddress:history/bed58866baa373170fda6ad9</x:v>
      </x:c>
      <x:c r="Q374" s="2" t="str"/>
      <x:c r="R374" s="14" t="str">
        <x:f>IF(AND(C374="Нулевой остаток",I374="Есть цена"),G374,"")</x:f>
      </x:c>
      <x:c r="S374" s="14" t="str">
        <x:f>IF(AND(C374="Докупка",I374="Есть цена"),G374,"")</x:f>
      </x:c>
    </x:row>
    <x:row r="375" ht="21" customHeight="1">
      <x:c r="A375" s="2" t="n">
        <x:v>37</x:v>
      </x:c>
      <x:c r="B375" s="2" t="n">
        <x:v>3600</x:v>
      </x:c>
      <x:c r="C375" s="2" t="str">
        <x:f>'Покупки'!C44</x:f>
        <x:v>Нулевой остаток</x:v>
      </x:c>
      <x:c r="D375" s="9" t="n">
        <x:v>46282.006875</x:v>
      </x:c>
      <x:c r="E375" s="12"/>
      <x:c r="F375" s="12" t="n">
        <x:f>'Покупки'!H44</x:f>
        <x:v>0.00003255880560520746</x:v>
      </x:c>
      <x:c r="G375" s="14" t="str">
        <x:f>IF(I375="Есть цена",IF(AND(ISNUMBER(E375),E375&gt;0,F375&gt;0),E375/F375-1,NA()),"")</x:f>
      </x:c>
      <x:c r="H375" s="14" t="str">
        <x:f>IF(AND(I375="Есть цена",I368="Есть цена"),IF(AND(E375&gt;0,E368&gt;0),E375/E368-1,NA()),"")</x:f>
      </x:c>
      <x:c r="I375" s="2" t="str">
        <x:v>RPC: данные не загружены</x:v>
      </x:c>
      <x:c r="J375" s="2"/>
      <x:c r="K375" s="9"/>
      <x:c r="L375" s="2"/>
      <x:c r="M375" s="2"/>
      <x:c r="N375" s="2"/>
      <x:c r="O375" s="2"/>
      <x:c r="P375" s="2" t="str">
        <x:v>not_cached:getSignaturesForAddress:history/32ad55190060e95d5af2cce1</x:v>
      </x:c>
      <x:c r="Q375" s="2" t="str"/>
      <x:c r="R375" s="14" t="str">
        <x:f>IF(AND(C375="Нулевой остаток",I375="Есть цена"),G375,"")</x:f>
      </x:c>
      <x:c r="S375" s="14" t="str">
        <x:f>IF(AND(C375="Докупка",I375="Есть цена"),G375,"")</x:f>
      </x:c>
    </x:row>
    <x:row r="376" ht="21" customHeight="1">
      <x:c r="A376" s="2" t="n">
        <x:v>37</x:v>
      </x:c>
      <x:c r="B376" s="2" t="n">
        <x:v>21600</x:v>
      </x:c>
      <x:c r="C376" s="2" t="str">
        <x:f>'Покупки'!C44</x:f>
        <x:v>Нулевой остаток</x:v>
      </x:c>
      <x:c r="D376" s="9" t="n">
        <x:v>46282.215208333335</x:v>
      </x:c>
      <x:c r="E376" s="12"/>
      <x:c r="F376" s="12" t="n">
        <x:f>'Покупки'!H44</x:f>
        <x:v>0.00003255880560520746</x:v>
      </x:c>
      <x:c r="G376" s="14" t="str">
        <x:f>IF(I376="Есть цена",IF(AND(ISNUMBER(E376),E376&gt;0,F376&gt;0),E376/F376-1,NA()),"")</x:f>
      </x:c>
      <x:c r="H376" s="14" t="str">
        <x:f>IF(AND(I376="Есть цена",I368="Есть цена"),IF(AND(E376&gt;0,E368&gt;0),E376/E368-1,NA()),"")</x:f>
      </x:c>
      <x:c r="I376" s="2" t="str">
        <x:v>RPC: данные не загружены</x:v>
      </x:c>
      <x:c r="J376" s="2"/>
      <x:c r="K376" s="9"/>
      <x:c r="L376" s="2"/>
      <x:c r="M376" s="2"/>
      <x:c r="N376" s="2"/>
      <x:c r="O376" s="2"/>
      <x:c r="P376" s="2" t="str">
        <x:v>not_cached:getSignaturesForAddress:history/c363698bf4037f878960d5aa</x:v>
      </x:c>
      <x:c r="Q376" s="2" t="str"/>
      <x:c r="R376" s="14" t="str">
        <x:f>IF(AND(C376="Нулевой остаток",I376="Есть цена"),G376,"")</x:f>
      </x:c>
      <x:c r="S376" s="14" t="str">
        <x:f>IF(AND(C376="Докупка",I376="Есть цена"),G376,"")</x:f>
      </x:c>
    </x:row>
    <x:row r="377" ht="21" customHeight="1">
      <x:c r="A377" s="2" t="n">
        <x:v>37</x:v>
      </x:c>
      <x:c r="B377" s="2" t="n">
        <x:v>86400</x:v>
      </x:c>
      <x:c r="C377" s="2" t="str">
        <x:f>'Покупки'!C44</x:f>
        <x:v>Нулевой остаток</x:v>
      </x:c>
      <x:c r="D377" s="9" t="n">
        <x:v>46282.965208333335</x:v>
      </x:c>
      <x:c r="E377" s="12"/>
      <x:c r="F377" s="12" t="n">
        <x:f>'Покупки'!H44</x:f>
        <x:v>0.00003255880560520746</x:v>
      </x:c>
      <x:c r="G377" s="14" t="str">
        <x:f>IF(I377="Есть цена",IF(AND(ISNUMBER(E377),E377&gt;0,F377&gt;0),E377/F377-1,NA()),"")</x:f>
      </x:c>
      <x:c r="H377" s="14" t="str">
        <x:f>IF(AND(I377="Есть цена",I368="Есть цена"),IF(AND(E377&gt;0,E368&gt;0),E377/E368-1,NA()),"")</x:f>
      </x:c>
      <x:c r="I377" s="2" t="str">
        <x:v>Ещё рано</x:v>
      </x:c>
      <x:c r="J377" s="2"/>
      <x:c r="K377" s="9"/>
      <x:c r="L377" s="2"/>
      <x:c r="M377" s="2"/>
      <x:c r="N377" s="2"/>
      <x:c r="O377" s="2"/>
      <x:c r="P377" s="2" t="str">
        <x:v>future</x:v>
      </x:c>
      <x:c r="Q377" s="2" t="str"/>
      <x:c r="R377" s="14" t="str">
        <x:f>IF(AND(C377="Нулевой остаток",I377="Есть цена"),G377,"")</x:f>
      </x:c>
      <x:c r="S377" s="14" t="str">
        <x:f>IF(AND(C377="Докупка",I377="Есть цена"),G377,"")</x:f>
      </x:c>
    </x:row>
    <x:row r="378" ht="21" customHeight="1">
      <x:c r="A378" s="2" t="n">
        <x:v>38</x:v>
      </x:c>
      <x:c r="B378" s="2" t="n">
        <x:v>5</x:v>
      </x:c>
      <x:c r="C378" s="2" t="str">
        <x:f>'Покупки'!C45</x:f>
        <x:v>Нулевой остаток</x:v>
      </x:c>
      <x:c r="D378" s="9" t="n">
        <x:v>46281.96505787037</x:v>
      </x:c>
      <x:c r="E378" s="12"/>
      <x:c r="F378" s="12" t="n">
        <x:f>'Покупки'!H45</x:f>
        <x:v>0.00003988112068481817</x:v>
      </x:c>
      <x:c r="G378" s="14" t="str">
        <x:f>IF(I378="Есть цена",IF(AND(ISNUMBER(E378),E378&gt;0,F378&gt;0),E378/F378-1,NA()),"")</x:f>
      </x:c>
      <x:c r="H378" s="14" t="str">
        <x:f>IF(AND(I378="Есть цена",I378="Есть цена"),IF(AND(E378&gt;0,E378&gt;0),E378/E378-1,NA()),"")</x:f>
      </x:c>
      <x:c r="I378" s="2" t="str">
        <x:v>RPC: данные не загружены</x:v>
      </x:c>
      <x:c r="J378" s="2"/>
      <x:c r="K378" s="9"/>
      <x:c r="L378" s="2"/>
      <x:c r="M378" s="2"/>
      <x:c r="N378" s="2"/>
      <x:c r="O378" s="2"/>
      <x:c r="P378" s="2" t="str">
        <x:v>not_cached:getSignaturesForAddress:history/168843f60220e97f60825aa8</x:v>
      </x:c>
      <x:c r="Q378" s="2" t="str"/>
      <x:c r="R378" s="14" t="str">
        <x:f>IF(AND(C378="Нулевой остаток",I378="Есть цена"),G378,"")</x:f>
      </x:c>
      <x:c r="S378" s="14" t="str">
        <x:f>IF(AND(C378="Докупка",I378="Есть цена"),G378,"")</x:f>
      </x:c>
    </x:row>
    <x:row r="379" ht="21" customHeight="1">
      <x:c r="A379" s="2" t="n">
        <x:v>38</x:v>
      </x:c>
      <x:c r="B379" s="2" t="n">
        <x:v>15</x:v>
      </x:c>
      <x:c r="C379" s="2" t="str">
        <x:f>'Покупки'!C45</x:f>
        <x:v>Нулевой остаток</x:v>
      </x:c>
      <x:c r="D379" s="9" t="n">
        <x:v>46281.96517361111</x:v>
      </x:c>
      <x:c r="E379" s="12"/>
      <x:c r="F379" s="12" t="n">
        <x:f>'Покупки'!H45</x:f>
        <x:v>0.00003988112068481817</x:v>
      </x:c>
      <x:c r="G379" s="14" t="str">
        <x:f>IF(I379="Есть цена",IF(AND(ISNUMBER(E379),E379&gt;0,F379&gt;0),E379/F379-1,NA()),"")</x:f>
      </x:c>
      <x:c r="H379" s="14" t="str">
        <x:f>IF(AND(I379="Есть цена",I378="Есть цена"),IF(AND(E379&gt;0,E378&gt;0),E379/E378-1,NA()),"")</x:f>
      </x:c>
      <x:c r="I379" s="2" t="str">
        <x:v>RPC: данные не загружены</x:v>
      </x:c>
      <x:c r="J379" s="2"/>
      <x:c r="K379" s="9"/>
      <x:c r="L379" s="2"/>
      <x:c r="M379" s="2"/>
      <x:c r="N379" s="2"/>
      <x:c r="O379" s="2"/>
      <x:c r="P379" s="2" t="str">
        <x:v>not_cached:getSignaturesForAddress:history/168843f60220e97f60825aa8</x:v>
      </x:c>
      <x:c r="Q379" s="2" t="str"/>
      <x:c r="R379" s="14" t="str">
        <x:f>IF(AND(C379="Нулевой остаток",I379="Есть цена"),G379,"")</x:f>
      </x:c>
      <x:c r="S379" s="14" t="str">
        <x:f>IF(AND(C379="Докупка",I379="Есть цена"),G379,"")</x:f>
      </x:c>
    </x:row>
    <x:row r="380" ht="21" customHeight="1">
      <x:c r="A380" s="2" t="n">
        <x:v>38</x:v>
      </x:c>
      <x:c r="B380" s="2" t="n">
        <x:v>30</x:v>
      </x:c>
      <x:c r="C380" s="2" t="str">
        <x:f>'Покупки'!C45</x:f>
        <x:v>Нулевой остаток</x:v>
      </x:c>
      <x:c r="D380" s="9" t="n">
        <x:v>46281.96534722222</x:v>
      </x:c>
      <x:c r="E380" s="12"/>
      <x:c r="F380" s="12" t="n">
        <x:f>'Покупки'!H45</x:f>
        <x:v>0.00003988112068481817</x:v>
      </x:c>
      <x:c r="G380" s="14" t="str">
        <x:f>IF(I380="Есть цена",IF(AND(ISNUMBER(E380),E380&gt;0,F380&gt;0),E380/F380-1,NA()),"")</x:f>
      </x:c>
      <x:c r="H380" s="14" t="str">
        <x:f>IF(AND(I380="Есть цена",I378="Есть цена"),IF(AND(E380&gt;0,E378&gt;0),E380/E378-1,NA()),"")</x:f>
      </x:c>
      <x:c r="I380" s="2" t="str">
        <x:v>RPC: данные не загружены</x:v>
      </x:c>
      <x:c r="J380" s="2"/>
      <x:c r="K380" s="9"/>
      <x:c r="L380" s="2"/>
      <x:c r="M380" s="2"/>
      <x:c r="N380" s="2"/>
      <x:c r="O380" s="2"/>
      <x:c r="P380" s="2" t="str">
        <x:v>not_cached:getSignaturesForAddress:history/90a1cdf06b495ed49909a50c</x:v>
      </x:c>
      <x:c r="Q380" s="2" t="str"/>
      <x:c r="R380" s="14" t="str">
        <x:f>IF(AND(C380="Нулевой остаток",I380="Есть цена"),G380,"")</x:f>
      </x:c>
      <x:c r="S380" s="14" t="str">
        <x:f>IF(AND(C380="Докупка",I380="Есть цена"),G380,"")</x:f>
      </x:c>
    </x:row>
    <x:row r="381" ht="21" customHeight="1">
      <x:c r="A381" s="2" t="n">
        <x:v>38</x:v>
      </x:c>
      <x:c r="B381" s="2" t="n">
        <x:v>60</x:v>
      </x:c>
      <x:c r="C381" s="2" t="str">
        <x:f>'Покупки'!C45</x:f>
        <x:v>Нулевой остаток</x:v>
      </x:c>
      <x:c r="D381" s="9" t="n">
        <x:v>46281.96569444444</x:v>
      </x:c>
      <x:c r="E381" s="12"/>
      <x:c r="F381" s="12" t="n">
        <x:f>'Покупки'!H45</x:f>
        <x:v>0.00003988112068481817</x:v>
      </x:c>
      <x:c r="G381" s="14" t="str">
        <x:f>IF(I381="Есть цена",IF(AND(ISNUMBER(E381),E381&gt;0,F381&gt;0),E381/F381-1,NA()),"")</x:f>
      </x:c>
      <x:c r="H381" s="14" t="str">
        <x:f>IF(AND(I381="Есть цена",I378="Есть цена"),IF(AND(E381&gt;0,E378&gt;0),E381/E378-1,NA()),"")</x:f>
      </x:c>
      <x:c r="I381" s="2" t="str">
        <x:v>RPC: данные не загружены</x:v>
      </x:c>
      <x:c r="J381" s="2"/>
      <x:c r="K381" s="9"/>
      <x:c r="L381" s="2"/>
      <x:c r="M381" s="2"/>
      <x:c r="N381" s="2"/>
      <x:c r="O381" s="2"/>
      <x:c r="P381" s="2" t="str">
        <x:v>not_cached:getSignaturesForAddress:history/eecf02080aa7156607e23af0</x:v>
      </x:c>
      <x:c r="Q381" s="2" t="str"/>
      <x:c r="R381" s="14" t="str">
        <x:f>IF(AND(C381="Нулевой остаток",I381="Есть цена"),G381,"")</x:f>
      </x:c>
      <x:c r="S381" s="14" t="str">
        <x:f>IF(AND(C381="Докупка",I381="Есть цена"),G381,"")</x:f>
      </x:c>
    </x:row>
    <x:row r="382" ht="21" customHeight="1">
      <x:c r="A382" s="2" t="n">
        <x:v>38</x:v>
      </x:c>
      <x:c r="B382" s="2" t="n">
        <x:v>180</x:v>
      </x:c>
      <x:c r="C382" s="2" t="str">
        <x:f>'Покупки'!C45</x:f>
        <x:v>Нулевой остаток</x:v>
      </x:c>
      <x:c r="D382" s="9" t="n">
        <x:v>46281.96708333334</x:v>
      </x:c>
      <x:c r="E382" s="12"/>
      <x:c r="F382" s="12" t="n">
        <x:f>'Покупки'!H45</x:f>
        <x:v>0.00003988112068481817</x:v>
      </x:c>
      <x:c r="G382" s="14" t="str">
        <x:f>IF(I382="Есть цена",IF(AND(ISNUMBER(E382),E382&gt;0,F382&gt;0),E382/F382-1,NA()),"")</x:f>
      </x:c>
      <x:c r="H382" s="14" t="str">
        <x:f>IF(AND(I382="Есть цена",I378="Есть цена"),IF(AND(E382&gt;0,E378&gt;0),E382/E378-1,NA()),"")</x:f>
      </x:c>
      <x:c r="I382" s="2" t="str">
        <x:v>RPC: данные не загружены</x:v>
      </x:c>
      <x:c r="J382" s="2"/>
      <x:c r="K382" s="9"/>
      <x:c r="L382" s="2"/>
      <x:c r="M382" s="2"/>
      <x:c r="N382" s="2"/>
      <x:c r="O382" s="2"/>
      <x:c r="P382" s="2" t="str">
        <x:v>not_cached:getSignaturesForAddress:history/d7dafe4daa8b42f0d0cf68c1</x:v>
      </x:c>
      <x:c r="Q382" s="2" t="str"/>
      <x:c r="R382" s="14" t="str">
        <x:f>IF(AND(C382="Нулевой остаток",I382="Есть цена"),G382,"")</x:f>
      </x:c>
      <x:c r="S382" s="14" t="str">
        <x:f>IF(AND(C382="Докупка",I382="Есть цена"),G382,"")</x:f>
      </x:c>
    </x:row>
    <x:row r="383" ht="21" customHeight="1">
      <x:c r="A383" s="2" t="n">
        <x:v>38</x:v>
      </x:c>
      <x:c r="B383" s="2" t="n">
        <x:v>300</x:v>
      </x:c>
      <x:c r="C383" s="2" t="str">
        <x:f>'Покупки'!C45</x:f>
        <x:v>Нулевой остаток</x:v>
      </x:c>
      <x:c r="D383" s="9" t="n">
        <x:v>46281.96847222222</x:v>
      </x:c>
      <x:c r="E383" s="12"/>
      <x:c r="F383" s="12" t="n">
        <x:f>'Покупки'!H45</x:f>
        <x:v>0.00003988112068481817</x:v>
      </x:c>
      <x:c r="G383" s="14" t="str">
        <x:f>IF(I383="Есть цена",IF(AND(ISNUMBER(E383),E383&gt;0,F383&gt;0),E383/F383-1,NA()),"")</x:f>
      </x:c>
      <x:c r="H383" s="14" t="str">
        <x:f>IF(AND(I383="Есть цена",I378="Есть цена"),IF(AND(E383&gt;0,E378&gt;0),E383/E378-1,NA()),"")</x:f>
      </x:c>
      <x:c r="I383" s="2" t="str">
        <x:v>RPC: данные не загружены</x:v>
      </x:c>
      <x:c r="J383" s="2"/>
      <x:c r="K383" s="9"/>
      <x:c r="L383" s="2"/>
      <x:c r="M383" s="2"/>
      <x:c r="N383" s="2"/>
      <x:c r="O383" s="2"/>
      <x:c r="P383" s="2" t="str">
        <x:v>not_cached:getSignaturesForAddress:history/d38fdb7180065991abeed17d</x:v>
      </x:c>
      <x:c r="Q383" s="2" t="str"/>
      <x:c r="R383" s="14" t="str">
        <x:f>IF(AND(C383="Нулевой остаток",I383="Есть цена"),G383,"")</x:f>
      </x:c>
      <x:c r="S383" s="14" t="str">
        <x:f>IF(AND(C383="Докупка",I383="Есть цена"),G383,"")</x:f>
      </x:c>
    </x:row>
    <x:row r="384" ht="21" customHeight="1">
      <x:c r="A384" s="2" t="n">
        <x:v>38</x:v>
      </x:c>
      <x:c r="B384" s="2" t="n">
        <x:v>900</x:v>
      </x:c>
      <x:c r="C384" s="2" t="str">
        <x:f>'Покупки'!C45</x:f>
        <x:v>Нулевой остаток</x:v>
      </x:c>
      <x:c r="D384" s="9" t="n">
        <x:v>46281.97541666667</x:v>
      </x:c>
      <x:c r="E384" s="12"/>
      <x:c r="F384" s="12" t="n">
        <x:f>'Покупки'!H45</x:f>
        <x:v>0.00003988112068481817</x:v>
      </x:c>
      <x:c r="G384" s="14" t="str">
        <x:f>IF(I384="Есть цена",IF(AND(ISNUMBER(E384),E384&gt;0,F384&gt;0),E384/F384-1,NA()),"")</x:f>
      </x:c>
      <x:c r="H384" s="14" t="str">
        <x:f>IF(AND(I384="Есть цена",I378="Есть цена"),IF(AND(E384&gt;0,E378&gt;0),E384/E378-1,NA()),"")</x:f>
      </x:c>
      <x:c r="I384" s="2" t="str">
        <x:v>RPC: данные не загружены</x:v>
      </x:c>
      <x:c r="J384" s="2"/>
      <x:c r="K384" s="9"/>
      <x:c r="L384" s="2"/>
      <x:c r="M384" s="2"/>
      <x:c r="N384" s="2"/>
      <x:c r="O384" s="2"/>
      <x:c r="P384" s="2" t="str">
        <x:v>not_cached:getSignaturesForAddress:history/4cd1e801d34bbe29d22d3527</x:v>
      </x:c>
      <x:c r="Q384" s="2" t="str"/>
      <x:c r="R384" s="14" t="str">
        <x:f>IF(AND(C384="Нулевой остаток",I384="Есть цена"),G384,"")</x:f>
      </x:c>
      <x:c r="S384" s="14" t="str">
        <x:f>IF(AND(C384="Докупка",I384="Есть цена"),G384,"")</x:f>
      </x:c>
    </x:row>
    <x:row r="385" ht="21" customHeight="1">
      <x:c r="A385" s="2" t="n">
        <x:v>38</x:v>
      </x:c>
      <x:c r="B385" s="2" t="n">
        <x:v>3600</x:v>
      </x:c>
      <x:c r="C385" s="2" t="str">
        <x:f>'Покупки'!C45</x:f>
        <x:v>Нулевой остаток</x:v>
      </x:c>
      <x:c r="D385" s="9" t="n">
        <x:v>46282.00666666667</x:v>
      </x:c>
      <x:c r="E385" s="12"/>
      <x:c r="F385" s="12" t="n">
        <x:f>'Покупки'!H45</x:f>
        <x:v>0.00003988112068481817</x:v>
      </x:c>
      <x:c r="G385" s="14" t="str">
        <x:f>IF(I385="Есть цена",IF(AND(ISNUMBER(E385),E385&gt;0,F385&gt;0),E385/F385-1,NA()),"")</x:f>
      </x:c>
      <x:c r="H385" s="14" t="str">
        <x:f>IF(AND(I385="Есть цена",I378="Есть цена"),IF(AND(E385&gt;0,E378&gt;0),E385/E378-1,NA()),"")</x:f>
      </x:c>
      <x:c r="I385" s="2" t="str">
        <x:v>RPC: данные не загружены</x:v>
      </x:c>
      <x:c r="J385" s="2"/>
      <x:c r="K385" s="9"/>
      <x:c r="L385" s="2"/>
      <x:c r="M385" s="2"/>
      <x:c r="N385" s="2"/>
      <x:c r="O385" s="2"/>
      <x:c r="P385" s="2" t="str">
        <x:v>not_cached:getSignaturesForAddress:history/aa933d0ecb5dfdff4c7bfbd7</x:v>
      </x:c>
      <x:c r="Q385" s="2" t="str"/>
      <x:c r="R385" s="14" t="str">
        <x:f>IF(AND(C385="Нулевой остаток",I385="Есть цена"),G385,"")</x:f>
      </x:c>
      <x:c r="S385" s="14" t="str">
        <x:f>IF(AND(C385="Докупка",I385="Есть цена"),G385,"")</x:f>
      </x:c>
    </x:row>
    <x:row r="386" ht="21" customHeight="1">
      <x:c r="A386" s="2" t="n">
        <x:v>38</x:v>
      </x:c>
      <x:c r="B386" s="2" t="n">
        <x:v>21600</x:v>
      </x:c>
      <x:c r="C386" s="2" t="str">
        <x:f>'Покупки'!C45</x:f>
        <x:v>Нулевой остаток</x:v>
      </x:c>
      <x:c r="D386" s="9" t="n">
        <x:v>46282.215</x:v>
      </x:c>
      <x:c r="E386" s="12"/>
      <x:c r="F386" s="12" t="n">
        <x:f>'Покупки'!H45</x:f>
        <x:v>0.00003988112068481817</x:v>
      </x:c>
      <x:c r="G386" s="14" t="str">
        <x:f>IF(I386="Есть цена",IF(AND(ISNUMBER(E386),E386&gt;0,F386&gt;0),E386/F386-1,NA()),"")</x:f>
      </x:c>
      <x:c r="H386" s="14" t="str">
        <x:f>IF(AND(I386="Есть цена",I378="Есть цена"),IF(AND(E386&gt;0,E378&gt;0),E386/E378-1,NA()),"")</x:f>
      </x:c>
      <x:c r="I386" s="2" t="str">
        <x:v>RPC: данные не загружены</x:v>
      </x:c>
      <x:c r="J386" s="2"/>
      <x:c r="K386" s="9"/>
      <x:c r="L386" s="2"/>
      <x:c r="M386" s="2"/>
      <x:c r="N386" s="2"/>
      <x:c r="O386" s="2"/>
      <x:c r="P386" s="2" t="str">
        <x:v>not_cached:getSignaturesForAddress:history/5a3574c8df2b7045f92039c5</x:v>
      </x:c>
      <x:c r="Q386" s="2" t="str"/>
      <x:c r="R386" s="14" t="str">
        <x:f>IF(AND(C386="Нулевой остаток",I386="Есть цена"),G386,"")</x:f>
      </x:c>
      <x:c r="S386" s="14" t="str">
        <x:f>IF(AND(C386="Докупка",I386="Есть цена"),G386,"")</x:f>
      </x:c>
    </x:row>
    <x:row r="387" ht="21" customHeight="1">
      <x:c r="A387" s="2" t="n">
        <x:v>38</x:v>
      </x:c>
      <x:c r="B387" s="2" t="n">
        <x:v>86400</x:v>
      </x:c>
      <x:c r="C387" s="2" t="str">
        <x:f>'Покупки'!C45</x:f>
        <x:v>Нулевой остаток</x:v>
      </x:c>
      <x:c r="D387" s="9" t="n">
        <x:v>46282.965</x:v>
      </x:c>
      <x:c r="E387" s="12"/>
      <x:c r="F387" s="12" t="n">
        <x:f>'Покупки'!H45</x:f>
        <x:v>0.00003988112068481817</x:v>
      </x:c>
      <x:c r="G387" s="14" t="str">
        <x:f>IF(I387="Есть цена",IF(AND(ISNUMBER(E387),E387&gt;0,F387&gt;0),E387/F387-1,NA()),"")</x:f>
      </x:c>
      <x:c r="H387" s="14" t="str">
        <x:f>IF(AND(I387="Есть цена",I378="Есть цена"),IF(AND(E387&gt;0,E378&gt;0),E387/E378-1,NA()),"")</x:f>
      </x:c>
      <x:c r="I387" s="2" t="str">
        <x:v>Ещё рано</x:v>
      </x:c>
      <x:c r="J387" s="2"/>
      <x:c r="K387" s="9"/>
      <x:c r="L387" s="2"/>
      <x:c r="M387" s="2"/>
      <x:c r="N387" s="2"/>
      <x:c r="O387" s="2"/>
      <x:c r="P387" s="2" t="str">
        <x:v>future</x:v>
      </x:c>
      <x:c r="Q387" s="2" t="str"/>
      <x:c r="R387" s="14" t="str">
        <x:f>IF(AND(C387="Нулевой остаток",I387="Есть цена"),G387,"")</x:f>
      </x:c>
      <x:c r="S387" s="14" t="str">
        <x:f>IF(AND(C387="Докупка",I387="Есть цена"),G387,"")</x:f>
      </x:c>
    </x:row>
    <x:row r="388" ht="21" customHeight="1">
      <x:c r="A388" s="2" t="n">
        <x:v>39</x:v>
      </x:c>
      <x:c r="B388" s="2" t="n">
        <x:v>5</x:v>
      </x:c>
      <x:c r="C388" s="2" t="str">
        <x:f>'Покупки'!C46</x:f>
        <x:v>Докупка</x:v>
      </x:c>
      <x:c r="D388" s="9" t="n">
        <x:v>46281.963587962964</x:v>
      </x:c>
      <x:c r="E388" s="12"/>
      <x:c r="F388" s="12" t="n">
        <x:f>'Покупки'!H46</x:f>
        <x:v>0.0008727138879557295</x:v>
      </x:c>
      <x:c r="G388" s="14" t="str">
        <x:f>IF(I388="Есть цена",IF(AND(ISNUMBER(E388),E388&gt;0,F388&gt;0),E388/F388-1,NA()),"")</x:f>
      </x:c>
      <x:c r="H388" s="14" t="str">
        <x:f>IF(AND(I388="Есть цена",I388="Есть цена"),IF(AND(E388&gt;0,E388&gt;0),E388/E388-1,NA()),"")</x:f>
      </x:c>
      <x:c r="I388" s="2" t="str">
        <x:v>RPC: данные не загружены</x:v>
      </x:c>
      <x:c r="J388" s="2"/>
      <x:c r="K388" s="9"/>
      <x:c r="L388" s="2"/>
      <x:c r="M388" s="2"/>
      <x:c r="N388" s="2"/>
      <x:c r="O388" s="2"/>
      <x:c r="P388" s="2" t="str">
        <x:v>not_cached:getSignaturesForAddress:history/11c88057900ff3746ee32e4a</x:v>
      </x:c>
      <x:c r="Q388" s="2" t="str"/>
      <x:c r="R388" s="14" t="str">
        <x:f>IF(AND(C388="Нулевой остаток",I388="Есть цена"),G388,"")</x:f>
      </x:c>
      <x:c r="S388" s="14" t="str">
        <x:f>IF(AND(C388="Докупка",I388="Есть цена"),G388,"")</x:f>
      </x:c>
    </x:row>
    <x:row r="389" ht="21" customHeight="1">
      <x:c r="A389" s="2" t="n">
        <x:v>39</x:v>
      </x:c>
      <x:c r="B389" s="2" t="n">
        <x:v>15</x:v>
      </x:c>
      <x:c r="C389" s="2" t="str">
        <x:f>'Покупки'!C46</x:f>
        <x:v>Докупка</x:v>
      </x:c>
      <x:c r="D389" s="9" t="n">
        <x:v>46281.9637037037</x:v>
      </x:c>
      <x:c r="E389" s="12"/>
      <x:c r="F389" s="12" t="n">
        <x:f>'Покупки'!H46</x:f>
        <x:v>0.0008727138879557295</x:v>
      </x:c>
      <x:c r="G389" s="14" t="str">
        <x:f>IF(I389="Есть цена",IF(AND(ISNUMBER(E389),E389&gt;0,F389&gt;0),E389/F389-1,NA()),"")</x:f>
      </x:c>
      <x:c r="H389" s="14" t="str">
        <x:f>IF(AND(I389="Есть цена",I388="Есть цена"),IF(AND(E389&gt;0,E388&gt;0),E389/E388-1,NA()),"")</x:f>
      </x:c>
      <x:c r="I389" s="2" t="str">
        <x:v>RPC: данные не загружены</x:v>
      </x:c>
      <x:c r="J389" s="2"/>
      <x:c r="K389" s="9"/>
      <x:c r="L389" s="2"/>
      <x:c r="M389" s="2"/>
      <x:c r="N389" s="2"/>
      <x:c r="O389" s="2"/>
      <x:c r="P389" s="2" t="str">
        <x:v>not_cached:getSignaturesForAddress:history/a755722705c686b7fc463d28</x:v>
      </x:c>
      <x:c r="Q389" s="2" t="str"/>
      <x:c r="R389" s="14" t="str">
        <x:f>IF(AND(C389="Нулевой остаток",I389="Есть цена"),G389,"")</x:f>
      </x:c>
      <x:c r="S389" s="14" t="str">
        <x:f>IF(AND(C389="Докупка",I389="Есть цена"),G389,"")</x:f>
      </x:c>
    </x:row>
    <x:row r="390" ht="21" customHeight="1">
      <x:c r="A390" s="2" t="n">
        <x:v>39</x:v>
      </x:c>
      <x:c r="B390" s="2" t="n">
        <x:v>30</x:v>
      </x:c>
      <x:c r="C390" s="2" t="str">
        <x:f>'Покупки'!C46</x:f>
        <x:v>Докупка</x:v>
      </x:c>
      <x:c r="D390" s="9" t="n">
        <x:v>46281.96387731482</x:v>
      </x:c>
      <x:c r="E390" s="12"/>
      <x:c r="F390" s="12" t="n">
        <x:f>'Покупки'!H46</x:f>
        <x:v>0.0008727138879557295</x:v>
      </x:c>
      <x:c r="G390" s="14" t="str">
        <x:f>IF(I390="Есть цена",IF(AND(ISNUMBER(E390),E390&gt;0,F390&gt;0),E390/F390-1,NA()),"")</x:f>
      </x:c>
      <x:c r="H390" s="14" t="str">
        <x:f>IF(AND(I390="Есть цена",I388="Есть цена"),IF(AND(E390&gt;0,E388&gt;0),E390/E388-1,NA()),"")</x:f>
      </x:c>
      <x:c r="I390" s="2" t="str">
        <x:v>RPC: данные не загружены</x:v>
      </x:c>
      <x:c r="J390" s="2"/>
      <x:c r="K390" s="9"/>
      <x:c r="L390" s="2"/>
      <x:c r="M390" s="2"/>
      <x:c r="N390" s="2"/>
      <x:c r="O390" s="2"/>
      <x:c r="P390" s="2" t="str">
        <x:v>not_cached:getSignaturesForAddress:history/a755722705c686b7fc463d28</x:v>
      </x:c>
      <x:c r="Q390" s="2" t="str"/>
      <x:c r="R390" s="14" t="str">
        <x:f>IF(AND(C390="Нулевой остаток",I390="Есть цена"),G390,"")</x:f>
      </x:c>
      <x:c r="S390" s="14" t="str">
        <x:f>IF(AND(C390="Докупка",I390="Есть цена"),G390,"")</x:f>
      </x:c>
    </x:row>
    <x:row r="391" ht="21" customHeight="1">
      <x:c r="A391" s="2" t="n">
        <x:v>39</x:v>
      </x:c>
      <x:c r="B391" s="2" t="n">
        <x:v>60</x:v>
      </x:c>
      <x:c r="C391" s="2" t="str">
        <x:f>'Покупки'!C46</x:f>
        <x:v>Докупка</x:v>
      </x:c>
      <x:c r="D391" s="9" t="n">
        <x:v>46281.964224537034</x:v>
      </x:c>
      <x:c r="E391" s="12"/>
      <x:c r="F391" s="12" t="n">
        <x:f>'Покупки'!H46</x:f>
        <x:v>0.0008727138879557295</x:v>
      </x:c>
      <x:c r="G391" s="14" t="str">
        <x:f>IF(I391="Есть цена",IF(AND(ISNUMBER(E391),E391&gt;0,F391&gt;0),E391/F391-1,NA()),"")</x:f>
      </x:c>
      <x:c r="H391" s="14" t="str">
        <x:f>IF(AND(I391="Есть цена",I388="Есть цена"),IF(AND(E391&gt;0,E388&gt;0),E391/E388-1,NA()),"")</x:f>
      </x:c>
      <x:c r="I391" s="2" t="str">
        <x:v>RPC: данные не загружены</x:v>
      </x:c>
      <x:c r="J391" s="2"/>
      <x:c r="K391" s="9"/>
      <x:c r="L391" s="2"/>
      <x:c r="M391" s="2"/>
      <x:c r="N391" s="2"/>
      <x:c r="O391" s="2"/>
      <x:c r="P391" s="2" t="str">
        <x:v>not_cached:getSignaturesForAddress:history/a755722705c686b7fc463d28</x:v>
      </x:c>
      <x:c r="Q391" s="2" t="str"/>
      <x:c r="R391" s="14" t="str">
        <x:f>IF(AND(C391="Нулевой остаток",I391="Есть цена"),G391,"")</x:f>
      </x:c>
      <x:c r="S391" s="14" t="str">
        <x:f>IF(AND(C391="Докупка",I391="Есть цена"),G391,"")</x:f>
      </x:c>
    </x:row>
    <x:row r="392" ht="21" customHeight="1">
      <x:c r="A392" s="2" t="n">
        <x:v>39</x:v>
      </x:c>
      <x:c r="B392" s="2" t="n">
        <x:v>180</x:v>
      </x:c>
      <x:c r="C392" s="2" t="str">
        <x:f>'Покупки'!C46</x:f>
        <x:v>Докупка</x:v>
      </x:c>
      <x:c r="D392" s="9" t="n">
        <x:v>46281.96561342593</x:v>
      </x:c>
      <x:c r="E392" s="12"/>
      <x:c r="F392" s="12" t="n">
        <x:f>'Покупки'!H46</x:f>
        <x:v>0.0008727138879557295</x:v>
      </x:c>
      <x:c r="G392" s="14" t="str">
        <x:f>IF(I392="Есть цена",IF(AND(ISNUMBER(E392),E392&gt;0,F392&gt;0),E392/F392-1,NA()),"")</x:f>
      </x:c>
      <x:c r="H392" s="14" t="str">
        <x:f>IF(AND(I392="Есть цена",I388="Есть цена"),IF(AND(E392&gt;0,E388&gt;0),E392/E388-1,NA()),"")</x:f>
      </x:c>
      <x:c r="I392" s="2" t="str">
        <x:v>RPC: данные не загружены</x:v>
      </x:c>
      <x:c r="J392" s="2"/>
      <x:c r="K392" s="9"/>
      <x:c r="L392" s="2"/>
      <x:c r="M392" s="2"/>
      <x:c r="N392" s="2"/>
      <x:c r="O392" s="2"/>
      <x:c r="P392" s="2" t="str">
        <x:v>not_cached:getSignaturesForAddress:history/173467589472d0d2d5a64483</x:v>
      </x:c>
      <x:c r="Q392" s="2" t="str"/>
      <x:c r="R392" s="14" t="str">
        <x:f>IF(AND(C392="Нулевой остаток",I392="Есть цена"),G392,"")</x:f>
      </x:c>
      <x:c r="S392" s="14" t="str">
        <x:f>IF(AND(C392="Докупка",I392="Есть цена"),G392,"")</x:f>
      </x:c>
    </x:row>
    <x:row r="393" ht="21" customHeight="1">
      <x:c r="A393" s="2" t="n">
        <x:v>39</x:v>
      </x:c>
      <x:c r="B393" s="2" t="n">
        <x:v>300</x:v>
      </x:c>
      <x:c r="C393" s="2" t="str">
        <x:f>'Покупки'!C46</x:f>
        <x:v>Докупка</x:v>
      </x:c>
      <x:c r="D393" s="9" t="n">
        <x:v>46281.967002314814</x:v>
      </x:c>
      <x:c r="E393" s="12"/>
      <x:c r="F393" s="12" t="n">
        <x:f>'Покупки'!H46</x:f>
        <x:v>0.0008727138879557295</x:v>
      </x:c>
      <x:c r="G393" s="14" t="str">
        <x:f>IF(I393="Есть цена",IF(AND(ISNUMBER(E393),E393&gt;0,F393&gt;0),E393/F393-1,NA()),"")</x:f>
      </x:c>
      <x:c r="H393" s="14" t="str">
        <x:f>IF(AND(I393="Есть цена",I388="Есть цена"),IF(AND(E393&gt;0,E388&gt;0),E393/E388-1,NA()),"")</x:f>
      </x:c>
      <x:c r="I393" s="2" t="str">
        <x:v>RPC: данные не загружены</x:v>
      </x:c>
      <x:c r="J393" s="2"/>
      <x:c r="K393" s="9"/>
      <x:c r="L393" s="2"/>
      <x:c r="M393" s="2"/>
      <x:c r="N393" s="2"/>
      <x:c r="O393" s="2"/>
      <x:c r="P393" s="2" t="str">
        <x:v>not_cached:getSignaturesForAddress:history/f6430aafc8c242d762bbc8a1</x:v>
      </x:c>
      <x:c r="Q393" s="2" t="str"/>
      <x:c r="R393" s="14" t="str">
        <x:f>IF(AND(C393="Нулевой остаток",I393="Есть цена"),G393,"")</x:f>
      </x:c>
      <x:c r="S393" s="14" t="str">
        <x:f>IF(AND(C393="Докупка",I393="Есть цена"),G393,"")</x:f>
      </x:c>
    </x:row>
    <x:row r="394" ht="21" customHeight="1">
      <x:c r="A394" s="2" t="n">
        <x:v>39</x:v>
      </x:c>
      <x:c r="B394" s="2" t="n">
        <x:v>900</x:v>
      </x:c>
      <x:c r="C394" s="2" t="str">
        <x:f>'Покупки'!C46</x:f>
        <x:v>Докупка</x:v>
      </x:c>
      <x:c r="D394" s="9" t="n">
        <x:v>46281.97394675926</x:v>
      </x:c>
      <x:c r="E394" s="12"/>
      <x:c r="F394" s="12" t="n">
        <x:f>'Покупки'!H46</x:f>
        <x:v>0.0008727138879557295</x:v>
      </x:c>
      <x:c r="G394" s="14" t="str">
        <x:f>IF(I394="Есть цена",IF(AND(ISNUMBER(E394),E394&gt;0,F394&gt;0),E394/F394-1,NA()),"")</x:f>
      </x:c>
      <x:c r="H394" s="14" t="str">
        <x:f>IF(AND(I394="Есть цена",I388="Есть цена"),IF(AND(E394&gt;0,E388&gt;0),E394/E388-1,NA()),"")</x:f>
      </x:c>
      <x:c r="I394" s="2" t="str">
        <x:v>RPC: данные не загружены</x:v>
      </x:c>
      <x:c r="J394" s="2"/>
      <x:c r="K394" s="9"/>
      <x:c r="L394" s="2"/>
      <x:c r="M394" s="2"/>
      <x:c r="N394" s="2"/>
      <x:c r="O394" s="2"/>
      <x:c r="P394" s="2" t="str">
        <x:v>not_cached:getSignaturesForAddress:history/1186a711ce3b09d83832a906</x:v>
      </x:c>
      <x:c r="Q394" s="2" t="str"/>
      <x:c r="R394" s="14" t="str">
        <x:f>IF(AND(C394="Нулевой остаток",I394="Есть цена"),G394,"")</x:f>
      </x:c>
      <x:c r="S394" s="14" t="str">
        <x:f>IF(AND(C394="Докупка",I394="Есть цена"),G394,"")</x:f>
      </x:c>
    </x:row>
    <x:row r="395" ht="21" customHeight="1">
      <x:c r="A395" s="2" t="n">
        <x:v>39</x:v>
      </x:c>
      <x:c r="B395" s="2" t="n">
        <x:v>3600</x:v>
      </x:c>
      <x:c r="C395" s="2" t="str">
        <x:f>'Покупки'!C46</x:f>
        <x:v>Докупка</x:v>
      </x:c>
      <x:c r="D395" s="9" t="n">
        <x:v>46282.00519675926</x:v>
      </x:c>
      <x:c r="E395" s="12"/>
      <x:c r="F395" s="12" t="n">
        <x:f>'Покупки'!H46</x:f>
        <x:v>0.0008727138879557295</x:v>
      </x:c>
      <x:c r="G395" s="14" t="str">
        <x:f>IF(I395="Есть цена",IF(AND(ISNUMBER(E395),E395&gt;0,F395&gt;0),E395/F395-1,NA()),"")</x:f>
      </x:c>
      <x:c r="H395" s="14" t="str">
        <x:f>IF(AND(I395="Есть цена",I388="Есть цена"),IF(AND(E395&gt;0,E388&gt;0),E395/E388-1,NA()),"")</x:f>
      </x:c>
      <x:c r="I395" s="2" t="str">
        <x:v>RPC: данные не загружены</x:v>
      </x:c>
      <x:c r="J395" s="2"/>
      <x:c r="K395" s="9"/>
      <x:c r="L395" s="2"/>
      <x:c r="M395" s="2"/>
      <x:c r="N395" s="2"/>
      <x:c r="O395" s="2"/>
      <x:c r="P395" s="2" t="str">
        <x:v>not_cached:getSignaturesForAddress:history/b123dfd2f230253e5afcfaf7</x:v>
      </x:c>
      <x:c r="Q395" s="2" t="str"/>
      <x:c r="R395" s="14" t="str">
        <x:f>IF(AND(C395="Нулевой остаток",I395="Есть цена"),G395,"")</x:f>
      </x:c>
      <x:c r="S395" s="14" t="str">
        <x:f>IF(AND(C395="Докупка",I395="Есть цена"),G395,"")</x:f>
      </x:c>
    </x:row>
    <x:row r="396" ht="21" customHeight="1">
      <x:c r="A396" s="2" t="n">
        <x:v>39</x:v>
      </x:c>
      <x:c r="B396" s="2" t="n">
        <x:v>21600</x:v>
      </x:c>
      <x:c r="C396" s="2" t="str">
        <x:f>'Покупки'!C46</x:f>
        <x:v>Докупка</x:v>
      </x:c>
      <x:c r="D396" s="9" t="n">
        <x:v>46282.213530092595</x:v>
      </x:c>
      <x:c r="E396" s="12"/>
      <x:c r="F396" s="12" t="n">
        <x:f>'Покупки'!H46</x:f>
        <x:v>0.0008727138879557295</x:v>
      </x:c>
      <x:c r="G396" s="14" t="str">
        <x:f>IF(I396="Есть цена",IF(AND(ISNUMBER(E396),E396&gt;0,F396&gt;0),E396/F396-1,NA()),"")</x:f>
      </x:c>
      <x:c r="H396" s="14" t="str">
        <x:f>IF(AND(I396="Есть цена",I388="Есть цена"),IF(AND(E396&gt;0,E388&gt;0),E396/E388-1,NA()),"")</x:f>
      </x:c>
      <x:c r="I396" s="2" t="str">
        <x:v>RPC: данные не загружены</x:v>
      </x:c>
      <x:c r="J396" s="2"/>
      <x:c r="K396" s="9"/>
      <x:c r="L396" s="2"/>
      <x:c r="M396" s="2"/>
      <x:c r="N396" s="2"/>
      <x:c r="O396" s="2"/>
      <x:c r="P396" s="2" t="str">
        <x:v>not_cached:getSignaturesForAddress:history/f7a1c288ecdfc495826eb4ba</x:v>
      </x:c>
      <x:c r="Q396" s="2" t="str"/>
      <x:c r="R396" s="14" t="str">
        <x:f>IF(AND(C396="Нулевой остаток",I396="Есть цена"),G396,"")</x:f>
      </x:c>
      <x:c r="S396" s="14" t="str">
        <x:f>IF(AND(C396="Докупка",I396="Есть цена"),G396,"")</x:f>
      </x:c>
    </x:row>
    <x:row r="397" ht="21" customHeight="1">
      <x:c r="A397" s="2" t="n">
        <x:v>39</x:v>
      </x:c>
      <x:c r="B397" s="2" t="n">
        <x:v>86400</x:v>
      </x:c>
      <x:c r="C397" s="2" t="str">
        <x:f>'Покупки'!C46</x:f>
        <x:v>Докупка</x:v>
      </x:c>
      <x:c r="D397" s="9" t="n">
        <x:v>46282.963530092595</x:v>
      </x:c>
      <x:c r="E397" s="12"/>
      <x:c r="F397" s="12" t="n">
        <x:f>'Покупки'!H46</x:f>
        <x:v>0.0008727138879557295</x:v>
      </x:c>
      <x:c r="G397" s="14" t="str">
        <x:f>IF(I397="Есть цена",IF(AND(ISNUMBER(E397),E397&gt;0,F397&gt;0),E397/F397-1,NA()),"")</x:f>
      </x:c>
      <x:c r="H397" s="14" t="str">
        <x:f>IF(AND(I397="Есть цена",I388="Есть цена"),IF(AND(E397&gt;0,E388&gt;0),E397/E388-1,NA()),"")</x:f>
      </x:c>
      <x:c r="I397" s="2" t="str">
        <x:v>Ещё рано</x:v>
      </x:c>
      <x:c r="J397" s="2"/>
      <x:c r="K397" s="9"/>
      <x:c r="L397" s="2"/>
      <x:c r="M397" s="2"/>
      <x:c r="N397" s="2"/>
      <x:c r="O397" s="2"/>
      <x:c r="P397" s="2" t="str">
        <x:v>future</x:v>
      </x:c>
      <x:c r="Q397" s="2" t="str"/>
      <x:c r="R397" s="14" t="str">
        <x:f>IF(AND(C397="Нулевой остаток",I397="Есть цена"),G397,"")</x:f>
      </x:c>
      <x:c r="S397" s="14" t="str">
        <x:f>IF(AND(C397="Докупка",I397="Есть цена"),G397,"")</x:f>
      </x:c>
    </x:row>
    <x:row r="398" ht="21" customHeight="1">
      <x:c r="A398" s="2" t="n">
        <x:v>40</x:v>
      </x:c>
      <x:c r="B398" s="2" t="n">
        <x:v>5</x:v>
      </x:c>
      <x:c r="C398" s="2" t="str">
        <x:f>'Покупки'!C47</x:f>
        <x:v>Докупка</x:v>
      </x:c>
      <x:c r="D398" s="9" t="n">
        <x:v>46281.96145833333</x:v>
      </x:c>
      <x:c r="E398" s="12"/>
      <x:c r="F398" s="12" t="n">
        <x:f>'Покупки'!H47</x:f>
        <x:v>0.0002569538407773095</x:v>
      </x:c>
      <x:c r="G398" s="14" t="str">
        <x:f>IF(I398="Есть цена",IF(AND(ISNUMBER(E398),E398&gt;0,F398&gt;0),E398/F398-1,NA()),"")</x:f>
      </x:c>
      <x:c r="H398" s="14" t="str">
        <x:f>IF(AND(I398="Есть цена",I398="Есть цена"),IF(AND(E398&gt;0,E398&gt;0),E398/E398-1,NA()),"")</x:f>
      </x:c>
      <x:c r="I398" s="2" t="str">
        <x:v>RPC: данные не загружены</x:v>
      </x:c>
      <x:c r="J398" s="2"/>
      <x:c r="K398" s="9"/>
      <x:c r="L398" s="2"/>
      <x:c r="M398" s="2"/>
      <x:c r="N398" s="2"/>
      <x:c r="O398" s="2"/>
      <x:c r="P398" s="2" t="str">
        <x:v>not_cached:getSignaturesForAddress:history/552283a150e51f0cb3b7361c</x:v>
      </x:c>
      <x:c r="Q398" s="2" t="str"/>
      <x:c r="R398" s="14" t="str">
        <x:f>IF(AND(C398="Нулевой остаток",I398="Есть цена"),G398,"")</x:f>
      </x:c>
      <x:c r="S398" s="14" t="str">
        <x:f>IF(AND(C398="Докупка",I398="Есть цена"),G398,"")</x:f>
      </x:c>
    </x:row>
    <x:row r="399" ht="21" customHeight="1">
      <x:c r="A399" s="2" t="n">
        <x:v>40</x:v>
      </x:c>
      <x:c r="B399" s="2" t="n">
        <x:v>15</x:v>
      </x:c>
      <x:c r="C399" s="2" t="str">
        <x:f>'Покупки'!C47</x:f>
        <x:v>Докупка</x:v>
      </x:c>
      <x:c r="D399" s="9" t="n">
        <x:v>46281.96157407408</x:v>
      </x:c>
      <x:c r="E399" s="12"/>
      <x:c r="F399" s="12" t="n">
        <x:f>'Покупки'!H47</x:f>
        <x:v>0.0002569538407773095</x:v>
      </x:c>
      <x:c r="G399" s="14" t="str">
        <x:f>IF(I399="Есть цена",IF(AND(ISNUMBER(E399),E399&gt;0,F399&gt;0),E399/F399-1,NA()),"")</x:f>
      </x:c>
      <x:c r="H399" s="14" t="str">
        <x:f>IF(AND(I399="Есть цена",I398="Есть цена"),IF(AND(E399&gt;0,E398&gt;0),E399/E398-1,NA()),"")</x:f>
      </x:c>
      <x:c r="I399" s="2" t="str">
        <x:v>RPC: данные не загружены</x:v>
      </x:c>
      <x:c r="J399" s="2"/>
      <x:c r="K399" s="9"/>
      <x:c r="L399" s="2"/>
      <x:c r="M399" s="2"/>
      <x:c r="N399" s="2"/>
      <x:c r="O399" s="2"/>
      <x:c r="P399" s="2" t="str">
        <x:v>not_cached:getSignaturesForAddress:history/552283a150e51f0cb3b7361c</x:v>
      </x:c>
      <x:c r="Q399" s="2" t="str"/>
      <x:c r="R399" s="14" t="str">
        <x:f>IF(AND(C399="Нулевой остаток",I399="Есть цена"),G399,"")</x:f>
      </x:c>
      <x:c r="S399" s="14" t="str">
        <x:f>IF(AND(C399="Докупка",I399="Есть цена"),G399,"")</x:f>
      </x:c>
    </x:row>
    <x:row r="400" ht="21" customHeight="1">
      <x:c r="A400" s="2" t="n">
        <x:v>40</x:v>
      </x:c>
      <x:c r="B400" s="2" t="n">
        <x:v>30</x:v>
      </x:c>
      <x:c r="C400" s="2" t="str">
        <x:f>'Покупки'!C47</x:f>
        <x:v>Докупка</x:v>
      </x:c>
      <x:c r="D400" s="9" t="n">
        <x:v>46281.961747685185</x:v>
      </x:c>
      <x:c r="E400" s="12"/>
      <x:c r="F400" s="12" t="n">
        <x:f>'Покупки'!H47</x:f>
        <x:v>0.0002569538407773095</x:v>
      </x:c>
      <x:c r="G400" s="14" t="str">
        <x:f>IF(I400="Есть цена",IF(AND(ISNUMBER(E400),E400&gt;0,F400&gt;0),E400/F400-1,NA()),"")</x:f>
      </x:c>
      <x:c r="H400" s="14" t="str">
        <x:f>IF(AND(I400="Есть цена",I398="Есть цена"),IF(AND(E400&gt;0,E398&gt;0),E400/E398-1,NA()),"")</x:f>
      </x:c>
      <x:c r="I400" s="2" t="str">
        <x:v>RPC: данные не загружены</x:v>
      </x:c>
      <x:c r="J400" s="2"/>
      <x:c r="K400" s="9"/>
      <x:c r="L400" s="2"/>
      <x:c r="M400" s="2"/>
      <x:c r="N400" s="2"/>
      <x:c r="O400" s="2"/>
      <x:c r="P400" s="2" t="str">
        <x:v>not_cached:getSignaturesForAddress:history/1b953867bd782c809e118a5e</x:v>
      </x:c>
      <x:c r="Q400" s="2" t="str"/>
      <x:c r="R400" s="14" t="str">
        <x:f>IF(AND(C400="Нулевой остаток",I400="Есть цена"),G400,"")</x:f>
      </x:c>
      <x:c r="S400" s="14" t="str">
        <x:f>IF(AND(C400="Докупка",I400="Есть цена"),G400,"")</x:f>
      </x:c>
    </x:row>
    <x:row r="401" ht="21" customHeight="1">
      <x:c r="A401" s="2" t="n">
        <x:v>40</x:v>
      </x:c>
      <x:c r="B401" s="2" t="n">
        <x:v>60</x:v>
      </x:c>
      <x:c r="C401" s="2" t="str">
        <x:f>'Покупки'!C47</x:f>
        <x:v>Докупка</x:v>
      </x:c>
      <x:c r="D401" s="9" t="n">
        <x:v>46281.96209490741</x:v>
      </x:c>
      <x:c r="E401" s="12"/>
      <x:c r="F401" s="12" t="n">
        <x:f>'Покупки'!H47</x:f>
        <x:v>0.0002569538407773095</x:v>
      </x:c>
      <x:c r="G401" s="14" t="str">
        <x:f>IF(I401="Есть цена",IF(AND(ISNUMBER(E401),E401&gt;0,F401&gt;0),E401/F401-1,NA()),"")</x:f>
      </x:c>
      <x:c r="H401" s="14" t="str">
        <x:f>IF(AND(I401="Есть цена",I398="Есть цена"),IF(AND(E401&gt;0,E398&gt;0),E401/E398-1,NA()),"")</x:f>
      </x:c>
      <x:c r="I401" s="2" t="str">
        <x:v>RPC: данные не загружены</x:v>
      </x:c>
      <x:c r="J401" s="2"/>
      <x:c r="K401" s="9"/>
      <x:c r="L401" s="2"/>
      <x:c r="M401" s="2"/>
      <x:c r="N401" s="2"/>
      <x:c r="O401" s="2"/>
      <x:c r="P401" s="2" t="str">
        <x:v>not_cached:getSignaturesForAddress:history/1b953867bd782c809e118a5e</x:v>
      </x:c>
      <x:c r="Q401" s="2" t="str"/>
      <x:c r="R401" s="14" t="str">
        <x:f>IF(AND(C401="Нулевой остаток",I401="Есть цена"),G401,"")</x:f>
      </x:c>
      <x:c r="S401" s="14" t="str">
        <x:f>IF(AND(C401="Докупка",I401="Есть цена"),G401,"")</x:f>
      </x:c>
    </x:row>
    <x:row r="402" ht="21" customHeight="1">
      <x:c r="A402" s="2" t="n">
        <x:v>40</x:v>
      </x:c>
      <x:c r="B402" s="2" t="n">
        <x:v>180</x:v>
      </x:c>
      <x:c r="C402" s="2" t="str">
        <x:f>'Покупки'!C47</x:f>
        <x:v>Докупка</x:v>
      </x:c>
      <x:c r="D402" s="9" t="n">
        <x:v>46281.963483796295</x:v>
      </x:c>
      <x:c r="E402" s="12"/>
      <x:c r="F402" s="12" t="n">
        <x:f>'Покупки'!H47</x:f>
        <x:v>0.0002569538407773095</x:v>
      </x:c>
      <x:c r="G402" s="14" t="str">
        <x:f>IF(I402="Есть цена",IF(AND(ISNUMBER(E402),E402&gt;0,F402&gt;0),E402/F402-1,NA()),"")</x:f>
      </x:c>
      <x:c r="H402" s="14" t="str">
        <x:f>IF(AND(I402="Есть цена",I398="Есть цена"),IF(AND(E402&gt;0,E398&gt;0),E402/E398-1,NA()),"")</x:f>
      </x:c>
      <x:c r="I402" s="2" t="str">
        <x:v>RPC: данные не загружены</x:v>
      </x:c>
      <x:c r="J402" s="2"/>
      <x:c r="K402" s="9"/>
      <x:c r="L402" s="2"/>
      <x:c r="M402" s="2"/>
      <x:c r="N402" s="2"/>
      <x:c r="O402" s="2"/>
      <x:c r="P402" s="2" t="str">
        <x:v>not_cached:getSignaturesForAddress:history/1b953867bd782c809e118a5e</x:v>
      </x:c>
      <x:c r="Q402" s="2" t="str"/>
      <x:c r="R402" s="14" t="str">
        <x:f>IF(AND(C402="Нулевой остаток",I402="Есть цена"),G402,"")</x:f>
      </x:c>
      <x:c r="S402" s="14" t="str">
        <x:f>IF(AND(C402="Докупка",I402="Есть цена"),G402,"")</x:f>
      </x:c>
    </x:row>
    <x:row r="403" ht="21" customHeight="1">
      <x:c r="A403" s="2" t="n">
        <x:v>40</x:v>
      </x:c>
      <x:c r="B403" s="2" t="n">
        <x:v>300</x:v>
      </x:c>
      <x:c r="C403" s="2" t="str">
        <x:f>'Покупки'!C47</x:f>
        <x:v>Докупка</x:v>
      </x:c>
      <x:c r="D403" s="9" t="n">
        <x:v>46281.96487268519</x:v>
      </x:c>
      <x:c r="E403" s="12"/>
      <x:c r="F403" s="12" t="n">
        <x:f>'Покупки'!H47</x:f>
        <x:v>0.0002569538407773095</x:v>
      </x:c>
      <x:c r="G403" s="14" t="str">
        <x:f>IF(I403="Есть цена",IF(AND(ISNUMBER(E403),E403&gt;0,F403&gt;0),E403/F403-1,NA()),"")</x:f>
      </x:c>
      <x:c r="H403" s="14" t="str">
        <x:f>IF(AND(I403="Есть цена",I398="Есть цена"),IF(AND(E403&gt;0,E398&gt;0),E403/E398-1,NA()),"")</x:f>
      </x:c>
      <x:c r="I403" s="2" t="str">
        <x:v>RPC: данные не загружены</x:v>
      </x:c>
      <x:c r="J403" s="2"/>
      <x:c r="K403" s="9"/>
      <x:c r="L403" s="2"/>
      <x:c r="M403" s="2"/>
      <x:c r="N403" s="2"/>
      <x:c r="O403" s="2"/>
      <x:c r="P403" s="2" t="str">
        <x:v>not_cached:getSignaturesForAddress:history/2554743c66cc54591469bcd2</x:v>
      </x:c>
      <x:c r="Q403" s="2" t="str"/>
      <x:c r="R403" s="14" t="str">
        <x:f>IF(AND(C403="Нулевой остаток",I403="Есть цена"),G403,"")</x:f>
      </x:c>
      <x:c r="S403" s="14" t="str">
        <x:f>IF(AND(C403="Докупка",I403="Есть цена"),G403,"")</x:f>
      </x:c>
    </x:row>
    <x:row r="404" ht="21" customHeight="1">
      <x:c r="A404" s="2" t="n">
        <x:v>40</x:v>
      </x:c>
      <x:c r="B404" s="2" t="n">
        <x:v>900</x:v>
      </x:c>
      <x:c r="C404" s="2" t="str">
        <x:f>'Покупки'!C47</x:f>
        <x:v>Докупка</x:v>
      </x:c>
      <x:c r="D404" s="9" t="n">
        <x:v>46281.971817129626</x:v>
      </x:c>
      <x:c r="E404" s="12"/>
      <x:c r="F404" s="12" t="n">
        <x:f>'Покупки'!H47</x:f>
        <x:v>0.0002569538407773095</x:v>
      </x:c>
      <x:c r="G404" s="14" t="str">
        <x:f>IF(I404="Есть цена",IF(AND(ISNUMBER(E404),E404&gt;0,F404&gt;0),E404/F404-1,NA()),"")</x:f>
      </x:c>
      <x:c r="H404" s="14" t="str">
        <x:f>IF(AND(I404="Есть цена",I398="Есть цена"),IF(AND(E404&gt;0,E398&gt;0),E404/E398-1,NA()),"")</x:f>
      </x:c>
      <x:c r="I404" s="2" t="str">
        <x:v>RPC: данные не загружены</x:v>
      </x:c>
      <x:c r="J404" s="2"/>
      <x:c r="K404" s="9"/>
      <x:c r="L404" s="2"/>
      <x:c r="M404" s="2"/>
      <x:c r="N404" s="2"/>
      <x:c r="O404" s="2"/>
      <x:c r="P404" s="2" t="str">
        <x:v>not_cached:getSignaturesForAddress:history/34a287880b8925635b7b72ce</x:v>
      </x:c>
      <x:c r="Q404" s="2" t="str"/>
      <x:c r="R404" s="14" t="str">
        <x:f>IF(AND(C404="Нулевой остаток",I404="Есть цена"),G404,"")</x:f>
      </x:c>
      <x:c r="S404" s="14" t="str">
        <x:f>IF(AND(C404="Докупка",I404="Есть цена"),G404,"")</x:f>
      </x:c>
    </x:row>
    <x:row r="405" ht="21" customHeight="1">
      <x:c r="A405" s="2" t="n">
        <x:v>40</x:v>
      </x:c>
      <x:c r="B405" s="2" t="n">
        <x:v>3600</x:v>
      </x:c>
      <x:c r="C405" s="2" t="str">
        <x:f>'Покупки'!C47</x:f>
        <x:v>Докупка</x:v>
      </x:c>
      <x:c r="D405" s="9" t="n">
        <x:v>46282.003067129626</x:v>
      </x:c>
      <x:c r="E405" s="12"/>
      <x:c r="F405" s="12" t="n">
        <x:f>'Покупки'!H47</x:f>
        <x:v>0.0002569538407773095</x:v>
      </x:c>
      <x:c r="G405" s="14" t="str">
        <x:f>IF(I405="Есть цена",IF(AND(ISNUMBER(E405),E405&gt;0,F405&gt;0),E405/F405-1,NA()),"")</x:f>
      </x:c>
      <x:c r="H405" s="14" t="str">
        <x:f>IF(AND(I405="Есть цена",I398="Есть цена"),IF(AND(E405&gt;0,E398&gt;0),E405/E398-1,NA()),"")</x:f>
      </x:c>
      <x:c r="I405" s="2" t="str">
        <x:v>RPC: данные не загружены</x:v>
      </x:c>
      <x:c r="J405" s="2"/>
      <x:c r="K405" s="9"/>
      <x:c r="L405" s="2"/>
      <x:c r="M405" s="2"/>
      <x:c r="N405" s="2"/>
      <x:c r="O405" s="2"/>
      <x:c r="P405" s="2" t="str">
        <x:v>not_cached:getSignaturesForAddress:history/820bfca1edeb1a9146649730</x:v>
      </x:c>
      <x:c r="Q405" s="2" t="str"/>
      <x:c r="R405" s="14" t="str">
        <x:f>IF(AND(C405="Нулевой остаток",I405="Есть цена"),G405,"")</x:f>
      </x:c>
      <x:c r="S405" s="14" t="str">
        <x:f>IF(AND(C405="Докупка",I405="Есть цена"),G405,"")</x:f>
      </x:c>
    </x:row>
    <x:row r="406" ht="21" customHeight="1">
      <x:c r="A406" s="2" t="n">
        <x:v>40</x:v>
      </x:c>
      <x:c r="B406" s="2" t="n">
        <x:v>21600</x:v>
      </x:c>
      <x:c r="C406" s="2" t="str">
        <x:f>'Покупки'!C47</x:f>
        <x:v>Докупка</x:v>
      </x:c>
      <x:c r="D406" s="9" t="n">
        <x:v>46282.21140046296</x:v>
      </x:c>
      <x:c r="E406" s="12"/>
      <x:c r="F406" s="12" t="n">
        <x:f>'Покупки'!H47</x:f>
        <x:v>0.0002569538407773095</x:v>
      </x:c>
      <x:c r="G406" s="14" t="str">
        <x:f>IF(I406="Есть цена",IF(AND(ISNUMBER(E406),E406&gt;0,F406&gt;0),E406/F406-1,NA()),"")</x:f>
      </x:c>
      <x:c r="H406" s="14" t="str">
        <x:f>IF(AND(I406="Есть цена",I398="Есть цена"),IF(AND(E406&gt;0,E398&gt;0),E406/E398-1,NA()),"")</x:f>
      </x:c>
      <x:c r="I406" s="2" t="str">
        <x:v>RPC: данные не загружены</x:v>
      </x:c>
      <x:c r="J406" s="2"/>
      <x:c r="K406" s="9"/>
      <x:c r="L406" s="2"/>
      <x:c r="M406" s="2"/>
      <x:c r="N406" s="2"/>
      <x:c r="O406" s="2"/>
      <x:c r="P406" s="2" t="str">
        <x:v>not_cached:getSignaturesForAddress:history/32f60255edd8d48aa145f8b8</x:v>
      </x:c>
      <x:c r="Q406" s="2" t="str"/>
      <x:c r="R406" s="14" t="str">
        <x:f>IF(AND(C406="Нулевой остаток",I406="Есть цена"),G406,"")</x:f>
      </x:c>
      <x:c r="S406" s="14" t="str">
        <x:f>IF(AND(C406="Докупка",I406="Есть цена"),G406,"")</x:f>
      </x:c>
    </x:row>
    <x:row r="407" ht="21" customHeight="1">
      <x:c r="A407" s="2" t="n">
        <x:v>40</x:v>
      </x:c>
      <x:c r="B407" s="2" t="n">
        <x:v>86400</x:v>
      </x:c>
      <x:c r="C407" s="2" t="str">
        <x:f>'Покупки'!C47</x:f>
        <x:v>Докупка</x:v>
      </x:c>
      <x:c r="D407" s="9" t="n">
        <x:v>46282.96140046296</x:v>
      </x:c>
      <x:c r="E407" s="12"/>
      <x:c r="F407" s="12" t="n">
        <x:f>'Покупки'!H47</x:f>
        <x:v>0.0002569538407773095</x:v>
      </x:c>
      <x:c r="G407" s="14" t="str">
        <x:f>IF(I407="Есть цена",IF(AND(ISNUMBER(E407),E407&gt;0,F407&gt;0),E407/F407-1,NA()),"")</x:f>
      </x:c>
      <x:c r="H407" s="14" t="str">
        <x:f>IF(AND(I407="Есть цена",I398="Есть цена"),IF(AND(E407&gt;0,E398&gt;0),E407/E398-1,NA()),"")</x:f>
      </x:c>
      <x:c r="I407" s="2" t="str">
        <x:v>Ещё рано</x:v>
      </x:c>
      <x:c r="J407" s="2"/>
      <x:c r="K407" s="9"/>
      <x:c r="L407" s="2"/>
      <x:c r="M407" s="2"/>
      <x:c r="N407" s="2"/>
      <x:c r="O407" s="2"/>
      <x:c r="P407" s="2" t="str">
        <x:v>future</x:v>
      </x:c>
      <x:c r="Q407" s="2" t="str"/>
      <x:c r="R407" s="14" t="str">
        <x:f>IF(AND(C407="Нулевой остаток",I407="Есть цена"),G407,"")</x:f>
      </x:c>
      <x:c r="S407" s="14" t="str">
        <x:f>IF(AND(C407="Докупка",I407="Есть цена"),G407,"")</x:f>
      </x:c>
    </x:row>
    <x:row r="408" ht="21" customHeight="1">
      <x:c r="A408" s="2" t="n">
        <x:v>41</x:v>
      </x:c>
      <x:c r="B408" s="2" t="n">
        <x:v>5</x:v>
      </x:c>
      <x:c r="C408" s="2" t="str">
        <x:f>'Покупки'!C48</x:f>
        <x:v>Докупка</x:v>
      </x:c>
      <x:c r="D408" s="9" t="n">
        <x:v>46281.960694444446</x:v>
      </x:c>
      <x:c r="E408" s="12"/>
      <x:c r="F408" s="12" t="n">
        <x:f>'Покупки'!H48</x:f>
        <x:v>0.1965465029729642</x:v>
      </x:c>
      <x:c r="G408" s="14" t="str">
        <x:f>IF(I408="Есть цена",IF(AND(ISNUMBER(E408),E408&gt;0,F408&gt;0),E408/F408-1,NA()),"")</x:f>
      </x:c>
      <x:c r="H408" s="14" t="str">
        <x:f>IF(AND(I408="Есть цена",I408="Есть цена"),IF(AND(E408&gt;0,E408&gt;0),E408/E408-1,NA()),"")</x:f>
      </x:c>
      <x:c r="I408" s="2" t="str">
        <x:v>RPC: данные не загружены</x:v>
      </x:c>
      <x:c r="J408" s="2"/>
      <x:c r="K408" s="9"/>
      <x:c r="L408" s="2"/>
      <x:c r="M408" s="2"/>
      <x:c r="N408" s="2"/>
      <x:c r="O408" s="2"/>
      <x:c r="P408" s="2" t="str">
        <x:v>not_cached:getSignaturesForAddress:history/629ff21b07debf118fbe1c36</x:v>
      </x:c>
      <x:c r="Q408" s="2" t="str"/>
      <x:c r="R408" s="14" t="str">
        <x:f>IF(AND(C408="Нулевой остаток",I408="Есть цена"),G408,"")</x:f>
      </x:c>
      <x:c r="S408" s="14" t="str">
        <x:f>IF(AND(C408="Докупка",I408="Есть цена"),G408,"")</x:f>
      </x:c>
    </x:row>
    <x:row r="409" ht="21" customHeight="1">
      <x:c r="A409" s="2" t="n">
        <x:v>41</x:v>
      </x:c>
      <x:c r="B409" s="2" t="n">
        <x:v>15</x:v>
      </x:c>
      <x:c r="C409" s="2" t="str">
        <x:f>'Покупки'!C48</x:f>
        <x:v>Докупка</x:v>
      </x:c>
      <x:c r="D409" s="9" t="n">
        <x:v>46281.960810185185</x:v>
      </x:c>
      <x:c r="E409" s="12"/>
      <x:c r="F409" s="12" t="n">
        <x:f>'Покупки'!H48</x:f>
        <x:v>0.1965465029729642</x:v>
      </x:c>
      <x:c r="G409" s="14" t="str">
        <x:f>IF(I409="Есть цена",IF(AND(ISNUMBER(E409),E409&gt;0,F409&gt;0),E409/F409-1,NA()),"")</x:f>
      </x:c>
      <x:c r="H409" s="14" t="str">
        <x:f>IF(AND(I409="Есть цена",I408="Есть цена"),IF(AND(E409&gt;0,E408&gt;0),E409/E408-1,NA()),"")</x:f>
      </x:c>
      <x:c r="I409" s="2" t="str">
        <x:v>RPC: данные не загружены</x:v>
      </x:c>
      <x:c r="J409" s="2"/>
      <x:c r="K409" s="9"/>
      <x:c r="L409" s="2"/>
      <x:c r="M409" s="2"/>
      <x:c r="N409" s="2"/>
      <x:c r="O409" s="2"/>
      <x:c r="P409" s="2" t="str">
        <x:v>not_cached:getSignaturesForAddress:history/629ff21b07debf118fbe1c36</x:v>
      </x:c>
      <x:c r="Q409" s="2" t="str"/>
      <x:c r="R409" s="14" t="str">
        <x:f>IF(AND(C409="Нулевой остаток",I409="Есть цена"),G409,"")</x:f>
      </x:c>
      <x:c r="S409" s="14" t="str">
        <x:f>IF(AND(C409="Докупка",I409="Есть цена"),G409,"")</x:f>
      </x:c>
    </x:row>
    <x:row r="410" ht="21" customHeight="1">
      <x:c r="A410" s="2" t="n">
        <x:v>41</x:v>
      </x:c>
      <x:c r="B410" s="2" t="n">
        <x:v>30</x:v>
      </x:c>
      <x:c r="C410" s="2" t="str">
        <x:f>'Покупки'!C48</x:f>
        <x:v>Докупка</x:v>
      </x:c>
      <x:c r="D410" s="9" t="n">
        <x:v>46281.9609837963</x:v>
      </x:c>
      <x:c r="E410" s="12"/>
      <x:c r="F410" s="12" t="n">
        <x:f>'Покупки'!H48</x:f>
        <x:v>0.1965465029729642</x:v>
      </x:c>
      <x:c r="G410" s="14" t="str">
        <x:f>IF(I410="Есть цена",IF(AND(ISNUMBER(E410),E410&gt;0,F410&gt;0),E410/F410-1,NA()),"")</x:f>
      </x:c>
      <x:c r="H410" s="14" t="str">
        <x:f>IF(AND(I410="Есть цена",I408="Есть цена"),IF(AND(E410&gt;0,E408&gt;0),E410/E408-1,NA()),"")</x:f>
      </x:c>
      <x:c r="I410" s="2" t="str">
        <x:v>RPC: данные не загружены</x:v>
      </x:c>
      <x:c r="J410" s="2"/>
      <x:c r="K410" s="9"/>
      <x:c r="L410" s="2"/>
      <x:c r="M410" s="2"/>
      <x:c r="N410" s="2"/>
      <x:c r="O410" s="2"/>
      <x:c r="P410" s="2" t="str">
        <x:v>not_cached:getSignaturesForAddress:history/629ff21b07debf118fbe1c36</x:v>
      </x:c>
      <x:c r="Q410" s="2" t="str"/>
      <x:c r="R410" s="14" t="str">
        <x:f>IF(AND(C410="Нулевой остаток",I410="Есть цена"),G410,"")</x:f>
      </x:c>
      <x:c r="S410" s="14" t="str">
        <x:f>IF(AND(C410="Докупка",I410="Есть цена"),G410,"")</x:f>
      </x:c>
    </x:row>
    <x:row r="411" ht="21" customHeight="1">
      <x:c r="A411" s="2" t="n">
        <x:v>41</x:v>
      </x:c>
      <x:c r="B411" s="2" t="n">
        <x:v>60</x:v>
      </x:c>
      <x:c r="C411" s="2" t="str">
        <x:f>'Покупки'!C48</x:f>
        <x:v>Докупка</x:v>
      </x:c>
      <x:c r="D411" s="9" t="n">
        <x:v>46281.961331018516</x:v>
      </x:c>
      <x:c r="E411" s="12"/>
      <x:c r="F411" s="12" t="n">
        <x:f>'Покупки'!H48</x:f>
        <x:v>0.1965465029729642</x:v>
      </x:c>
      <x:c r="G411" s="14" t="str">
        <x:f>IF(I411="Есть цена",IF(AND(ISNUMBER(E411),E411&gt;0,F411&gt;0),E411/F411-1,NA()),"")</x:f>
      </x:c>
      <x:c r="H411" s="14" t="str">
        <x:f>IF(AND(I411="Есть цена",I408="Есть цена"),IF(AND(E411&gt;0,E408&gt;0),E411/E408-1,NA()),"")</x:f>
      </x:c>
      <x:c r="I411" s="2" t="str">
        <x:v>RPC: данные не загружены</x:v>
      </x:c>
      <x:c r="J411" s="2"/>
      <x:c r="K411" s="9"/>
      <x:c r="L411" s="2"/>
      <x:c r="M411" s="2"/>
      <x:c r="N411" s="2"/>
      <x:c r="O411" s="2"/>
      <x:c r="P411" s="2" t="str">
        <x:v>not_cached:getSignaturesForAddress:history/629ff21b07debf118fbe1c36</x:v>
      </x:c>
      <x:c r="Q411" s="2" t="str"/>
      <x:c r="R411" s="14" t="str">
        <x:f>IF(AND(C411="Нулевой остаток",I411="Есть цена"),G411,"")</x:f>
      </x:c>
      <x:c r="S411" s="14" t="str">
        <x:f>IF(AND(C411="Докупка",I411="Есть цена"),G411,"")</x:f>
      </x:c>
    </x:row>
    <x:row r="412" ht="21" customHeight="1">
      <x:c r="A412" s="2" t="n">
        <x:v>41</x:v>
      </x:c>
      <x:c r="B412" s="2" t="n">
        <x:v>180</x:v>
      </x:c>
      <x:c r="C412" s="2" t="str">
        <x:f>'Покупки'!C48</x:f>
        <x:v>Докупка</x:v>
      </x:c>
      <x:c r="D412" s="9" t="n">
        <x:v>46281.96271990741</x:v>
      </x:c>
      <x:c r="E412" s="12"/>
      <x:c r="F412" s="12" t="n">
        <x:f>'Покупки'!H48</x:f>
        <x:v>0.1965465029729642</x:v>
      </x:c>
      <x:c r="G412" s="14" t="str">
        <x:f>IF(I412="Есть цена",IF(AND(ISNUMBER(E412),E412&gt;0,F412&gt;0),E412/F412-1,NA()),"")</x:f>
      </x:c>
      <x:c r="H412" s="14" t="str">
        <x:f>IF(AND(I412="Есть цена",I408="Есть цена"),IF(AND(E412&gt;0,E408&gt;0),E412/E408-1,NA()),"")</x:f>
      </x:c>
      <x:c r="I412" s="2" t="str">
        <x:v>RPC: данные не загружены</x:v>
      </x:c>
      <x:c r="J412" s="2"/>
      <x:c r="K412" s="9"/>
      <x:c r="L412" s="2"/>
      <x:c r="M412" s="2"/>
      <x:c r="N412" s="2"/>
      <x:c r="O412" s="2"/>
      <x:c r="P412" s="2" t="str">
        <x:v>not_cached:getSignaturesForAddress:history/1a42f85d2152fbddf6d35f99</x:v>
      </x:c>
      <x:c r="Q412" s="2" t="str"/>
      <x:c r="R412" s="14" t="str">
        <x:f>IF(AND(C412="Нулевой остаток",I412="Есть цена"),G412,"")</x:f>
      </x:c>
      <x:c r="S412" s="14" t="str">
        <x:f>IF(AND(C412="Докупка",I412="Есть цена"),G412,"")</x:f>
      </x:c>
    </x:row>
    <x:row r="413" ht="21" customHeight="1">
      <x:c r="A413" s="2" t="n">
        <x:v>41</x:v>
      </x:c>
      <x:c r="B413" s="2" t="n">
        <x:v>300</x:v>
      </x:c>
      <x:c r="C413" s="2" t="str">
        <x:f>'Покупки'!C48</x:f>
        <x:v>Докупка</x:v>
      </x:c>
      <x:c r="D413" s="9" t="n">
        <x:v>46281.964108796295</x:v>
      </x:c>
      <x:c r="E413" s="12"/>
      <x:c r="F413" s="12" t="n">
        <x:f>'Покупки'!H48</x:f>
        <x:v>0.1965465029729642</x:v>
      </x:c>
      <x:c r="G413" s="14" t="str">
        <x:f>IF(I413="Есть цена",IF(AND(ISNUMBER(E413),E413&gt;0,F413&gt;0),E413/F413-1,NA()),"")</x:f>
      </x:c>
      <x:c r="H413" s="14" t="str">
        <x:f>IF(AND(I413="Есть цена",I408="Есть цена"),IF(AND(E413&gt;0,E408&gt;0),E413/E408-1,NA()),"")</x:f>
      </x:c>
      <x:c r="I413" s="2" t="str">
        <x:v>RPC: данные не загружены</x:v>
      </x:c>
      <x:c r="J413" s="2"/>
      <x:c r="K413" s="9"/>
      <x:c r="L413" s="2"/>
      <x:c r="M413" s="2"/>
      <x:c r="N413" s="2"/>
      <x:c r="O413" s="2"/>
      <x:c r="P413" s="2" t="str">
        <x:v>not_cached:getSignaturesForAddress:history/10163d5fa43c9bfdd82ba69f</x:v>
      </x:c>
      <x:c r="Q413" s="2" t="str"/>
      <x:c r="R413" s="14" t="str">
        <x:f>IF(AND(C413="Нулевой остаток",I413="Есть цена"),G413,"")</x:f>
      </x:c>
      <x:c r="S413" s="14" t="str">
        <x:f>IF(AND(C413="Докупка",I413="Есть цена"),G413,"")</x:f>
      </x:c>
    </x:row>
    <x:row r="414" ht="21" customHeight="1">
      <x:c r="A414" s="2" t="n">
        <x:v>41</x:v>
      </x:c>
      <x:c r="B414" s="2" t="n">
        <x:v>900</x:v>
      </x:c>
      <x:c r="C414" s="2" t="str">
        <x:f>'Покупки'!C48</x:f>
        <x:v>Докупка</x:v>
      </x:c>
      <x:c r="D414" s="9" t="n">
        <x:v>46281.97105324074</x:v>
      </x:c>
      <x:c r="E414" s="12"/>
      <x:c r="F414" s="12" t="n">
        <x:f>'Покупки'!H48</x:f>
        <x:v>0.1965465029729642</x:v>
      </x:c>
      <x:c r="G414" s="14" t="str">
        <x:f>IF(I414="Есть цена",IF(AND(ISNUMBER(E414),E414&gt;0,F414&gt;0),E414/F414-1,NA()),"")</x:f>
      </x:c>
      <x:c r="H414" s="14" t="str">
        <x:f>IF(AND(I414="Есть цена",I408="Есть цена"),IF(AND(E414&gt;0,E408&gt;0),E414/E408-1,NA()),"")</x:f>
      </x:c>
      <x:c r="I414" s="2" t="str">
        <x:v>RPC: данные не загружены</x:v>
      </x:c>
      <x:c r="J414" s="2"/>
      <x:c r="K414" s="9"/>
      <x:c r="L414" s="2"/>
      <x:c r="M414" s="2"/>
      <x:c r="N414" s="2"/>
      <x:c r="O414" s="2"/>
      <x:c r="P414" s="2" t="str">
        <x:v>not_cached:getSignaturesForAddress:history/bf2953caffd806660046a766</x:v>
      </x:c>
      <x:c r="Q414" s="2" t="str"/>
      <x:c r="R414" s="14" t="str">
        <x:f>IF(AND(C414="Нулевой остаток",I414="Есть цена"),G414,"")</x:f>
      </x:c>
      <x:c r="S414" s="14" t="str">
        <x:f>IF(AND(C414="Докупка",I414="Есть цена"),G414,"")</x:f>
      </x:c>
    </x:row>
    <x:row r="415" ht="21" customHeight="1">
      <x:c r="A415" s="2" t="n">
        <x:v>41</x:v>
      </x:c>
      <x:c r="B415" s="2" t="n">
        <x:v>3600</x:v>
      </x:c>
      <x:c r="C415" s="2" t="str">
        <x:f>'Покупки'!C48</x:f>
        <x:v>Докупка</x:v>
      </x:c>
      <x:c r="D415" s="9" t="n">
        <x:v>46282.00230324074</x:v>
      </x:c>
      <x:c r="E415" s="12"/>
      <x:c r="F415" s="12" t="n">
        <x:f>'Покупки'!H48</x:f>
        <x:v>0.1965465029729642</x:v>
      </x:c>
      <x:c r="G415" s="14" t="str">
        <x:f>IF(I415="Есть цена",IF(AND(ISNUMBER(E415),E415&gt;0,F415&gt;0),E415/F415-1,NA()),"")</x:f>
      </x:c>
      <x:c r="H415" s="14" t="str">
        <x:f>IF(AND(I415="Есть цена",I408="Есть цена"),IF(AND(E415&gt;0,E408&gt;0),E415/E408-1,NA()),"")</x:f>
      </x:c>
      <x:c r="I415" s="2" t="str">
        <x:v>RPC: данные не загружены</x:v>
      </x:c>
      <x:c r="J415" s="2"/>
      <x:c r="K415" s="9"/>
      <x:c r="L415" s="2"/>
      <x:c r="M415" s="2"/>
      <x:c r="N415" s="2"/>
      <x:c r="O415" s="2"/>
      <x:c r="P415" s="2" t="str">
        <x:v>not_cached:getSignaturesForAddress:history/b2ce2246993c0af49e579f58</x:v>
      </x:c>
      <x:c r="Q415" s="2" t="str"/>
      <x:c r="R415" s="14" t="str">
        <x:f>IF(AND(C415="Нулевой остаток",I415="Есть цена"),G415,"")</x:f>
      </x:c>
      <x:c r="S415" s="14" t="str">
        <x:f>IF(AND(C415="Докупка",I415="Есть цена"),G415,"")</x:f>
      </x:c>
    </x:row>
    <x:row r="416" ht="21" customHeight="1">
      <x:c r="A416" s="2" t="n">
        <x:v>41</x:v>
      </x:c>
      <x:c r="B416" s="2" t="n">
        <x:v>21600</x:v>
      </x:c>
      <x:c r="C416" s="2" t="str">
        <x:f>'Покупки'!C48</x:f>
        <x:v>Докупка</x:v>
      </x:c>
      <x:c r="D416" s="9" t="n">
        <x:v>46282.21063657408</x:v>
      </x:c>
      <x:c r="E416" s="12"/>
      <x:c r="F416" s="12" t="n">
        <x:f>'Покупки'!H48</x:f>
        <x:v>0.1965465029729642</x:v>
      </x:c>
      <x:c r="G416" s="14" t="str">
        <x:f>IF(I416="Есть цена",IF(AND(ISNUMBER(E416),E416&gt;0,F416&gt;0),E416/F416-1,NA()),"")</x:f>
      </x:c>
      <x:c r="H416" s="14" t="str">
        <x:f>IF(AND(I416="Есть цена",I408="Есть цена"),IF(AND(E416&gt;0,E408&gt;0),E416/E408-1,NA()),"")</x:f>
      </x:c>
      <x:c r="I416" s="2" t="str">
        <x:v>RPC: данные не загружены</x:v>
      </x:c>
      <x:c r="J416" s="2"/>
      <x:c r="K416" s="9"/>
      <x:c r="L416" s="2"/>
      <x:c r="M416" s="2"/>
      <x:c r="N416" s="2"/>
      <x:c r="O416" s="2"/>
      <x:c r="P416" s="2" t="str">
        <x:v>not_cached:getSignaturesForAddress:history/c56778d7c1daad4d5335b8bc</x:v>
      </x:c>
      <x:c r="Q416" s="2" t="str"/>
      <x:c r="R416" s="14" t="str">
        <x:f>IF(AND(C416="Нулевой остаток",I416="Есть цена"),G416,"")</x:f>
      </x:c>
      <x:c r="S416" s="14" t="str">
        <x:f>IF(AND(C416="Докупка",I416="Есть цена"),G416,"")</x:f>
      </x:c>
    </x:row>
    <x:row r="417" ht="21" customHeight="1">
      <x:c r="A417" s="2" t="n">
        <x:v>41</x:v>
      </x:c>
      <x:c r="B417" s="2" t="n">
        <x:v>86400</x:v>
      </x:c>
      <x:c r="C417" s="2" t="str">
        <x:f>'Покупки'!C48</x:f>
        <x:v>Докупка</x:v>
      </x:c>
      <x:c r="D417" s="9" t="n">
        <x:v>46282.96063657408</x:v>
      </x:c>
      <x:c r="E417" s="12"/>
      <x:c r="F417" s="12" t="n">
        <x:f>'Покупки'!H48</x:f>
        <x:v>0.1965465029729642</x:v>
      </x:c>
      <x:c r="G417" s="14" t="str">
        <x:f>IF(I417="Есть цена",IF(AND(ISNUMBER(E417),E417&gt;0,F417&gt;0),E417/F417-1,NA()),"")</x:f>
      </x:c>
      <x:c r="H417" s="14" t="str">
        <x:f>IF(AND(I417="Есть цена",I408="Есть цена"),IF(AND(E417&gt;0,E408&gt;0),E417/E408-1,NA()),"")</x:f>
      </x:c>
      <x:c r="I417" s="2" t="str">
        <x:v>Ещё рано</x:v>
      </x:c>
      <x:c r="J417" s="2"/>
      <x:c r="K417" s="9"/>
      <x:c r="L417" s="2"/>
      <x:c r="M417" s="2"/>
      <x:c r="N417" s="2"/>
      <x:c r="O417" s="2"/>
      <x:c r="P417" s="2" t="str">
        <x:v>future</x:v>
      </x:c>
      <x:c r="Q417" s="2" t="str"/>
      <x:c r="R417" s="14" t="str">
        <x:f>IF(AND(C417="Нулевой остаток",I417="Есть цена"),G417,"")</x:f>
      </x:c>
      <x:c r="S417" s="14" t="str">
        <x:f>IF(AND(C417="Докупка",I417="Есть цена"),G417,"")</x:f>
      </x:c>
    </x:row>
    <x:row r="418" ht="21" customHeight="1">
      <x:c r="A418" s="2" t="n">
        <x:v>42</x:v>
      </x:c>
      <x:c r="B418" s="2" t="n">
        <x:v>5</x:v>
      </x:c>
      <x:c r="C418" s="2" t="str">
        <x:f>'Покупки'!C49</x:f>
        <x:v>Нулевой остаток</x:v>
      </x:c>
      <x:c r="D418" s="9" t="n">
        <x:v>46281.95920138889</x:v>
      </x:c>
      <x:c r="E418" s="12"/>
      <x:c r="F418" s="12" t="n">
        <x:f>'Покупки'!H49</x:f>
        <x:v>0.00027603610580723923</x:v>
      </x:c>
      <x:c r="G418" s="14" t="str">
        <x:f>IF(I418="Есть цена",IF(AND(ISNUMBER(E418),E418&gt;0,F418&gt;0),E418/F418-1,NA()),"")</x:f>
      </x:c>
      <x:c r="H418" s="14" t="str">
        <x:f>IF(AND(I418="Есть цена",I418="Есть цена"),IF(AND(E418&gt;0,E418&gt;0),E418/E418-1,NA()),"")</x:f>
      </x:c>
      <x:c r="I418" s="2" t="str">
        <x:v>RPC: данные не загружены</x:v>
      </x:c>
      <x:c r="J418" s="2"/>
      <x:c r="K418" s="9"/>
      <x:c r="L418" s="2"/>
      <x:c r="M418" s="2"/>
      <x:c r="N418" s="2"/>
      <x:c r="O418" s="2"/>
      <x:c r="P418" s="2" t="str">
        <x:v>not_cached:getSignaturesForAddress:history/5a12625d6963c637ae1659dc</x:v>
      </x:c>
      <x:c r="Q418" s="2" t="str"/>
      <x:c r="R418" s="14" t="str">
        <x:f>IF(AND(C418="Нулевой остаток",I418="Есть цена"),G418,"")</x:f>
      </x:c>
      <x:c r="S418" s="14" t="str">
        <x:f>IF(AND(C418="Докупка",I418="Есть цена"),G418,"")</x:f>
      </x:c>
    </x:row>
    <x:row r="419" ht="21" customHeight="1">
      <x:c r="A419" s="2" t="n">
        <x:v>42</x:v>
      </x:c>
      <x:c r="B419" s="2" t="n">
        <x:v>15</x:v>
      </x:c>
      <x:c r="C419" s="2" t="str">
        <x:f>'Покупки'!C49</x:f>
        <x:v>Нулевой остаток</x:v>
      </x:c>
      <x:c r="D419" s="9" t="n">
        <x:v>46281.95931712963</x:v>
      </x:c>
      <x:c r="E419" s="12"/>
      <x:c r="F419" s="12" t="n">
        <x:f>'Покупки'!H49</x:f>
        <x:v>0.00027603610580723923</x:v>
      </x:c>
      <x:c r="G419" s="14" t="str">
        <x:f>IF(I419="Есть цена",IF(AND(ISNUMBER(E419),E419&gt;0,F419&gt;0),E419/F419-1,NA()),"")</x:f>
      </x:c>
      <x:c r="H419" s="14" t="str">
        <x:f>IF(AND(I419="Есть цена",I418="Есть цена"),IF(AND(E419&gt;0,E418&gt;0),E419/E418-1,NA()),"")</x:f>
      </x:c>
      <x:c r="I419" s="2" t="str">
        <x:v>RPC: данные не загружены</x:v>
      </x:c>
      <x:c r="J419" s="2"/>
      <x:c r="K419" s="9"/>
      <x:c r="L419" s="2"/>
      <x:c r="M419" s="2"/>
      <x:c r="N419" s="2"/>
      <x:c r="O419" s="2"/>
      <x:c r="P419" s="2" t="str">
        <x:v>not_cached:getSignaturesForAddress:history/5a12625d6963c637ae1659dc</x:v>
      </x:c>
      <x:c r="Q419" s="2" t="str"/>
      <x:c r="R419" s="14" t="str">
        <x:f>IF(AND(C419="Нулевой остаток",I419="Есть цена"),G419,"")</x:f>
      </x:c>
      <x:c r="S419" s="14" t="str">
        <x:f>IF(AND(C419="Докупка",I419="Есть цена"),G419,"")</x:f>
      </x:c>
    </x:row>
    <x:row r="420" ht="21" customHeight="1">
      <x:c r="A420" s="2" t="n">
        <x:v>42</x:v>
      </x:c>
      <x:c r="B420" s="2" t="n">
        <x:v>30</x:v>
      </x:c>
      <x:c r="C420" s="2" t="str">
        <x:f>'Покупки'!C49</x:f>
        <x:v>Нулевой остаток</x:v>
      </x:c>
      <x:c r="D420" s="9" t="n">
        <x:v>46281.95949074074</x:v>
      </x:c>
      <x:c r="E420" s="12"/>
      <x:c r="F420" s="12" t="n">
        <x:f>'Покупки'!H49</x:f>
        <x:v>0.00027603610580723923</x:v>
      </x:c>
      <x:c r="G420" s="14" t="str">
        <x:f>IF(I420="Есть цена",IF(AND(ISNUMBER(E420),E420&gt;0,F420&gt;0),E420/F420-1,NA()),"")</x:f>
      </x:c>
      <x:c r="H420" s="14" t="str">
        <x:f>IF(AND(I420="Есть цена",I418="Есть цена"),IF(AND(E420&gt;0,E418&gt;0),E420/E418-1,NA()),"")</x:f>
      </x:c>
      <x:c r="I420" s="2" t="str">
        <x:v>RPC: данные не загружены</x:v>
      </x:c>
      <x:c r="J420" s="2"/>
      <x:c r="K420" s="9"/>
      <x:c r="L420" s="2"/>
      <x:c r="M420" s="2"/>
      <x:c r="N420" s="2"/>
      <x:c r="O420" s="2"/>
      <x:c r="P420" s="2" t="str">
        <x:v>not_cached:getSignaturesForAddress:history/5a12625d6963c637ae1659dc</x:v>
      </x:c>
      <x:c r="Q420" s="2" t="str"/>
      <x:c r="R420" s="14" t="str">
        <x:f>IF(AND(C420="Нулевой остаток",I420="Есть цена"),G420,"")</x:f>
      </x:c>
      <x:c r="S420" s="14" t="str">
        <x:f>IF(AND(C420="Докупка",I420="Есть цена"),G420,"")</x:f>
      </x:c>
    </x:row>
    <x:row r="421" ht="21" customHeight="1">
      <x:c r="A421" s="2" t="n">
        <x:v>42</x:v>
      </x:c>
      <x:c r="B421" s="2" t="n">
        <x:v>60</x:v>
      </x:c>
      <x:c r="C421" s="2" t="str">
        <x:f>'Покупки'!C49</x:f>
        <x:v>Нулевой остаток</x:v>
      </x:c>
      <x:c r="D421" s="9" t="n">
        <x:v>46281.95983796296</x:v>
      </x:c>
      <x:c r="E421" s="12"/>
      <x:c r="F421" s="12" t="n">
        <x:f>'Покупки'!H49</x:f>
        <x:v>0.00027603610580723923</x:v>
      </x:c>
      <x:c r="G421" s="14" t="str">
        <x:f>IF(I421="Есть цена",IF(AND(ISNUMBER(E421),E421&gt;0,F421&gt;0),E421/F421-1,NA()),"")</x:f>
      </x:c>
      <x:c r="H421" s="14" t="str">
        <x:f>IF(AND(I421="Есть цена",I418="Есть цена"),IF(AND(E421&gt;0,E418&gt;0),E421/E418-1,NA()),"")</x:f>
      </x:c>
      <x:c r="I421" s="2" t="str">
        <x:v>RPC: данные не загружены</x:v>
      </x:c>
      <x:c r="J421" s="2"/>
      <x:c r="K421" s="9"/>
      <x:c r="L421" s="2"/>
      <x:c r="M421" s="2"/>
      <x:c r="N421" s="2"/>
      <x:c r="O421" s="2"/>
      <x:c r="P421" s="2" t="str">
        <x:v>not_cached:getSignaturesForAddress:history/55fef927438c45fb4ab8382f</x:v>
      </x:c>
      <x:c r="Q421" s="2" t="str"/>
      <x:c r="R421" s="14" t="str">
        <x:f>IF(AND(C421="Нулевой остаток",I421="Есть цена"),G421,"")</x:f>
      </x:c>
      <x:c r="S421" s="14" t="str">
        <x:f>IF(AND(C421="Докупка",I421="Есть цена"),G421,"")</x:f>
      </x:c>
    </x:row>
    <x:row r="422" ht="21" customHeight="1">
      <x:c r="A422" s="2" t="n">
        <x:v>42</x:v>
      </x:c>
      <x:c r="B422" s="2" t="n">
        <x:v>180</x:v>
      </x:c>
      <x:c r="C422" s="2" t="str">
        <x:f>'Покупки'!C49</x:f>
        <x:v>Нулевой остаток</x:v>
      </x:c>
      <x:c r="D422" s="9" t="n">
        <x:v>46281.961226851854</x:v>
      </x:c>
      <x:c r="E422" s="12"/>
      <x:c r="F422" s="12" t="n">
        <x:f>'Покупки'!H49</x:f>
        <x:v>0.00027603610580723923</x:v>
      </x:c>
      <x:c r="G422" s="14" t="str">
        <x:f>IF(I422="Есть цена",IF(AND(ISNUMBER(E422),E422&gt;0,F422&gt;0),E422/F422-1,NA()),"")</x:f>
      </x:c>
      <x:c r="H422" s="14" t="str">
        <x:f>IF(AND(I422="Есть цена",I418="Есть цена"),IF(AND(E422&gt;0,E418&gt;0),E422/E418-1,NA()),"")</x:f>
      </x:c>
      <x:c r="I422" s="2" t="str">
        <x:v>RPC: данные не загружены</x:v>
      </x:c>
      <x:c r="J422" s="2"/>
      <x:c r="K422" s="9"/>
      <x:c r="L422" s="2"/>
      <x:c r="M422" s="2"/>
      <x:c r="N422" s="2"/>
      <x:c r="O422" s="2"/>
      <x:c r="P422" s="2" t="str">
        <x:v>not_cached:getSignaturesForAddress:history/2122e5cc945e742e9dd07dc4</x:v>
      </x:c>
      <x:c r="Q422" s="2" t="str"/>
      <x:c r="R422" s="14" t="str">
        <x:f>IF(AND(C422="Нулевой остаток",I422="Есть цена"),G422,"")</x:f>
      </x:c>
      <x:c r="S422" s="14" t="str">
        <x:f>IF(AND(C422="Докупка",I422="Есть цена"),G422,"")</x:f>
      </x:c>
    </x:row>
    <x:row r="423" ht="21" customHeight="1">
      <x:c r="A423" s="2" t="n">
        <x:v>42</x:v>
      </x:c>
      <x:c r="B423" s="2" t="n">
        <x:v>300</x:v>
      </x:c>
      <x:c r="C423" s="2" t="str">
        <x:f>'Покупки'!C49</x:f>
        <x:v>Нулевой остаток</x:v>
      </x:c>
      <x:c r="D423" s="9" t="n">
        <x:v>46281.96261574074</x:v>
      </x:c>
      <x:c r="E423" s="12"/>
      <x:c r="F423" s="12" t="n">
        <x:f>'Покупки'!H49</x:f>
        <x:v>0.00027603610580723923</x:v>
      </x:c>
      <x:c r="G423" s="14" t="str">
        <x:f>IF(I423="Есть цена",IF(AND(ISNUMBER(E423),E423&gt;0,F423&gt;0),E423/F423-1,NA()),"")</x:f>
      </x:c>
      <x:c r="H423" s="14" t="str">
        <x:f>IF(AND(I423="Есть цена",I418="Есть цена"),IF(AND(E423&gt;0,E418&gt;0),E423/E418-1,NA()),"")</x:f>
      </x:c>
      <x:c r="I423" s="2" t="str">
        <x:v>RPC: данные не загружены</x:v>
      </x:c>
      <x:c r="J423" s="2"/>
      <x:c r="K423" s="9"/>
      <x:c r="L423" s="2"/>
      <x:c r="M423" s="2"/>
      <x:c r="N423" s="2"/>
      <x:c r="O423" s="2"/>
      <x:c r="P423" s="2" t="str">
        <x:v>not_cached:getSignaturesForAddress:history/13a119c03cedb37ff38fa8eb</x:v>
      </x:c>
      <x:c r="Q423" s="2" t="str"/>
      <x:c r="R423" s="14" t="str">
        <x:f>IF(AND(C423="Нулевой остаток",I423="Есть цена"),G423,"")</x:f>
      </x:c>
      <x:c r="S423" s="14" t="str">
        <x:f>IF(AND(C423="Докупка",I423="Есть цена"),G423,"")</x:f>
      </x:c>
    </x:row>
    <x:row r="424" ht="21" customHeight="1">
      <x:c r="A424" s="2" t="n">
        <x:v>42</x:v>
      </x:c>
      <x:c r="B424" s="2" t="n">
        <x:v>900</x:v>
      </x:c>
      <x:c r="C424" s="2" t="str">
        <x:f>'Покупки'!C49</x:f>
        <x:v>Нулевой остаток</x:v>
      </x:c>
      <x:c r="D424" s="9" t="n">
        <x:v>46281.969560185185</x:v>
      </x:c>
      <x:c r="E424" s="12"/>
      <x:c r="F424" s="12" t="n">
        <x:f>'Покупки'!H49</x:f>
        <x:v>0.00027603610580723923</x:v>
      </x:c>
      <x:c r="G424" s="14" t="str">
        <x:f>IF(I424="Есть цена",IF(AND(ISNUMBER(E424),E424&gt;0,F424&gt;0),E424/F424-1,NA()),"")</x:f>
      </x:c>
      <x:c r="H424" s="14" t="str">
        <x:f>IF(AND(I424="Есть цена",I418="Есть цена"),IF(AND(E424&gt;0,E418&gt;0),E424/E418-1,NA()),"")</x:f>
      </x:c>
      <x:c r="I424" s="2" t="str">
        <x:v>RPC: данные не загружены</x:v>
      </x:c>
      <x:c r="J424" s="2"/>
      <x:c r="K424" s="9"/>
      <x:c r="L424" s="2"/>
      <x:c r="M424" s="2"/>
      <x:c r="N424" s="2"/>
      <x:c r="O424" s="2"/>
      <x:c r="P424" s="2" t="str">
        <x:v>not_cached:getSignaturesForAddress:history/b35664daab983c5b2d7ea953</x:v>
      </x:c>
      <x:c r="Q424" s="2" t="str"/>
      <x:c r="R424" s="14" t="str">
        <x:f>IF(AND(C424="Нулевой остаток",I424="Есть цена"),G424,"")</x:f>
      </x:c>
      <x:c r="S424" s="14" t="str">
        <x:f>IF(AND(C424="Докупка",I424="Есть цена"),G424,"")</x:f>
      </x:c>
    </x:row>
    <x:row r="425" ht="21" customHeight="1">
      <x:c r="A425" s="2" t="n">
        <x:v>42</x:v>
      </x:c>
      <x:c r="B425" s="2" t="n">
        <x:v>3600</x:v>
      </x:c>
      <x:c r="C425" s="2" t="str">
        <x:f>'Покупки'!C49</x:f>
        <x:v>Нулевой остаток</x:v>
      </x:c>
      <x:c r="D425" s="9" t="n">
        <x:v>46282.000810185185</x:v>
      </x:c>
      <x:c r="E425" s="12"/>
      <x:c r="F425" s="12" t="n">
        <x:f>'Покупки'!H49</x:f>
        <x:v>0.00027603610580723923</x:v>
      </x:c>
      <x:c r="G425" s="14" t="str">
        <x:f>IF(I425="Есть цена",IF(AND(ISNUMBER(E425),E425&gt;0,F425&gt;0),E425/F425-1,NA()),"")</x:f>
      </x:c>
      <x:c r="H425" s="14" t="str">
        <x:f>IF(AND(I425="Есть цена",I418="Есть цена"),IF(AND(E425&gt;0,E418&gt;0),E425/E418-1,NA()),"")</x:f>
      </x:c>
      <x:c r="I425" s="2" t="str">
        <x:v>RPC: данные не загружены</x:v>
      </x:c>
      <x:c r="J425" s="2"/>
      <x:c r="K425" s="9"/>
      <x:c r="L425" s="2"/>
      <x:c r="M425" s="2"/>
      <x:c r="N425" s="2"/>
      <x:c r="O425" s="2"/>
      <x:c r="P425" s="2" t="str">
        <x:v>not_cached:getSignaturesForAddress:history/dfdbe6f5e448017084cedc6f</x:v>
      </x:c>
      <x:c r="Q425" s="2" t="str"/>
      <x:c r="R425" s="14" t="str">
        <x:f>IF(AND(C425="Нулевой остаток",I425="Есть цена"),G425,"")</x:f>
      </x:c>
      <x:c r="S425" s="14" t="str">
        <x:f>IF(AND(C425="Докупка",I425="Есть цена"),G425,"")</x:f>
      </x:c>
    </x:row>
    <x:row r="426" ht="21" customHeight="1">
      <x:c r="A426" s="2" t="n">
        <x:v>42</x:v>
      </x:c>
      <x:c r="B426" s="2" t="n">
        <x:v>21600</x:v>
      </x:c>
      <x:c r="C426" s="2" t="str">
        <x:f>'Покупки'!C49</x:f>
        <x:v>Нулевой остаток</x:v>
      </x:c>
      <x:c r="D426" s="9" t="n">
        <x:v>46282.20914351852</x:v>
      </x:c>
      <x:c r="E426" s="12"/>
      <x:c r="F426" s="12" t="n">
        <x:f>'Покупки'!H49</x:f>
        <x:v>0.00027603610580723923</x:v>
      </x:c>
      <x:c r="G426" s="14" t="str">
        <x:f>IF(I426="Есть цена",IF(AND(ISNUMBER(E426),E426&gt;0,F426&gt;0),E426/F426-1,NA()),"")</x:f>
      </x:c>
      <x:c r="H426" s="14" t="str">
        <x:f>IF(AND(I426="Есть цена",I418="Есть цена"),IF(AND(E426&gt;0,E418&gt;0),E426/E418-1,NA()),"")</x:f>
      </x:c>
      <x:c r="I426" s="2" t="str">
        <x:v>RPC: данные не загружены</x:v>
      </x:c>
      <x:c r="J426" s="2"/>
      <x:c r="K426" s="9"/>
      <x:c r="L426" s="2"/>
      <x:c r="M426" s="2"/>
      <x:c r="N426" s="2"/>
      <x:c r="O426" s="2"/>
      <x:c r="P426" s="2" t="str">
        <x:v>not_cached:getSignaturesForAddress:history/96e46c8cf47548b8244b263f</x:v>
      </x:c>
      <x:c r="Q426" s="2" t="str"/>
      <x:c r="R426" s="14" t="str">
        <x:f>IF(AND(C426="Нулевой остаток",I426="Есть цена"),G426,"")</x:f>
      </x:c>
      <x:c r="S426" s="14" t="str">
        <x:f>IF(AND(C426="Докупка",I426="Есть цена"),G426,"")</x:f>
      </x:c>
    </x:row>
    <x:row r="427" ht="21" customHeight="1">
      <x:c r="A427" s="2" t="n">
        <x:v>42</x:v>
      </x:c>
      <x:c r="B427" s="2" t="n">
        <x:v>86400</x:v>
      </x:c>
      <x:c r="C427" s="2" t="str">
        <x:f>'Покупки'!C49</x:f>
        <x:v>Нулевой остаток</x:v>
      </x:c>
      <x:c r="D427" s="9" t="n">
        <x:v>46282.95914351852</x:v>
      </x:c>
      <x:c r="E427" s="12"/>
      <x:c r="F427" s="12" t="n">
        <x:f>'Покупки'!H49</x:f>
        <x:v>0.00027603610580723923</x:v>
      </x:c>
      <x:c r="G427" s="14" t="str">
        <x:f>IF(I427="Есть цена",IF(AND(ISNUMBER(E427),E427&gt;0,F427&gt;0),E427/F427-1,NA()),"")</x:f>
      </x:c>
      <x:c r="H427" s="14" t="str">
        <x:f>IF(AND(I427="Есть цена",I418="Есть цена"),IF(AND(E427&gt;0,E418&gt;0),E427/E418-1,NA()),"")</x:f>
      </x:c>
      <x:c r="I427" s="2" t="str">
        <x:v>Ещё рано</x:v>
      </x:c>
      <x:c r="J427" s="2"/>
      <x:c r="K427" s="9"/>
      <x:c r="L427" s="2"/>
      <x:c r="M427" s="2"/>
      <x:c r="N427" s="2"/>
      <x:c r="O427" s="2"/>
      <x:c r="P427" s="2" t="str">
        <x:v>future</x:v>
      </x:c>
      <x:c r="Q427" s="2" t="str"/>
      <x:c r="R427" s="14" t="str">
        <x:f>IF(AND(C427="Нулевой остаток",I427="Есть цена"),G427,"")</x:f>
      </x:c>
      <x:c r="S427" s="14" t="str">
        <x:f>IF(AND(C427="Докупка",I427="Есть цена"),G427,"")</x:f>
      </x:c>
    </x:row>
    <x:row r="428" ht="21" customHeight="1">
      <x:c r="A428" s="2" t="n">
        <x:v>43</x:v>
      </x:c>
      <x:c r="B428" s="2" t="n">
        <x:v>5</x:v>
      </x:c>
      <x:c r="C428" s="2" t="str">
        <x:f>'Покупки'!C50</x:f>
        <x:v>Докупка</x:v>
      </x:c>
      <x:c r="D428" s="9" t="n">
        <x:v>46281.74570601852</x:v>
      </x:c>
      <x:c r="E428" s="12"/>
      <x:c r="F428" s="12" t="n">
        <x:f>'Покупки'!H50</x:f>
        <x:v>0.01046298137269713</x:v>
      </x:c>
      <x:c r="G428" s="14" t="str">
        <x:f>IF(I428="Есть цена",IF(AND(ISNUMBER(E428),E428&gt;0,F428&gt;0),E428/F428-1,NA()),"")</x:f>
      </x:c>
      <x:c r="H428" s="14" t="str">
        <x:f>IF(AND(I428="Есть цена",I428="Есть цена"),IF(AND(E428&gt;0,E428&gt;0),E428/E428-1,NA()),"")</x:f>
      </x:c>
      <x:c r="I428" s="2" t="str">
        <x:v>RPC: данные не загружены</x:v>
      </x:c>
      <x:c r="J428" s="2"/>
      <x:c r="K428" s="9"/>
      <x:c r="L428" s="2"/>
      <x:c r="M428" s="2"/>
      <x:c r="N428" s="2"/>
      <x:c r="O428" s="2"/>
      <x:c r="P428" s="2" t="str">
        <x:v>not_cached:getSignaturesForAddress:history/673709781c37ee8a835eb4f5</x:v>
      </x:c>
      <x:c r="Q428" s="2" t="str"/>
      <x:c r="R428" s="14" t="str">
        <x:f>IF(AND(C428="Нулевой остаток",I428="Есть цена"),G428,"")</x:f>
      </x:c>
      <x:c r="S428" s="14" t="str">
        <x:f>IF(AND(C428="Докупка",I428="Есть цена"),G428,"")</x:f>
      </x:c>
    </x:row>
    <x:row r="429" ht="21" customHeight="1">
      <x:c r="A429" s="2" t="n">
        <x:v>43</x:v>
      </x:c>
      <x:c r="B429" s="2" t="n">
        <x:v>15</x:v>
      </x:c>
      <x:c r="C429" s="2" t="str">
        <x:f>'Покупки'!C50</x:f>
        <x:v>Докупка</x:v>
      </x:c>
      <x:c r="D429" s="9" t="n">
        <x:v>46281.74582175926</x:v>
      </x:c>
      <x:c r="E429" s="12"/>
      <x:c r="F429" s="12" t="n">
        <x:f>'Покупки'!H50</x:f>
        <x:v>0.01046298137269713</x:v>
      </x:c>
      <x:c r="G429" s="14" t="str">
        <x:f>IF(I429="Есть цена",IF(AND(ISNUMBER(E429),E429&gt;0,F429&gt;0),E429/F429-1,NA()),"")</x:f>
      </x:c>
      <x:c r="H429" s="14" t="str">
        <x:f>IF(AND(I429="Есть цена",I428="Есть цена"),IF(AND(E429&gt;0,E428&gt;0),E429/E428-1,NA()),"")</x:f>
      </x:c>
      <x:c r="I429" s="2" t="str">
        <x:v>RPC: данные не загружены</x:v>
      </x:c>
      <x:c r="J429" s="2"/>
      <x:c r="K429" s="9"/>
      <x:c r="L429" s="2"/>
      <x:c r="M429" s="2"/>
      <x:c r="N429" s="2"/>
      <x:c r="O429" s="2"/>
      <x:c r="P429" s="2" t="str">
        <x:v>not_cached:getSignaturesForAddress:history/673709781c37ee8a835eb4f5</x:v>
      </x:c>
      <x:c r="Q429" s="2" t="str"/>
      <x:c r="R429" s="14" t="str">
        <x:f>IF(AND(C429="Нулевой остаток",I429="Есть цена"),G429,"")</x:f>
      </x:c>
      <x:c r="S429" s="14" t="str">
        <x:f>IF(AND(C429="Докупка",I429="Есть цена"),G429,"")</x:f>
      </x:c>
    </x:row>
    <x:row r="430" ht="21" customHeight="1">
      <x:c r="A430" s="2" t="n">
        <x:v>43</x:v>
      </x:c>
      <x:c r="B430" s="2" t="n">
        <x:v>30</x:v>
      </x:c>
      <x:c r="C430" s="2" t="str">
        <x:f>'Покупки'!C50</x:f>
        <x:v>Докупка</x:v>
      </x:c>
      <x:c r="D430" s="9" t="n">
        <x:v>46281.74599537037</x:v>
      </x:c>
      <x:c r="E430" s="12"/>
      <x:c r="F430" s="12" t="n">
        <x:f>'Покупки'!H50</x:f>
        <x:v>0.01046298137269713</x:v>
      </x:c>
      <x:c r="G430" s="14" t="str">
        <x:f>IF(I430="Есть цена",IF(AND(ISNUMBER(E430),E430&gt;0,F430&gt;0),E430/F430-1,NA()),"")</x:f>
      </x:c>
      <x:c r="H430" s="14" t="str">
        <x:f>IF(AND(I430="Есть цена",I428="Есть цена"),IF(AND(E430&gt;0,E428&gt;0),E430/E428-1,NA()),"")</x:f>
      </x:c>
      <x:c r="I430" s="2" t="str">
        <x:v>RPC: данные не загружены</x:v>
      </x:c>
      <x:c r="J430" s="2"/>
      <x:c r="K430" s="9"/>
      <x:c r="L430" s="2"/>
      <x:c r="M430" s="2"/>
      <x:c r="N430" s="2"/>
      <x:c r="O430" s="2"/>
      <x:c r="P430" s="2" t="str">
        <x:v>not_cached:getSignaturesForAddress:history/673709781c37ee8a835eb4f5</x:v>
      </x:c>
      <x:c r="Q430" s="2" t="str"/>
      <x:c r="R430" s="14" t="str">
        <x:f>IF(AND(C430="Нулевой остаток",I430="Есть цена"),G430,"")</x:f>
      </x:c>
      <x:c r="S430" s="14" t="str">
        <x:f>IF(AND(C430="Докупка",I430="Есть цена"),G430,"")</x:f>
      </x:c>
    </x:row>
    <x:row r="431" ht="21" customHeight="1">
      <x:c r="A431" s="2" t="n">
        <x:v>43</x:v>
      </x:c>
      <x:c r="B431" s="2" t="n">
        <x:v>60</x:v>
      </x:c>
      <x:c r="C431" s="2" t="str">
        <x:f>'Покупки'!C50</x:f>
        <x:v>Докупка</x:v>
      </x:c>
      <x:c r="D431" s="9" t="n">
        <x:v>46281.746342592596</x:v>
      </x:c>
      <x:c r="E431" s="12"/>
      <x:c r="F431" s="12" t="n">
        <x:f>'Покупки'!H50</x:f>
        <x:v>0.01046298137269713</x:v>
      </x:c>
      <x:c r="G431" s="14" t="str">
        <x:f>IF(I431="Есть цена",IF(AND(ISNUMBER(E431),E431&gt;0,F431&gt;0),E431/F431-1,NA()),"")</x:f>
      </x:c>
      <x:c r="H431" s="14" t="str">
        <x:f>IF(AND(I431="Есть цена",I428="Есть цена"),IF(AND(E431&gt;0,E428&gt;0),E431/E428-1,NA()),"")</x:f>
      </x:c>
      <x:c r="I431" s="2" t="str">
        <x:v>RPC: данные не загружены</x:v>
      </x:c>
      <x:c r="J431" s="2"/>
      <x:c r="K431" s="9"/>
      <x:c r="L431" s="2"/>
      <x:c r="M431" s="2"/>
      <x:c r="N431" s="2"/>
      <x:c r="O431" s="2"/>
      <x:c r="P431" s="2" t="str">
        <x:v>not_cached:getSignaturesForAddress:history/673709781c37ee8a835eb4f5</x:v>
      </x:c>
      <x:c r="Q431" s="2" t="str"/>
      <x:c r="R431" s="14" t="str">
        <x:f>IF(AND(C431="Нулевой остаток",I431="Есть цена"),G431,"")</x:f>
      </x:c>
      <x:c r="S431" s="14" t="str">
        <x:f>IF(AND(C431="Докупка",I431="Есть цена"),G431,"")</x:f>
      </x:c>
    </x:row>
    <x:row r="432" ht="21" customHeight="1">
      <x:c r="A432" s="2" t="n">
        <x:v>43</x:v>
      </x:c>
      <x:c r="B432" s="2" t="n">
        <x:v>180</x:v>
      </x:c>
      <x:c r="C432" s="2" t="str">
        <x:f>'Покупки'!C50</x:f>
        <x:v>Докупка</x:v>
      </x:c>
      <x:c r="D432" s="9" t="n">
        <x:v>46281.74773148148</x:v>
      </x:c>
      <x:c r="E432" s="12"/>
      <x:c r="F432" s="12" t="n">
        <x:f>'Покупки'!H50</x:f>
        <x:v>0.01046298137269713</x:v>
      </x:c>
      <x:c r="G432" s="14" t="str">
        <x:f>IF(I432="Есть цена",IF(AND(ISNUMBER(E432),E432&gt;0,F432&gt;0),E432/F432-1,NA()),"")</x:f>
      </x:c>
      <x:c r="H432" s="14" t="str">
        <x:f>IF(AND(I432="Есть цена",I428="Есть цена"),IF(AND(E432&gt;0,E428&gt;0),E432/E428-1,NA()),"")</x:f>
      </x:c>
      <x:c r="I432" s="2" t="str">
        <x:v>RPC: данные не загружены</x:v>
      </x:c>
      <x:c r="J432" s="2"/>
      <x:c r="K432" s="9"/>
      <x:c r="L432" s="2"/>
      <x:c r="M432" s="2"/>
      <x:c r="N432" s="2"/>
      <x:c r="O432" s="2"/>
      <x:c r="P432" s="2" t="str">
        <x:v>not_cached:getSignaturesForAddress:history/673709781c37ee8a835eb4f5</x:v>
      </x:c>
      <x:c r="Q432" s="2" t="str"/>
      <x:c r="R432" s="14" t="str">
        <x:f>IF(AND(C432="Нулевой остаток",I432="Есть цена"),G432,"")</x:f>
      </x:c>
      <x:c r="S432" s="14" t="str">
        <x:f>IF(AND(C432="Докупка",I432="Есть цена"),G432,"")</x:f>
      </x:c>
    </x:row>
    <x:row r="433" ht="21" customHeight="1">
      <x:c r="A433" s="2" t="n">
        <x:v>43</x:v>
      </x:c>
      <x:c r="B433" s="2" t="n">
        <x:v>300</x:v>
      </x:c>
      <x:c r="C433" s="2" t="str">
        <x:f>'Покупки'!C50</x:f>
        <x:v>Докупка</x:v>
      </x:c>
      <x:c r="D433" s="9" t="n">
        <x:v>46281.74912037037</x:v>
      </x:c>
      <x:c r="E433" s="12"/>
      <x:c r="F433" s="12" t="n">
        <x:f>'Покупки'!H50</x:f>
        <x:v>0.01046298137269713</x:v>
      </x:c>
      <x:c r="G433" s="14" t="str">
        <x:f>IF(I433="Есть цена",IF(AND(ISNUMBER(E433),E433&gt;0,F433&gt;0),E433/F433-1,NA()),"")</x:f>
      </x:c>
      <x:c r="H433" s="14" t="str">
        <x:f>IF(AND(I433="Есть цена",I428="Есть цена"),IF(AND(E433&gt;0,E428&gt;0),E433/E428-1,NA()),"")</x:f>
      </x:c>
      <x:c r="I433" s="2" t="str">
        <x:v>RPC: данные не загружены</x:v>
      </x:c>
      <x:c r="J433" s="2"/>
      <x:c r="K433" s="9"/>
      <x:c r="L433" s="2"/>
      <x:c r="M433" s="2"/>
      <x:c r="N433" s="2"/>
      <x:c r="O433" s="2"/>
      <x:c r="P433" s="2" t="str">
        <x:v>not_cached:getSignaturesForAddress:history/673709781c37ee8a835eb4f5</x:v>
      </x:c>
      <x:c r="Q433" s="2" t="str"/>
      <x:c r="R433" s="14" t="str">
        <x:f>IF(AND(C433="Нулевой остаток",I433="Есть цена"),G433,"")</x:f>
      </x:c>
      <x:c r="S433" s="14" t="str">
        <x:f>IF(AND(C433="Докупка",I433="Есть цена"),G433,"")</x:f>
      </x:c>
    </x:row>
    <x:row r="434" ht="21" customHeight="1">
      <x:c r="A434" s="2" t="n">
        <x:v>43</x:v>
      </x:c>
      <x:c r="B434" s="2" t="n">
        <x:v>900</x:v>
      </x:c>
      <x:c r="C434" s="2" t="str">
        <x:f>'Покупки'!C50</x:f>
        <x:v>Докупка</x:v>
      </x:c>
      <x:c r="D434" s="9" t="n">
        <x:v>46281.756064814814</x:v>
      </x:c>
      <x:c r="E434" s="12"/>
      <x:c r="F434" s="12" t="n">
        <x:f>'Покупки'!H50</x:f>
        <x:v>0.01046298137269713</x:v>
      </x:c>
      <x:c r="G434" s="14" t="str">
        <x:f>IF(I434="Есть цена",IF(AND(ISNUMBER(E434),E434&gt;0,F434&gt;0),E434/F434-1,NA()),"")</x:f>
      </x:c>
      <x:c r="H434" s="14" t="str">
        <x:f>IF(AND(I434="Есть цена",I428="Есть цена"),IF(AND(E434&gt;0,E428&gt;0),E434/E428-1,NA()),"")</x:f>
      </x:c>
      <x:c r="I434" s="2" t="str">
        <x:v>RPC: данные не загружены</x:v>
      </x:c>
      <x:c r="J434" s="2"/>
      <x:c r="K434" s="9"/>
      <x:c r="L434" s="2"/>
      <x:c r="M434" s="2"/>
      <x:c r="N434" s="2"/>
      <x:c r="O434" s="2"/>
      <x:c r="P434" s="2" t="str">
        <x:v>not_cached:getSignaturesForAddress:history/673709781c37ee8a835eb4f5</x:v>
      </x:c>
      <x:c r="Q434" s="2" t="str"/>
      <x:c r="R434" s="14" t="str">
        <x:f>IF(AND(C434="Нулевой остаток",I434="Есть цена"),G434,"")</x:f>
      </x:c>
      <x:c r="S434" s="14" t="str">
        <x:f>IF(AND(C434="Докупка",I434="Есть цена"),G434,"")</x:f>
      </x:c>
    </x:row>
    <x:row r="435" ht="21" customHeight="1">
      <x:c r="A435" s="2" t="n">
        <x:v>43</x:v>
      </x:c>
      <x:c r="B435" s="2" t="n">
        <x:v>3600</x:v>
      </x:c>
      <x:c r="C435" s="2" t="str">
        <x:f>'Покупки'!C50</x:f>
        <x:v>Докупка</x:v>
      </x:c>
      <x:c r="D435" s="9" t="n">
        <x:v>46281.787314814814</x:v>
      </x:c>
      <x:c r="E435" s="12"/>
      <x:c r="F435" s="12" t="n">
        <x:f>'Покупки'!H50</x:f>
        <x:v>0.01046298137269713</x:v>
      </x:c>
      <x:c r="G435" s="14" t="str">
        <x:f>IF(I435="Есть цена",IF(AND(ISNUMBER(E435),E435&gt;0,F435&gt;0),E435/F435-1,NA()),"")</x:f>
      </x:c>
      <x:c r="H435" s="14" t="str">
        <x:f>IF(AND(I435="Есть цена",I428="Есть цена"),IF(AND(E435&gt;0,E428&gt;0),E435/E428-1,NA()),"")</x:f>
      </x:c>
      <x:c r="I435" s="2" t="str">
        <x:v>RPC: данные не загружены</x:v>
      </x:c>
      <x:c r="J435" s="2"/>
      <x:c r="K435" s="9"/>
      <x:c r="L435" s="2"/>
      <x:c r="M435" s="2"/>
      <x:c r="N435" s="2"/>
      <x:c r="O435" s="2"/>
      <x:c r="P435" s="2" t="str">
        <x:v>not_cached:getSignaturesForAddress:history/c98b59531741da97bfbeade4</x:v>
      </x:c>
      <x:c r="Q435" s="2" t="str"/>
      <x:c r="R435" s="14" t="str">
        <x:f>IF(AND(C435="Нулевой остаток",I435="Есть цена"),G435,"")</x:f>
      </x:c>
      <x:c r="S435" s="14" t="str">
        <x:f>IF(AND(C435="Докупка",I435="Есть цена"),G435,"")</x:f>
      </x:c>
    </x:row>
    <x:row r="436" ht="21" customHeight="1">
      <x:c r="A436" s="2" t="n">
        <x:v>43</x:v>
      </x:c>
      <x:c r="B436" s="2" t="n">
        <x:v>21600</x:v>
      </x:c>
      <x:c r="C436" s="2" t="str">
        <x:f>'Покупки'!C50</x:f>
        <x:v>Докупка</x:v>
      </x:c>
      <x:c r="D436" s="9" t="n">
        <x:v>46281.99564814815</x:v>
      </x:c>
      <x:c r="E436" s="12"/>
      <x:c r="F436" s="12" t="n">
        <x:f>'Покупки'!H50</x:f>
        <x:v>0.01046298137269713</x:v>
      </x:c>
      <x:c r="G436" s="14" t="str">
        <x:f>IF(I436="Есть цена",IF(AND(ISNUMBER(E436),E436&gt;0,F436&gt;0),E436/F436-1,NA()),"")</x:f>
      </x:c>
      <x:c r="H436" s="14" t="str">
        <x:f>IF(AND(I436="Есть цена",I428="Есть цена"),IF(AND(E436&gt;0,E428&gt;0),E436/E428-1,NA()),"")</x:f>
      </x:c>
      <x:c r="I436" s="2" t="str">
        <x:v>RPC: данные не загружены</x:v>
      </x:c>
      <x:c r="J436" s="2"/>
      <x:c r="K436" s="9"/>
      <x:c r="L436" s="2"/>
      <x:c r="M436" s="2"/>
      <x:c r="N436" s="2"/>
      <x:c r="O436" s="2"/>
      <x:c r="P436" s="2" t="str">
        <x:v>not_cached:getSignaturesForAddress:history/3a1ab595ee46593e752d34a1</x:v>
      </x:c>
      <x:c r="Q436" s="2" t="str"/>
      <x:c r="R436" s="14" t="str">
        <x:f>IF(AND(C436="Нулевой остаток",I436="Есть цена"),G436,"")</x:f>
      </x:c>
      <x:c r="S436" s="14" t="str">
        <x:f>IF(AND(C436="Докупка",I436="Есть цена"),G436,"")</x:f>
      </x:c>
    </x:row>
    <x:row r="437" ht="21" customHeight="1">
      <x:c r="A437" s="2" t="n">
        <x:v>43</x:v>
      </x:c>
      <x:c r="B437" s="2" t="n">
        <x:v>86400</x:v>
      </x:c>
      <x:c r="C437" s="2" t="str">
        <x:f>'Покупки'!C50</x:f>
        <x:v>Докупка</x:v>
      </x:c>
      <x:c r="D437" s="9" t="n">
        <x:v>46282.74564814815</x:v>
      </x:c>
      <x:c r="E437" s="12"/>
      <x:c r="F437" s="12" t="n">
        <x:f>'Покупки'!H50</x:f>
        <x:v>0.01046298137269713</x:v>
      </x:c>
      <x:c r="G437" s="14" t="str">
        <x:f>IF(I437="Есть цена",IF(AND(ISNUMBER(E437),E437&gt;0,F437&gt;0),E437/F437-1,NA()),"")</x:f>
      </x:c>
      <x:c r="H437" s="14" t="str">
        <x:f>IF(AND(I437="Есть цена",I428="Есть цена"),IF(AND(E437&gt;0,E428&gt;0),E437/E428-1,NA()),"")</x:f>
      </x:c>
      <x:c r="I437" s="2" t="str">
        <x:v>RPC: данные не загружены</x:v>
      </x:c>
      <x:c r="J437" s="2"/>
      <x:c r="K437" s="9"/>
      <x:c r="L437" s="2"/>
      <x:c r="M437" s="2"/>
      <x:c r="N437" s="2"/>
      <x:c r="O437" s="2"/>
      <x:c r="P437" s="2" t="str">
        <x:v>not_cached:getSignaturesForAddress:history/fba11c37fa2534325c7c513a</x:v>
      </x:c>
      <x:c r="Q437" s="2" t="str"/>
      <x:c r="R437" s="14" t="str">
        <x:f>IF(AND(C437="Нулевой остаток",I437="Есть цена"),G437,"")</x:f>
      </x:c>
      <x:c r="S437" s="14" t="str">
        <x:f>IF(AND(C437="Докупка",I437="Есть цена"),G437,"")</x:f>
      </x:c>
    </x:row>
    <x:row r="438" ht="21" customHeight="1">
      <x:c r="A438" s="2" t="n">
        <x:v>44</x:v>
      </x:c>
      <x:c r="B438" s="2" t="n">
        <x:v>5</x:v>
      </x:c>
      <x:c r="C438" s="2" t="str">
        <x:f>'Покупки'!C51</x:f>
        <x:v>Докупка</x:v>
      </x:c>
      <x:c r="D438" s="9" t="n">
        <x:v>46281.74505787037</x:v>
      </x:c>
      <x:c r="E438" s="12"/>
      <x:c r="F438" s="12" t="n">
        <x:f>'Покупки'!H51</x:f>
        <x:v>0.01040919579531454</x:v>
      </x:c>
      <x:c r="G438" s="14" t="str">
        <x:f>IF(I438="Есть цена",IF(AND(ISNUMBER(E438),E438&gt;0,F438&gt;0),E438/F438-1,NA()),"")</x:f>
      </x:c>
      <x:c r="H438" s="14" t="str">
        <x:f>IF(AND(I438="Есть цена",I438="Есть цена"),IF(AND(E438&gt;0,E438&gt;0),E438/E438-1,NA()),"")</x:f>
      </x:c>
      <x:c r="I438" s="2" t="str">
        <x:v>RPC: данные не загружены</x:v>
      </x:c>
      <x:c r="J438" s="2"/>
      <x:c r="K438" s="9"/>
      <x:c r="L438" s="2"/>
      <x:c r="M438" s="2"/>
      <x:c r="N438" s="2"/>
      <x:c r="O438" s="2"/>
      <x:c r="P438" s="2" t="str">
        <x:v>not_cached:getSignaturesForAddress:history/a047a5e6db300f1e96391b04</x:v>
      </x:c>
      <x:c r="Q438" s="2" t="str"/>
      <x:c r="R438" s="14" t="str">
        <x:f>IF(AND(C438="Нулевой остаток",I438="Есть цена"),G438,"")</x:f>
      </x:c>
      <x:c r="S438" s="14" t="str">
        <x:f>IF(AND(C438="Докупка",I438="Есть цена"),G438,"")</x:f>
      </x:c>
    </x:row>
    <x:row r="439" ht="21" customHeight="1">
      <x:c r="A439" s="2" t="n">
        <x:v>44</x:v>
      </x:c>
      <x:c r="B439" s="2" t="n">
        <x:v>15</x:v>
      </x:c>
      <x:c r="C439" s="2" t="str">
        <x:f>'Покупки'!C51</x:f>
        <x:v>Докупка</x:v>
      </x:c>
      <x:c r="D439" s="9" t="n">
        <x:v>46281.74517361111</x:v>
      </x:c>
      <x:c r="E439" s="12"/>
      <x:c r="F439" s="12" t="n">
        <x:f>'Покупки'!H51</x:f>
        <x:v>0.01040919579531454</x:v>
      </x:c>
      <x:c r="G439" s="14" t="str">
        <x:f>IF(I439="Есть цена",IF(AND(ISNUMBER(E439),E439&gt;0,F439&gt;0),E439/F439-1,NA()),"")</x:f>
      </x:c>
      <x:c r="H439" s="14" t="str">
        <x:f>IF(AND(I439="Есть цена",I438="Есть цена"),IF(AND(E439&gt;0,E438&gt;0),E439/E438-1,NA()),"")</x:f>
      </x:c>
      <x:c r="I439" s="2" t="str">
        <x:v>RPC: данные не загружены</x:v>
      </x:c>
      <x:c r="J439" s="2"/>
      <x:c r="K439" s="9"/>
      <x:c r="L439" s="2"/>
      <x:c r="M439" s="2"/>
      <x:c r="N439" s="2"/>
      <x:c r="O439" s="2"/>
      <x:c r="P439" s="2" t="str">
        <x:v>not_cached:getSignaturesForAddress:history/a047a5e6db300f1e96391b04</x:v>
      </x:c>
      <x:c r="Q439" s="2" t="str"/>
      <x:c r="R439" s="14" t="str">
        <x:f>IF(AND(C439="Нулевой остаток",I439="Есть цена"),G439,"")</x:f>
      </x:c>
      <x:c r="S439" s="14" t="str">
        <x:f>IF(AND(C439="Докупка",I439="Есть цена"),G439,"")</x:f>
      </x:c>
    </x:row>
    <x:row r="440" ht="21" customHeight="1">
      <x:c r="A440" s="2" t="n">
        <x:v>44</x:v>
      </x:c>
      <x:c r="B440" s="2" t="n">
        <x:v>30</x:v>
      </x:c>
      <x:c r="C440" s="2" t="str">
        <x:f>'Покупки'!C51</x:f>
        <x:v>Докупка</x:v>
      </x:c>
      <x:c r="D440" s="9" t="n">
        <x:v>46281.74534722222</x:v>
      </x:c>
      <x:c r="E440" s="12"/>
      <x:c r="F440" s="12" t="n">
        <x:f>'Покупки'!H51</x:f>
        <x:v>0.01040919579531454</x:v>
      </x:c>
      <x:c r="G440" s="14" t="str">
        <x:f>IF(I440="Есть цена",IF(AND(ISNUMBER(E440),E440&gt;0,F440&gt;0),E440/F440-1,NA()),"")</x:f>
      </x:c>
      <x:c r="H440" s="14" t="str">
        <x:f>IF(AND(I440="Есть цена",I438="Есть цена"),IF(AND(E440&gt;0,E438&gt;0),E440/E438-1,NA()),"")</x:f>
      </x:c>
      <x:c r="I440" s="2" t="str">
        <x:v>RPC: данные не загружены</x:v>
      </x:c>
      <x:c r="J440" s="2"/>
      <x:c r="K440" s="9"/>
      <x:c r="L440" s="2"/>
      <x:c r="M440" s="2"/>
      <x:c r="N440" s="2"/>
      <x:c r="O440" s="2"/>
      <x:c r="P440" s="2" t="str">
        <x:v>not_cached:getSignaturesForAddress:history/a047a5e6db300f1e96391b04</x:v>
      </x:c>
      <x:c r="Q440" s="2" t="str"/>
      <x:c r="R440" s="14" t="str">
        <x:f>IF(AND(C440="Нулевой остаток",I440="Есть цена"),G440,"")</x:f>
      </x:c>
      <x:c r="S440" s="14" t="str">
        <x:f>IF(AND(C440="Докупка",I440="Есть цена"),G440,"")</x:f>
      </x:c>
    </x:row>
    <x:row r="441" ht="21" customHeight="1">
      <x:c r="A441" s="2" t="n">
        <x:v>44</x:v>
      </x:c>
      <x:c r="B441" s="2" t="n">
        <x:v>60</x:v>
      </x:c>
      <x:c r="C441" s="2" t="str">
        <x:f>'Покупки'!C51</x:f>
        <x:v>Докупка</x:v>
      </x:c>
      <x:c r="D441" s="9" t="n">
        <x:v>46281.74569444444</x:v>
      </x:c>
      <x:c r="E441" s="12"/>
      <x:c r="F441" s="12" t="n">
        <x:f>'Покупки'!H51</x:f>
        <x:v>0.01040919579531454</x:v>
      </x:c>
      <x:c r="G441" s="14" t="str">
        <x:f>IF(I441="Есть цена",IF(AND(ISNUMBER(E441),E441&gt;0,F441&gt;0),E441/F441-1,NA()),"")</x:f>
      </x:c>
      <x:c r="H441" s="14" t="str">
        <x:f>IF(AND(I441="Есть цена",I438="Есть цена"),IF(AND(E441&gt;0,E438&gt;0),E441/E438-1,NA()),"")</x:f>
      </x:c>
      <x:c r="I441" s="2" t="str">
        <x:v>RPC: данные не загружены</x:v>
      </x:c>
      <x:c r="J441" s="2"/>
      <x:c r="K441" s="9"/>
      <x:c r="L441" s="2"/>
      <x:c r="M441" s="2"/>
      <x:c r="N441" s="2"/>
      <x:c r="O441" s="2"/>
      <x:c r="P441" s="2" t="str">
        <x:v>not_cached:getSignaturesForAddress:history/673709781c37ee8a835eb4f5</x:v>
      </x:c>
      <x:c r="Q441" s="2" t="str"/>
      <x:c r="R441" s="14" t="str">
        <x:f>IF(AND(C441="Нулевой остаток",I441="Есть цена"),G441,"")</x:f>
      </x:c>
      <x:c r="S441" s="14" t="str">
        <x:f>IF(AND(C441="Докупка",I441="Есть цена"),G441,"")</x:f>
      </x:c>
    </x:row>
    <x:row r="442" ht="21" customHeight="1">
      <x:c r="A442" s="2" t="n">
        <x:v>44</x:v>
      </x:c>
      <x:c r="B442" s="2" t="n">
        <x:v>180</x:v>
      </x:c>
      <x:c r="C442" s="2" t="str">
        <x:f>'Покупки'!C51</x:f>
        <x:v>Докупка</x:v>
      </x:c>
      <x:c r="D442" s="9" t="n">
        <x:v>46281.747083333335</x:v>
      </x:c>
      <x:c r="E442" s="12"/>
      <x:c r="F442" s="12" t="n">
        <x:f>'Покупки'!H51</x:f>
        <x:v>0.01040919579531454</x:v>
      </x:c>
      <x:c r="G442" s="14" t="str">
        <x:f>IF(I442="Есть цена",IF(AND(ISNUMBER(E442),E442&gt;0,F442&gt;0),E442/F442-1,NA()),"")</x:f>
      </x:c>
      <x:c r="H442" s="14" t="str">
        <x:f>IF(AND(I442="Есть цена",I438="Есть цена"),IF(AND(E442&gt;0,E438&gt;0),E442/E438-1,NA()),"")</x:f>
      </x:c>
      <x:c r="I442" s="2" t="str">
        <x:v>RPC: данные не загружены</x:v>
      </x:c>
      <x:c r="J442" s="2"/>
      <x:c r="K442" s="9"/>
      <x:c r="L442" s="2"/>
      <x:c r="M442" s="2"/>
      <x:c r="N442" s="2"/>
      <x:c r="O442" s="2"/>
      <x:c r="P442" s="2" t="str">
        <x:v>not_cached:getSignaturesForAddress:history/673709781c37ee8a835eb4f5</x:v>
      </x:c>
      <x:c r="Q442" s="2" t="str"/>
      <x:c r="R442" s="14" t="str">
        <x:f>IF(AND(C442="Нулевой остаток",I442="Есть цена"),G442,"")</x:f>
      </x:c>
      <x:c r="S442" s="14" t="str">
        <x:f>IF(AND(C442="Докупка",I442="Есть цена"),G442,"")</x:f>
      </x:c>
    </x:row>
    <x:row r="443" ht="21" customHeight="1">
      <x:c r="A443" s="2" t="n">
        <x:v>44</x:v>
      </x:c>
      <x:c r="B443" s="2" t="n">
        <x:v>300</x:v>
      </x:c>
      <x:c r="C443" s="2" t="str">
        <x:f>'Покупки'!C51</x:f>
        <x:v>Докупка</x:v>
      </x:c>
      <x:c r="D443" s="9" t="n">
        <x:v>46281.74847222222</x:v>
      </x:c>
      <x:c r="E443" s="12"/>
      <x:c r="F443" s="12" t="n">
        <x:f>'Покупки'!H51</x:f>
        <x:v>0.01040919579531454</x:v>
      </x:c>
      <x:c r="G443" s="14" t="str">
        <x:f>IF(I443="Есть цена",IF(AND(ISNUMBER(E443),E443&gt;0,F443&gt;0),E443/F443-1,NA()),"")</x:f>
      </x:c>
      <x:c r="H443" s="14" t="str">
        <x:f>IF(AND(I443="Есть цена",I438="Есть цена"),IF(AND(E443&gt;0,E438&gt;0),E443/E438-1,NA()),"")</x:f>
      </x:c>
      <x:c r="I443" s="2" t="str">
        <x:v>RPC: данные не загружены</x:v>
      </x:c>
      <x:c r="J443" s="2"/>
      <x:c r="K443" s="9"/>
      <x:c r="L443" s="2"/>
      <x:c r="M443" s="2"/>
      <x:c r="N443" s="2"/>
      <x:c r="O443" s="2"/>
      <x:c r="P443" s="2" t="str">
        <x:v>not_cached:getSignaturesForAddress:history/673709781c37ee8a835eb4f5</x:v>
      </x:c>
      <x:c r="Q443" s="2" t="str"/>
      <x:c r="R443" s="14" t="str">
        <x:f>IF(AND(C443="Нулевой остаток",I443="Есть цена"),G443,"")</x:f>
      </x:c>
      <x:c r="S443" s="14" t="str">
        <x:f>IF(AND(C443="Докупка",I443="Есть цена"),G443,"")</x:f>
      </x:c>
    </x:row>
    <x:row r="444" ht="21" customHeight="1">
      <x:c r="A444" s="2" t="n">
        <x:v>44</x:v>
      </x:c>
      <x:c r="B444" s="2" t="n">
        <x:v>900</x:v>
      </x:c>
      <x:c r="C444" s="2" t="str">
        <x:f>'Покупки'!C51</x:f>
        <x:v>Докупка</x:v>
      </x:c>
      <x:c r="D444" s="9" t="n">
        <x:v>46281.75541666667</x:v>
      </x:c>
      <x:c r="E444" s="12"/>
      <x:c r="F444" s="12" t="n">
        <x:f>'Покупки'!H51</x:f>
        <x:v>0.01040919579531454</x:v>
      </x:c>
      <x:c r="G444" s="14" t="str">
        <x:f>IF(I444="Есть цена",IF(AND(ISNUMBER(E444),E444&gt;0,F444&gt;0),E444/F444-1,NA()),"")</x:f>
      </x:c>
      <x:c r="H444" s="14" t="str">
        <x:f>IF(AND(I444="Есть цена",I438="Есть цена"),IF(AND(E444&gt;0,E438&gt;0),E444/E438-1,NA()),"")</x:f>
      </x:c>
      <x:c r="I444" s="2" t="str">
        <x:v>RPC: данные не загружены</x:v>
      </x:c>
      <x:c r="J444" s="2"/>
      <x:c r="K444" s="9"/>
      <x:c r="L444" s="2"/>
      <x:c r="M444" s="2"/>
      <x:c r="N444" s="2"/>
      <x:c r="O444" s="2"/>
      <x:c r="P444" s="2" t="str">
        <x:v>not_cached:getSignaturesForAddress:history/673709781c37ee8a835eb4f5</x:v>
      </x:c>
      <x:c r="Q444" s="2" t="str"/>
      <x:c r="R444" s="14" t="str">
        <x:f>IF(AND(C444="Нулевой остаток",I444="Есть цена"),G444,"")</x:f>
      </x:c>
      <x:c r="S444" s="14" t="str">
        <x:f>IF(AND(C444="Докупка",I444="Есть цена"),G444,"")</x:f>
      </x:c>
    </x:row>
    <x:row r="445" ht="21" customHeight="1">
      <x:c r="A445" s="2" t="n">
        <x:v>44</x:v>
      </x:c>
      <x:c r="B445" s="2" t="n">
        <x:v>3600</x:v>
      </x:c>
      <x:c r="C445" s="2" t="str">
        <x:f>'Покупки'!C51</x:f>
        <x:v>Докупка</x:v>
      </x:c>
      <x:c r="D445" s="9" t="n">
        <x:v>46281.78666666667</x:v>
      </x:c>
      <x:c r="E445" s="12"/>
      <x:c r="F445" s="12" t="n">
        <x:f>'Покупки'!H51</x:f>
        <x:v>0.01040919579531454</x:v>
      </x:c>
      <x:c r="G445" s="14" t="str">
        <x:f>IF(I445="Есть цена",IF(AND(ISNUMBER(E445),E445&gt;0,F445&gt;0),E445/F445-1,NA()),"")</x:f>
      </x:c>
      <x:c r="H445" s="14" t="str">
        <x:f>IF(AND(I445="Есть цена",I438="Есть цена"),IF(AND(E445&gt;0,E438&gt;0),E445/E438-1,NA()),"")</x:f>
      </x:c>
      <x:c r="I445" s="2" t="str">
        <x:v>RPC: данные не загружены</x:v>
      </x:c>
      <x:c r="J445" s="2"/>
      <x:c r="K445" s="9"/>
      <x:c r="L445" s="2"/>
      <x:c r="M445" s="2"/>
      <x:c r="N445" s="2"/>
      <x:c r="O445" s="2"/>
      <x:c r="P445" s="2" t="str">
        <x:v>not_cached:getSignaturesForAddress:history/c98b59531741da97bfbeade4</x:v>
      </x:c>
      <x:c r="Q445" s="2" t="str"/>
      <x:c r="R445" s="14" t="str">
        <x:f>IF(AND(C445="Нулевой остаток",I445="Есть цена"),G445,"")</x:f>
      </x:c>
      <x:c r="S445" s="14" t="str">
        <x:f>IF(AND(C445="Докупка",I445="Есть цена"),G445,"")</x:f>
      </x:c>
    </x:row>
    <x:row r="446" ht="21" customHeight="1">
      <x:c r="A446" s="2" t="n">
        <x:v>44</x:v>
      </x:c>
      <x:c r="B446" s="2" t="n">
        <x:v>21600</x:v>
      </x:c>
      <x:c r="C446" s="2" t="str">
        <x:f>'Покупки'!C51</x:f>
        <x:v>Докупка</x:v>
      </x:c>
      <x:c r="D446" s="9" t="n">
        <x:v>46281.995</x:v>
      </x:c>
      <x:c r="E446" s="12"/>
      <x:c r="F446" s="12" t="n">
        <x:f>'Покупки'!H51</x:f>
        <x:v>0.01040919579531454</x:v>
      </x:c>
      <x:c r="G446" s="14" t="str">
        <x:f>IF(I446="Есть цена",IF(AND(ISNUMBER(E446),E446&gt;0,F446&gt;0),E446/F446-1,NA()),"")</x:f>
      </x:c>
      <x:c r="H446" s="14" t="str">
        <x:f>IF(AND(I446="Есть цена",I438="Есть цена"),IF(AND(E446&gt;0,E438&gt;0),E446/E438-1,NA()),"")</x:f>
      </x:c>
      <x:c r="I446" s="2" t="str">
        <x:v>RPC: данные не загружены</x:v>
      </x:c>
      <x:c r="J446" s="2"/>
      <x:c r="K446" s="9"/>
      <x:c r="L446" s="2"/>
      <x:c r="M446" s="2"/>
      <x:c r="N446" s="2"/>
      <x:c r="O446" s="2"/>
      <x:c r="P446" s="2" t="str">
        <x:v>not_cached:getSignaturesForAddress:history/3a1ab595ee46593e752d34a1</x:v>
      </x:c>
      <x:c r="Q446" s="2" t="str"/>
      <x:c r="R446" s="14" t="str">
        <x:f>IF(AND(C446="Нулевой остаток",I446="Есть цена"),G446,"")</x:f>
      </x:c>
      <x:c r="S446" s="14" t="str">
        <x:f>IF(AND(C446="Докупка",I446="Есть цена"),G446,"")</x:f>
      </x:c>
    </x:row>
    <x:row r="447" ht="21" customHeight="1">
      <x:c r="A447" s="2" t="n">
        <x:v>44</x:v>
      </x:c>
      <x:c r="B447" s="2" t="n">
        <x:v>86400</x:v>
      </x:c>
      <x:c r="C447" s="2" t="str">
        <x:f>'Покупки'!C51</x:f>
        <x:v>Докупка</x:v>
      </x:c>
      <x:c r="D447" s="9" t="n">
        <x:v>46282.745</x:v>
      </x:c>
      <x:c r="E447" s="12"/>
      <x:c r="F447" s="12" t="n">
        <x:f>'Покупки'!H51</x:f>
        <x:v>0.01040919579531454</x:v>
      </x:c>
      <x:c r="G447" s="14" t="str">
        <x:f>IF(I447="Есть цена",IF(AND(ISNUMBER(E447),E447&gt;0,F447&gt;0),E447/F447-1,NA()),"")</x:f>
      </x:c>
      <x:c r="H447" s="14" t="str">
        <x:f>IF(AND(I447="Есть цена",I438="Есть цена"),IF(AND(E447&gt;0,E438&gt;0),E447/E438-1,NA()),"")</x:f>
      </x:c>
      <x:c r="I447" s="2" t="str">
        <x:v>RPC: данные не загружены</x:v>
      </x:c>
      <x:c r="J447" s="2"/>
      <x:c r="K447" s="9"/>
      <x:c r="L447" s="2"/>
      <x:c r="M447" s="2"/>
      <x:c r="N447" s="2"/>
      <x:c r="O447" s="2"/>
      <x:c r="P447" s="2" t="str">
        <x:v>not_cached:getSignaturesForAddress:history/fba11c37fa2534325c7c513a</x:v>
      </x:c>
      <x:c r="Q447" s="2" t="str"/>
      <x:c r="R447" s="14" t="str">
        <x:f>IF(AND(C447="Нулевой остаток",I447="Есть цена"),G447,"")</x:f>
      </x:c>
      <x:c r="S447" s="14" t="str">
        <x:f>IF(AND(C447="Докупка",I447="Есть цена"),G447,"")</x:f>
      </x:c>
    </x:row>
    <x:row r="448" ht="21" customHeight="1">
      <x:c r="A448" s="2" t="n">
        <x:v>45</x:v>
      </x:c>
      <x:c r="B448" s="2" t="n">
        <x:v>5</x:v>
      </x:c>
      <x:c r="C448" s="2" t="str">
        <x:f>'Покупки'!C52</x:f>
        <x:v>Докупка</x:v>
      </x:c>
      <x:c r="D448" s="9" t="n">
        <x:v>46281.74475694444</x:v>
      </x:c>
      <x:c r="E448" s="12"/>
      <x:c r="F448" s="12" t="n">
        <x:f>'Покупки'!H52</x:f>
        <x:v>0.1565805805641111</x:v>
      </x:c>
      <x:c r="G448" s="14" t="str">
        <x:f>IF(I448="Есть цена",IF(AND(ISNUMBER(E448),E448&gt;0,F448&gt;0),E448/F448-1,NA()),"")</x:f>
      </x:c>
      <x:c r="H448" s="14" t="str">
        <x:f>IF(AND(I448="Есть цена",I448="Есть цена"),IF(AND(E448&gt;0,E448&gt;0),E448/E448-1,NA()),"")</x:f>
      </x:c>
      <x:c r="I448" s="2" t="str">
        <x:v>RPC: данные не загружены</x:v>
      </x:c>
      <x:c r="J448" s="2"/>
      <x:c r="K448" s="9"/>
      <x:c r="L448" s="2"/>
      <x:c r="M448" s="2"/>
      <x:c r="N448" s="2"/>
      <x:c r="O448" s="2"/>
      <x:c r="P448" s="2" t="str">
        <x:v>not_cached:getSignaturesForAddress:history/d6c9511b26414e5470a82e3a</x:v>
      </x:c>
      <x:c r="Q448" s="2" t="str"/>
      <x:c r="R448" s="14" t="str">
        <x:f>IF(AND(C448="Нулевой остаток",I448="Есть цена"),G448,"")</x:f>
      </x:c>
      <x:c r="S448" s="14" t="str">
        <x:f>IF(AND(C448="Докупка",I448="Есть цена"),G448,"")</x:f>
      </x:c>
    </x:row>
    <x:row r="449" ht="21" customHeight="1">
      <x:c r="A449" s="2" t="n">
        <x:v>45</x:v>
      </x:c>
      <x:c r="B449" s="2" t="n">
        <x:v>15</x:v>
      </x:c>
      <x:c r="C449" s="2" t="str">
        <x:f>'Покупки'!C52</x:f>
        <x:v>Докупка</x:v>
      </x:c>
      <x:c r="D449" s="9" t="n">
        <x:v>46281.74487268519</x:v>
      </x:c>
      <x:c r="E449" s="12"/>
      <x:c r="F449" s="12" t="n">
        <x:f>'Покупки'!H52</x:f>
        <x:v>0.1565805805641111</x:v>
      </x:c>
      <x:c r="G449" s="14" t="str">
        <x:f>IF(I449="Есть цена",IF(AND(ISNUMBER(E449),E449&gt;0,F449&gt;0),E449/F449-1,NA()),"")</x:f>
      </x:c>
      <x:c r="H449" s="14" t="str">
        <x:f>IF(AND(I449="Есть цена",I448="Есть цена"),IF(AND(E449&gt;0,E448&gt;0),E449/E448-1,NA()),"")</x:f>
      </x:c>
      <x:c r="I449" s="2" t="str">
        <x:v>RPC: данные не загружены</x:v>
      </x:c>
      <x:c r="J449" s="2"/>
      <x:c r="K449" s="9"/>
      <x:c r="L449" s="2"/>
      <x:c r="M449" s="2"/>
      <x:c r="N449" s="2"/>
      <x:c r="O449" s="2"/>
      <x:c r="P449" s="2" t="str">
        <x:v>not_cached:getSignaturesForAddress:history/d6c9511b26414e5470a82e3a</x:v>
      </x:c>
      <x:c r="Q449" s="2" t="str"/>
      <x:c r="R449" s="14" t="str">
        <x:f>IF(AND(C449="Нулевой остаток",I449="Есть цена"),G449,"")</x:f>
      </x:c>
      <x:c r="S449" s="14" t="str">
        <x:f>IF(AND(C449="Докупка",I449="Есть цена"),G449,"")</x:f>
      </x:c>
    </x:row>
    <x:row r="450" ht="21" customHeight="1">
      <x:c r="A450" s="2" t="n">
        <x:v>45</x:v>
      </x:c>
      <x:c r="B450" s="2" t="n">
        <x:v>30</x:v>
      </x:c>
      <x:c r="C450" s="2" t="str">
        <x:f>'Покупки'!C52</x:f>
        <x:v>Докупка</x:v>
      </x:c>
      <x:c r="D450" s="9" t="n">
        <x:v>46281.745046296295</x:v>
      </x:c>
      <x:c r="E450" s="12"/>
      <x:c r="F450" s="12" t="n">
        <x:f>'Покупки'!H52</x:f>
        <x:v>0.1565805805641111</x:v>
      </x:c>
      <x:c r="G450" s="14" t="str">
        <x:f>IF(I450="Есть цена",IF(AND(ISNUMBER(E450),E450&gt;0,F450&gt;0),E450/F450-1,NA()),"")</x:f>
      </x:c>
      <x:c r="H450" s="14" t="str">
        <x:f>IF(AND(I450="Есть цена",I448="Есть цена"),IF(AND(E450&gt;0,E448&gt;0),E450/E448-1,NA()),"")</x:f>
      </x:c>
      <x:c r="I450" s="2" t="str">
        <x:v>RPC: данные не загружены</x:v>
      </x:c>
      <x:c r="J450" s="2"/>
      <x:c r="K450" s="9"/>
      <x:c r="L450" s="2"/>
      <x:c r="M450" s="2"/>
      <x:c r="N450" s="2"/>
      <x:c r="O450" s="2"/>
      <x:c r="P450" s="2" t="str">
        <x:v>not_cached:getSignaturesForAddress:history/ca26015abfaac3158133ab0d</x:v>
      </x:c>
      <x:c r="Q450" s="2" t="str"/>
      <x:c r="R450" s="14" t="str">
        <x:f>IF(AND(C450="Нулевой остаток",I450="Есть цена"),G450,"")</x:f>
      </x:c>
      <x:c r="S450" s="14" t="str">
        <x:f>IF(AND(C450="Докупка",I450="Есть цена"),G450,"")</x:f>
      </x:c>
    </x:row>
    <x:row r="451" ht="21" customHeight="1">
      <x:c r="A451" s="2" t="n">
        <x:v>45</x:v>
      </x:c>
      <x:c r="B451" s="2" t="n">
        <x:v>60</x:v>
      </x:c>
      <x:c r="C451" s="2" t="str">
        <x:f>'Покупки'!C52</x:f>
        <x:v>Докупка</x:v>
      </x:c>
      <x:c r="D451" s="9" t="n">
        <x:v>46281.74539351852</x:v>
      </x:c>
      <x:c r="E451" s="12"/>
      <x:c r="F451" s="12" t="n">
        <x:f>'Покупки'!H52</x:f>
        <x:v>0.1565805805641111</x:v>
      </x:c>
      <x:c r="G451" s="14" t="str">
        <x:f>IF(I451="Есть цена",IF(AND(ISNUMBER(E451),E451&gt;0,F451&gt;0),E451/F451-1,NA()),"")</x:f>
      </x:c>
      <x:c r="H451" s="14" t="str">
        <x:f>IF(AND(I451="Есть цена",I448="Есть цена"),IF(AND(E451&gt;0,E448&gt;0),E451/E448-1,NA()),"")</x:f>
      </x:c>
      <x:c r="I451" s="2" t="str">
        <x:v>RPC: данные не загружены</x:v>
      </x:c>
      <x:c r="J451" s="2"/>
      <x:c r="K451" s="9"/>
      <x:c r="L451" s="2"/>
      <x:c r="M451" s="2"/>
      <x:c r="N451" s="2"/>
      <x:c r="O451" s="2"/>
      <x:c r="P451" s="2" t="str">
        <x:v>not_cached:getSignaturesForAddress:history/ca26015abfaac3158133ab0d</x:v>
      </x:c>
      <x:c r="Q451" s="2" t="str"/>
      <x:c r="R451" s="14" t="str">
        <x:f>IF(AND(C451="Нулевой остаток",I451="Есть цена"),G451,"")</x:f>
      </x:c>
      <x:c r="S451" s="14" t="str">
        <x:f>IF(AND(C451="Докупка",I451="Есть цена"),G451,"")</x:f>
      </x:c>
    </x:row>
    <x:row r="452" ht="21" customHeight="1">
      <x:c r="A452" s="2" t="n">
        <x:v>45</x:v>
      </x:c>
      <x:c r="B452" s="2" t="n">
        <x:v>180</x:v>
      </x:c>
      <x:c r="C452" s="2" t="str">
        <x:f>'Покупки'!C52</x:f>
        <x:v>Докупка</x:v>
      </x:c>
      <x:c r="D452" s="9" t="n">
        <x:v>46281.746782407405</x:v>
      </x:c>
      <x:c r="E452" s="12"/>
      <x:c r="F452" s="12" t="n">
        <x:f>'Покупки'!H52</x:f>
        <x:v>0.1565805805641111</x:v>
      </x:c>
      <x:c r="G452" s="14" t="str">
        <x:f>IF(I452="Есть цена",IF(AND(ISNUMBER(E452),E452&gt;0,F452&gt;0),E452/F452-1,NA()),"")</x:f>
      </x:c>
      <x:c r="H452" s="14" t="str">
        <x:f>IF(AND(I452="Есть цена",I448="Есть цена"),IF(AND(E452&gt;0,E448&gt;0),E452/E448-1,NA()),"")</x:f>
      </x:c>
      <x:c r="I452" s="2" t="str">
        <x:v>RPC: данные не загружены</x:v>
      </x:c>
      <x:c r="J452" s="2"/>
      <x:c r="K452" s="9"/>
      <x:c r="L452" s="2"/>
      <x:c r="M452" s="2"/>
      <x:c r="N452" s="2"/>
      <x:c r="O452" s="2"/>
      <x:c r="P452" s="2" t="str">
        <x:v>not_cached:getSignaturesForAddress:history/9fb60102ac6d21ad1ae1f32f</x:v>
      </x:c>
      <x:c r="Q452" s="2" t="str"/>
      <x:c r="R452" s="14" t="str">
        <x:f>IF(AND(C452="Нулевой остаток",I452="Есть цена"),G452,"")</x:f>
      </x:c>
      <x:c r="S452" s="14" t="str">
        <x:f>IF(AND(C452="Докупка",I452="Есть цена"),G452,"")</x:f>
      </x:c>
    </x:row>
    <x:row r="453" ht="21" customHeight="1">
      <x:c r="A453" s="2" t="n">
        <x:v>45</x:v>
      </x:c>
      <x:c r="B453" s="2" t="n">
        <x:v>300</x:v>
      </x:c>
      <x:c r="C453" s="2" t="str">
        <x:f>'Покупки'!C52</x:f>
        <x:v>Докупка</x:v>
      </x:c>
      <x:c r="D453" s="9" t="n">
        <x:v>46281.7481712963</x:v>
      </x:c>
      <x:c r="E453" s="12"/>
      <x:c r="F453" s="12" t="n">
        <x:f>'Покупки'!H52</x:f>
        <x:v>0.1565805805641111</x:v>
      </x:c>
      <x:c r="G453" s="14" t="str">
        <x:f>IF(I453="Есть цена",IF(AND(ISNUMBER(E453),E453&gt;0,F453&gt;0),E453/F453-1,NA()),"")</x:f>
      </x:c>
      <x:c r="H453" s="14" t="str">
        <x:f>IF(AND(I453="Есть цена",I448="Есть цена"),IF(AND(E453&gt;0,E448&gt;0),E453/E448-1,NA()),"")</x:f>
      </x:c>
      <x:c r="I453" s="2" t="str">
        <x:v>RPC: данные не загружены</x:v>
      </x:c>
      <x:c r="J453" s="2"/>
      <x:c r="K453" s="9"/>
      <x:c r="L453" s="2"/>
      <x:c r="M453" s="2"/>
      <x:c r="N453" s="2"/>
      <x:c r="O453" s="2"/>
      <x:c r="P453" s="2" t="str">
        <x:v>not_cached:getSignaturesForAddress:history/9fb60102ac6d21ad1ae1f32f</x:v>
      </x:c>
      <x:c r="Q453" s="2" t="str"/>
      <x:c r="R453" s="14" t="str">
        <x:f>IF(AND(C453="Нулевой остаток",I453="Есть цена"),G453,"")</x:f>
      </x:c>
      <x:c r="S453" s="14" t="str">
        <x:f>IF(AND(C453="Докупка",I453="Есть цена"),G453,"")</x:f>
      </x:c>
    </x:row>
    <x:row r="454" ht="21" customHeight="1">
      <x:c r="A454" s="2" t="n">
        <x:v>45</x:v>
      </x:c>
      <x:c r="B454" s="2" t="n">
        <x:v>900</x:v>
      </x:c>
      <x:c r="C454" s="2" t="str">
        <x:f>'Покупки'!C52</x:f>
        <x:v>Докупка</x:v>
      </x:c>
      <x:c r="D454" s="9" t="n">
        <x:v>46281.75511574074</x:v>
      </x:c>
      <x:c r="E454" s="12"/>
      <x:c r="F454" s="12" t="n">
        <x:f>'Покупки'!H52</x:f>
        <x:v>0.1565805805641111</x:v>
      </x:c>
      <x:c r="G454" s="14" t="str">
        <x:f>IF(I454="Есть цена",IF(AND(ISNUMBER(E454),E454&gt;0,F454&gt;0),E454/F454-1,NA()),"")</x:f>
      </x:c>
      <x:c r="H454" s="14" t="str">
        <x:f>IF(AND(I454="Есть цена",I448="Есть цена"),IF(AND(E454&gt;0,E448&gt;0),E454/E448-1,NA()),"")</x:f>
      </x:c>
      <x:c r="I454" s="2" t="str">
        <x:v>RPC: данные не загружены</x:v>
      </x:c>
      <x:c r="J454" s="2"/>
      <x:c r="K454" s="9"/>
      <x:c r="L454" s="2"/>
      <x:c r="M454" s="2"/>
      <x:c r="N454" s="2"/>
      <x:c r="O454" s="2"/>
      <x:c r="P454" s="2" t="str">
        <x:v>not_cached:getSignaturesForAddress:history/9fb60102ac6d21ad1ae1f32f</x:v>
      </x:c>
      <x:c r="Q454" s="2" t="str"/>
      <x:c r="R454" s="14" t="str">
        <x:f>IF(AND(C454="Нулевой остаток",I454="Есть цена"),G454,"")</x:f>
      </x:c>
      <x:c r="S454" s="14" t="str">
        <x:f>IF(AND(C454="Докупка",I454="Есть цена"),G454,"")</x:f>
      </x:c>
    </x:row>
    <x:row r="455" ht="21" customHeight="1">
      <x:c r="A455" s="2" t="n">
        <x:v>45</x:v>
      </x:c>
      <x:c r="B455" s="2" t="n">
        <x:v>3600</x:v>
      </x:c>
      <x:c r="C455" s="2" t="str">
        <x:f>'Покупки'!C52</x:f>
        <x:v>Докупка</x:v>
      </x:c>
      <x:c r="D455" s="9" t="n">
        <x:v>46281.78636574074</x:v>
      </x:c>
      <x:c r="E455" s="12"/>
      <x:c r="F455" s="12" t="n">
        <x:f>'Покупки'!H52</x:f>
        <x:v>0.1565805805641111</x:v>
      </x:c>
      <x:c r="G455" s="14" t="str">
        <x:f>IF(I455="Есть цена",IF(AND(ISNUMBER(E455),E455&gt;0,F455&gt;0),E455/F455-1,NA()),"")</x:f>
      </x:c>
      <x:c r="H455" s="14" t="str">
        <x:f>IF(AND(I455="Есть цена",I448="Есть цена"),IF(AND(E455&gt;0,E448&gt;0),E455/E448-1,NA()),"")</x:f>
      </x:c>
      <x:c r="I455" s="2" t="str">
        <x:v>RPC: данные не загружены</x:v>
      </x:c>
      <x:c r="J455" s="2"/>
      <x:c r="K455" s="9"/>
      <x:c r="L455" s="2"/>
      <x:c r="M455" s="2"/>
      <x:c r="N455" s="2"/>
      <x:c r="O455" s="2"/>
      <x:c r="P455" s="2" t="str">
        <x:v>not_cached:getSignaturesForAddress:history/8aa8c9e7cb8113af05523b72</x:v>
      </x:c>
      <x:c r="Q455" s="2" t="str"/>
      <x:c r="R455" s="14" t="str">
        <x:f>IF(AND(C455="Нулевой остаток",I455="Есть цена"),G455,"")</x:f>
      </x:c>
      <x:c r="S455" s="14" t="str">
        <x:f>IF(AND(C455="Докупка",I455="Есть цена"),G455,"")</x:f>
      </x:c>
    </x:row>
    <x:row r="456" ht="21" customHeight="1">
      <x:c r="A456" s="2" t="n">
        <x:v>45</x:v>
      </x:c>
      <x:c r="B456" s="2" t="n">
        <x:v>21600</x:v>
      </x:c>
      <x:c r="C456" s="2" t="str">
        <x:f>'Покупки'!C52</x:f>
        <x:v>Докупка</x:v>
      </x:c>
      <x:c r="D456" s="9" t="n">
        <x:v>46281.99469907407</x:v>
      </x:c>
      <x:c r="E456" s="12"/>
      <x:c r="F456" s="12" t="n">
        <x:f>'Покупки'!H52</x:f>
        <x:v>0.1565805805641111</x:v>
      </x:c>
      <x:c r="G456" s="14" t="str">
        <x:f>IF(I456="Есть цена",IF(AND(ISNUMBER(E456),E456&gt;0,F456&gt;0),E456/F456-1,NA()),"")</x:f>
      </x:c>
      <x:c r="H456" s="14" t="str">
        <x:f>IF(AND(I456="Есть цена",I448="Есть цена"),IF(AND(E456&gt;0,E448&gt;0),E456/E448-1,NA()),"")</x:f>
      </x:c>
      <x:c r="I456" s="2" t="str">
        <x:v>RPC: данные не загружены</x:v>
      </x:c>
      <x:c r="J456" s="2"/>
      <x:c r="K456" s="9"/>
      <x:c r="L456" s="2"/>
      <x:c r="M456" s="2"/>
      <x:c r="N456" s="2"/>
      <x:c r="O456" s="2"/>
      <x:c r="P456" s="2" t="str">
        <x:v>not_cached:getSignaturesForAddress:history/4812e85c4a47d8c11e16da7f</x:v>
      </x:c>
      <x:c r="Q456" s="2" t="str"/>
      <x:c r="R456" s="14" t="str">
        <x:f>IF(AND(C456="Нулевой остаток",I456="Есть цена"),G456,"")</x:f>
      </x:c>
      <x:c r="S456" s="14" t="str">
        <x:f>IF(AND(C456="Докупка",I456="Есть цена"),G456,"")</x:f>
      </x:c>
    </x:row>
    <x:row r="457" ht="21" customHeight="1">
      <x:c r="A457" s="2" t="n">
        <x:v>45</x:v>
      </x:c>
      <x:c r="B457" s="2" t="n">
        <x:v>86400</x:v>
      </x:c>
      <x:c r="C457" s="2" t="str">
        <x:f>'Покупки'!C52</x:f>
        <x:v>Докупка</x:v>
      </x:c>
      <x:c r="D457" s="9" t="n">
        <x:v>46282.74469907407</x:v>
      </x:c>
      <x:c r="E457" s="12" t="n">
        <x:v>0.2221015891954841</x:v>
      </x:c>
      <x:c r="F457" s="12" t="n">
        <x:f>'Покупки'!H52</x:f>
        <x:v>0.1565805805641111</x:v>
      </x:c>
      <x:c r="G457" s="14" t="n">
        <x:f>IF(I457="Есть цена",IF(AND(ISNUMBER(E457),E457&gt;0,F457&gt;0),E457/F457-1,NA()),"")</x:f>
        <x:v>0.4184491358719018</x:v>
      </x:c>
      <x:c r="H457" s="14" t="str">
        <x:f>IF(AND(I457="Есть цена",I448="Есть цена"),IF(AND(E457&gt;0,E448&gt;0),E457/E448-1,NA()),"")</x:f>
      </x:c>
      <x:c r="I457" s="2" t="str">
        <x:v>Есть цена</x:v>
      </x:c>
      <x:c r="J457" s="2" t="n">
        <x:v>447856501</x:v>
      </x:c>
      <x:c r="K457" s="9" t="n">
        <x:v>46282.744618055556</x:v>
      </x:c>
      <x:c r="L457" s="2" t="n">
        <x:v>7</x:v>
      </x:c>
      <x:c r="M457" s="2"/>
      <x:c r="N457" s="2" t="str">
        <x:v>G4G5SzkbLFMhoSgHiQNeyJFt75sSDsL1rD8LVyT5xZbU</x:v>
      </x:c>
      <x:c r="O457" s="2" t="str">
        <x:v>https://solscan.io/tx/3PWMbkQ7QGsrcBubm7rSMVkvQqUzgGQtCQhGDinQER2C7Sosa1rzU3GKJjHR39SQwBzD7BF9izikHJuuwYgSL4m4</x:v>
      </x:c>
      <x:c r="P457" s="2" t="str">
        <x:v>ok</x:v>
      </x:c>
      <x:c r="Q457" s="2" t="str"/>
      <x:c r="R457" s="14" t="str">
        <x:f>IF(AND(C457="Нулевой остаток",I457="Есть цена"),G457,"")</x:f>
      </x:c>
      <x:c r="S457" s="14" t="n">
        <x:f>IF(AND(C457="Докупка",I457="Есть цена"),G457,"")</x:f>
        <x:v>0.4184491358719018</x:v>
      </x:c>
    </x:row>
    <x:row r="458" ht="21" customHeight="1">
      <x:c r="A458" s="2" t="n">
        <x:v>46</x:v>
      </x:c>
      <x:c r="B458" s="2" t="n">
        <x:v>5</x:v>
      </x:c>
      <x:c r="C458" s="2" t="str">
        <x:f>'Покупки'!C53</x:f>
        <x:v>Докупка</x:v>
      </x:c>
      <x:c r="D458" s="9" t="n">
        <x:v>46281.74256944445</x:v>
      </x:c>
      <x:c r="E458" s="12"/>
      <x:c r="F458" s="12" t="n">
        <x:f>'Покупки'!H53</x:f>
        <x:v>0.15812059443273416</x:v>
      </x:c>
      <x:c r="G458" s="14" t="str">
        <x:f>IF(I458="Есть цена",IF(AND(ISNUMBER(E458),E458&gt;0,F458&gt;0),E458/F458-1,NA()),"")</x:f>
      </x:c>
      <x:c r="H458" s="14" t="str">
        <x:f>IF(AND(I458="Есть цена",I458="Есть цена"),IF(AND(E458&gt;0,E458&gt;0),E458/E458-1,NA()),"")</x:f>
      </x:c>
      <x:c r="I458" s="2" t="str">
        <x:v>RPC: данные не загружены</x:v>
      </x:c>
      <x:c r="J458" s="2"/>
      <x:c r="K458" s="9"/>
      <x:c r="L458" s="2"/>
      <x:c r="M458" s="2"/>
      <x:c r="N458" s="2"/>
      <x:c r="O458" s="2"/>
      <x:c r="P458" s="2" t="str">
        <x:v>not_cached:getSignaturesForAddress:history/bef7c00b611213cd1b583079</x:v>
      </x:c>
      <x:c r="Q458" s="2" t="str"/>
      <x:c r="R458" s="14" t="str">
        <x:f>IF(AND(C458="Нулевой остаток",I458="Есть цена"),G458,"")</x:f>
      </x:c>
      <x:c r="S458" s="14" t="str">
        <x:f>IF(AND(C458="Докупка",I458="Есть цена"),G458,"")</x:f>
      </x:c>
    </x:row>
    <x:row r="459" ht="21" customHeight="1">
      <x:c r="A459" s="2" t="n">
        <x:v>46</x:v>
      </x:c>
      <x:c r="B459" s="2" t="n">
        <x:v>15</x:v>
      </x:c>
      <x:c r="C459" s="2" t="str">
        <x:f>'Покупки'!C53</x:f>
        <x:v>Докупка</x:v>
      </x:c>
      <x:c r="D459" s="9" t="n">
        <x:v>46281.742685185185</x:v>
      </x:c>
      <x:c r="E459" s="12"/>
      <x:c r="F459" s="12" t="n">
        <x:f>'Покупки'!H53</x:f>
        <x:v>0.15812059443273416</x:v>
      </x:c>
      <x:c r="G459" s="14" t="str">
        <x:f>IF(I459="Есть цена",IF(AND(ISNUMBER(E459),E459&gt;0,F459&gt;0),E459/F459-1,NA()),"")</x:f>
      </x:c>
      <x:c r="H459" s="14" t="str">
        <x:f>IF(AND(I459="Есть цена",I458="Есть цена"),IF(AND(E459&gt;0,E458&gt;0),E459/E458-1,NA()),"")</x:f>
      </x:c>
      <x:c r="I459" s="2" t="str">
        <x:v>RPC: данные не загружены</x:v>
      </x:c>
      <x:c r="J459" s="2"/>
      <x:c r="K459" s="9"/>
      <x:c r="L459" s="2"/>
      <x:c r="M459" s="2"/>
      <x:c r="N459" s="2"/>
      <x:c r="O459" s="2"/>
      <x:c r="P459" s="2" t="str">
        <x:v>not_cached:getSignaturesForAddress:history/bef7c00b611213cd1b583079</x:v>
      </x:c>
      <x:c r="Q459" s="2" t="str"/>
      <x:c r="R459" s="14" t="str">
        <x:f>IF(AND(C459="Нулевой остаток",I459="Есть цена"),G459,"")</x:f>
      </x:c>
      <x:c r="S459" s="14" t="str">
        <x:f>IF(AND(C459="Докупка",I459="Есть цена"),G459,"")</x:f>
      </x:c>
    </x:row>
    <x:row r="460" ht="21" customHeight="1">
      <x:c r="A460" s="2" t="n">
        <x:v>46</x:v>
      </x:c>
      <x:c r="B460" s="2" t="n">
        <x:v>30</x:v>
      </x:c>
      <x:c r="C460" s="2" t="str">
        <x:f>'Покупки'!C53</x:f>
        <x:v>Докупка</x:v>
      </x:c>
      <x:c r="D460" s="9" t="n">
        <x:v>46281.74285879629</x:v>
      </x:c>
      <x:c r="E460" s="12"/>
      <x:c r="F460" s="12" t="n">
        <x:f>'Покупки'!H53</x:f>
        <x:v>0.15812059443273416</x:v>
      </x:c>
      <x:c r="G460" s="14" t="str">
        <x:f>IF(I460="Есть цена",IF(AND(ISNUMBER(E460),E460&gt;0,F460&gt;0),E460/F460-1,NA()),"")</x:f>
      </x:c>
      <x:c r="H460" s="14" t="str">
        <x:f>IF(AND(I460="Есть цена",I458="Есть цена"),IF(AND(E460&gt;0,E458&gt;0),E460/E458-1,NA()),"")</x:f>
      </x:c>
      <x:c r="I460" s="2" t="str">
        <x:v>RPC: данные не загружены</x:v>
      </x:c>
      <x:c r="J460" s="2"/>
      <x:c r="K460" s="9"/>
      <x:c r="L460" s="2"/>
      <x:c r="M460" s="2"/>
      <x:c r="N460" s="2"/>
      <x:c r="O460" s="2"/>
      <x:c r="P460" s="2" t="str">
        <x:v>not_cached:getSignaturesForAddress:history/bef7c00b611213cd1b583079</x:v>
      </x:c>
      <x:c r="Q460" s="2" t="str"/>
      <x:c r="R460" s="14" t="str">
        <x:f>IF(AND(C460="Нулевой остаток",I460="Есть цена"),G460,"")</x:f>
      </x:c>
      <x:c r="S460" s="14" t="str">
        <x:f>IF(AND(C460="Докупка",I460="Есть цена"),G460,"")</x:f>
      </x:c>
    </x:row>
    <x:row r="461" ht="21" customHeight="1">
      <x:c r="A461" s="2" t="n">
        <x:v>46</x:v>
      </x:c>
      <x:c r="B461" s="2" t="n">
        <x:v>60</x:v>
      </x:c>
      <x:c r="C461" s="2" t="str">
        <x:f>'Покупки'!C53</x:f>
        <x:v>Докупка</x:v>
      </x:c>
      <x:c r="D461" s="9" t="n">
        <x:v>46281.74320601852</x:v>
      </x:c>
      <x:c r="E461" s="12"/>
      <x:c r="F461" s="12" t="n">
        <x:f>'Покупки'!H53</x:f>
        <x:v>0.15812059443273416</x:v>
      </x:c>
      <x:c r="G461" s="14" t="str">
        <x:f>IF(I461="Есть цена",IF(AND(ISNUMBER(E461),E461&gt;0,F461&gt;0),E461/F461-1,NA()),"")</x:f>
      </x:c>
      <x:c r="H461" s="14" t="str">
        <x:f>IF(AND(I461="Есть цена",I458="Есть цена"),IF(AND(E461&gt;0,E458&gt;0),E461/E458-1,NA()),"")</x:f>
      </x:c>
      <x:c r="I461" s="2" t="str">
        <x:v>RPC: данные не загружены</x:v>
      </x:c>
      <x:c r="J461" s="2"/>
      <x:c r="K461" s="9"/>
      <x:c r="L461" s="2"/>
      <x:c r="M461" s="2"/>
      <x:c r="N461" s="2"/>
      <x:c r="O461" s="2"/>
      <x:c r="P461" s="2" t="str">
        <x:v>not_cached:getSignaturesForAddress:history/bef7c00b611213cd1b583079</x:v>
      </x:c>
      <x:c r="Q461" s="2" t="str"/>
      <x:c r="R461" s="14" t="str">
        <x:f>IF(AND(C461="Нулевой остаток",I461="Есть цена"),G461,"")</x:f>
      </x:c>
      <x:c r="S461" s="14" t="str">
        <x:f>IF(AND(C461="Докупка",I461="Есть цена"),G461,"")</x:f>
      </x:c>
    </x:row>
    <x:row r="462" ht="21" customHeight="1">
      <x:c r="A462" s="2" t="n">
        <x:v>46</x:v>
      </x:c>
      <x:c r="B462" s="2" t="n">
        <x:v>180</x:v>
      </x:c>
      <x:c r="C462" s="2" t="str">
        <x:f>'Покупки'!C53</x:f>
        <x:v>Докупка</x:v>
      </x:c>
      <x:c r="D462" s="9" t="n">
        <x:v>46281.74459490741</x:v>
      </x:c>
      <x:c r="E462" s="12"/>
      <x:c r="F462" s="12" t="n">
        <x:f>'Покупки'!H53</x:f>
        <x:v>0.15812059443273416</x:v>
      </x:c>
      <x:c r="G462" s="14" t="str">
        <x:f>IF(I462="Есть цена",IF(AND(ISNUMBER(E462),E462&gt;0,F462&gt;0),E462/F462-1,NA()),"")</x:f>
      </x:c>
      <x:c r="H462" s="14" t="str">
        <x:f>IF(AND(I462="Есть цена",I458="Есть цена"),IF(AND(E462&gt;0,E458&gt;0),E462/E458-1,NA()),"")</x:f>
      </x:c>
      <x:c r="I462" s="2" t="str">
        <x:v>RPC: данные не загружены</x:v>
      </x:c>
      <x:c r="J462" s="2"/>
      <x:c r="K462" s="9"/>
      <x:c r="L462" s="2"/>
      <x:c r="M462" s="2"/>
      <x:c r="N462" s="2"/>
      <x:c r="O462" s="2"/>
      <x:c r="P462" s="2" t="str">
        <x:v>not_cached:getSignaturesForAddress:history/d29155fd3cad4a7edcf91fea</x:v>
      </x:c>
      <x:c r="Q462" s="2" t="str"/>
      <x:c r="R462" s="14" t="str">
        <x:f>IF(AND(C462="Нулевой остаток",I462="Есть цена"),G462,"")</x:f>
      </x:c>
      <x:c r="S462" s="14" t="str">
        <x:f>IF(AND(C462="Докупка",I462="Есть цена"),G462,"")</x:f>
      </x:c>
    </x:row>
    <x:row r="463" ht="21" customHeight="1">
      <x:c r="A463" s="2" t="n">
        <x:v>46</x:v>
      </x:c>
      <x:c r="B463" s="2" t="n">
        <x:v>300</x:v>
      </x:c>
      <x:c r="C463" s="2" t="str">
        <x:f>'Покупки'!C53</x:f>
        <x:v>Докупка</x:v>
      </x:c>
      <x:c r="D463" s="9" t="n">
        <x:v>46281.745983796296</x:v>
      </x:c>
      <x:c r="E463" s="12"/>
      <x:c r="F463" s="12" t="n">
        <x:f>'Покупки'!H53</x:f>
        <x:v>0.15812059443273416</x:v>
      </x:c>
      <x:c r="G463" s="14" t="str">
        <x:f>IF(I463="Есть цена",IF(AND(ISNUMBER(E463),E463&gt;0,F463&gt;0),E463/F463-1,NA()),"")</x:f>
      </x:c>
      <x:c r="H463" s="14" t="str">
        <x:f>IF(AND(I463="Есть цена",I458="Есть цена"),IF(AND(E463&gt;0,E458&gt;0),E463/E458-1,NA()),"")</x:f>
      </x:c>
      <x:c r="I463" s="2" t="str">
        <x:v>RPC: данные не загружены</x:v>
      </x:c>
      <x:c r="J463" s="2"/>
      <x:c r="K463" s="9"/>
      <x:c r="L463" s="2"/>
      <x:c r="M463" s="2"/>
      <x:c r="N463" s="2"/>
      <x:c r="O463" s="2"/>
      <x:c r="P463" s="2" t="str">
        <x:v>not_cached:getSignaturesForAddress:history/1324823b50b8de4aa18552c4</x:v>
      </x:c>
      <x:c r="Q463" s="2" t="str"/>
      <x:c r="R463" s="14" t="str">
        <x:f>IF(AND(C463="Нулевой остаток",I463="Есть цена"),G463,"")</x:f>
      </x:c>
      <x:c r="S463" s="14" t="str">
        <x:f>IF(AND(C463="Докупка",I463="Есть цена"),G463,"")</x:f>
      </x:c>
    </x:row>
    <x:row r="464" ht="21" customHeight="1">
      <x:c r="A464" s="2" t="n">
        <x:v>46</x:v>
      </x:c>
      <x:c r="B464" s="2" t="n">
        <x:v>900</x:v>
      </x:c>
      <x:c r="C464" s="2" t="str">
        <x:f>'Покупки'!C53</x:f>
        <x:v>Докупка</x:v>
      </x:c>
      <x:c r="D464" s="9" t="n">
        <x:v>46281.75292824074</x:v>
      </x:c>
      <x:c r="E464" s="12"/>
      <x:c r="F464" s="12" t="n">
        <x:f>'Покупки'!H53</x:f>
        <x:v>0.15812059443273416</x:v>
      </x:c>
      <x:c r="G464" s="14" t="str">
        <x:f>IF(I464="Есть цена",IF(AND(ISNUMBER(E464),E464&gt;0,F464&gt;0),E464/F464-1,NA()),"")</x:f>
      </x:c>
      <x:c r="H464" s="14" t="str">
        <x:f>IF(AND(I464="Есть цена",I458="Есть цена"),IF(AND(E464&gt;0,E458&gt;0),E464/E458-1,NA()),"")</x:f>
      </x:c>
      <x:c r="I464" s="2" t="str">
        <x:v>RPC: данные не загружены</x:v>
      </x:c>
      <x:c r="J464" s="2"/>
      <x:c r="K464" s="9"/>
      <x:c r="L464" s="2"/>
      <x:c r="M464" s="2"/>
      <x:c r="N464" s="2"/>
      <x:c r="O464" s="2"/>
      <x:c r="P464" s="2" t="str">
        <x:v>not_cached:getSignaturesForAddress:history/1324823b50b8de4aa18552c4</x:v>
      </x:c>
      <x:c r="Q464" s="2" t="str"/>
      <x:c r="R464" s="14" t="str">
        <x:f>IF(AND(C464="Нулевой остаток",I464="Есть цена"),G464,"")</x:f>
      </x:c>
      <x:c r="S464" s="14" t="str">
        <x:f>IF(AND(C464="Докупка",I464="Есть цена"),G464,"")</x:f>
      </x:c>
    </x:row>
    <x:row r="465" ht="21" customHeight="1">
      <x:c r="A465" s="2" t="n">
        <x:v>46</x:v>
      </x:c>
      <x:c r="B465" s="2" t="n">
        <x:v>3600</x:v>
      </x:c>
      <x:c r="C465" s="2" t="str">
        <x:f>'Покупки'!C53</x:f>
        <x:v>Докупка</x:v>
      </x:c>
      <x:c r="D465" s="9" t="n">
        <x:v>46281.78417824074</x:v>
      </x:c>
      <x:c r="E465" s="12"/>
      <x:c r="F465" s="12" t="n">
        <x:f>'Покупки'!H53</x:f>
        <x:v>0.15812059443273416</x:v>
      </x:c>
      <x:c r="G465" s="14" t="str">
        <x:f>IF(I465="Есть цена",IF(AND(ISNUMBER(E465),E465&gt;0,F465&gt;0),E465/F465-1,NA()),"")</x:f>
      </x:c>
      <x:c r="H465" s="14" t="str">
        <x:f>IF(AND(I465="Есть цена",I458="Есть цена"),IF(AND(E465&gt;0,E458&gt;0),E465/E458-1,NA()),"")</x:f>
      </x:c>
      <x:c r="I465" s="2" t="str">
        <x:v>RPC: данные не загружены</x:v>
      </x:c>
      <x:c r="J465" s="2"/>
      <x:c r="K465" s="9"/>
      <x:c r="L465" s="2"/>
      <x:c r="M465" s="2"/>
      <x:c r="N465" s="2"/>
      <x:c r="O465" s="2"/>
      <x:c r="P465" s="2" t="str">
        <x:v>not_cached:getSignaturesForAddress:history/310734c97916be6b5c33f5a1</x:v>
      </x:c>
      <x:c r="Q465" s="2" t="str"/>
      <x:c r="R465" s="14" t="str">
        <x:f>IF(AND(C465="Нулевой остаток",I465="Есть цена"),G465,"")</x:f>
      </x:c>
      <x:c r="S465" s="14" t="str">
        <x:f>IF(AND(C465="Докупка",I465="Есть цена"),G465,"")</x:f>
      </x:c>
    </x:row>
    <x:row r="466" ht="21" customHeight="1">
      <x:c r="A466" s="2" t="n">
        <x:v>46</x:v>
      </x:c>
      <x:c r="B466" s="2" t="n">
        <x:v>21600</x:v>
      </x:c>
      <x:c r="C466" s="2" t="str">
        <x:f>'Покупки'!C53</x:f>
        <x:v>Докупка</x:v>
      </x:c>
      <x:c r="D466" s="9" t="n">
        <x:v>46281.99251157408</x:v>
      </x:c>
      <x:c r="E466" s="12"/>
      <x:c r="F466" s="12" t="n">
        <x:f>'Покупки'!H53</x:f>
        <x:v>0.15812059443273416</x:v>
      </x:c>
      <x:c r="G466" s="14" t="str">
        <x:f>IF(I466="Есть цена",IF(AND(ISNUMBER(E466),E466&gt;0,F466&gt;0),E466/F466-1,NA()),"")</x:f>
      </x:c>
      <x:c r="H466" s="14" t="str">
        <x:f>IF(AND(I466="Есть цена",I458="Есть цена"),IF(AND(E466&gt;0,E458&gt;0),E466/E458-1,NA()),"")</x:f>
      </x:c>
      <x:c r="I466" s="2" t="str">
        <x:v>RPC: данные не загружены</x:v>
      </x:c>
      <x:c r="J466" s="2"/>
      <x:c r="K466" s="9"/>
      <x:c r="L466" s="2"/>
      <x:c r="M466" s="2"/>
      <x:c r="N466" s="2"/>
      <x:c r="O466" s="2"/>
      <x:c r="P466" s="2" t="str">
        <x:v>not_cached:getSignaturesForAddress:history/27dc533c651a6064151afb69</x:v>
      </x:c>
      <x:c r="Q466" s="2" t="str"/>
      <x:c r="R466" s="14" t="str">
        <x:f>IF(AND(C466="Нулевой остаток",I466="Есть цена"),G466,"")</x:f>
      </x:c>
      <x:c r="S466" s="14" t="str">
        <x:f>IF(AND(C466="Докупка",I466="Есть цена"),G466,"")</x:f>
      </x:c>
    </x:row>
    <x:row r="467" ht="21" customHeight="1">
      <x:c r="A467" s="2" t="n">
        <x:v>46</x:v>
      </x:c>
      <x:c r="B467" s="2" t="n">
        <x:v>86400</x:v>
      </x:c>
      <x:c r="C467" s="2" t="str">
        <x:f>'Покупки'!C53</x:f>
        <x:v>Докупка</x:v>
      </x:c>
      <x:c r="D467" s="9" t="n">
        <x:v>46282.74251157408</x:v>
      </x:c>
      <x:c r="E467" s="12"/>
      <x:c r="F467" s="12" t="n">
        <x:f>'Покупки'!H53</x:f>
        <x:v>0.15812059443273416</x:v>
      </x:c>
      <x:c r="G467" s="14" t="str">
        <x:f>IF(I467="Есть цена",IF(AND(ISNUMBER(E467),E467&gt;0,F467&gt;0),E467/F467-1,NA()),"")</x:f>
      </x:c>
      <x:c r="H467" s="14" t="str">
        <x:f>IF(AND(I467="Есть цена",I458="Есть цена"),IF(AND(E467&gt;0,E458&gt;0),E467/E458-1,NA()),"")</x:f>
      </x:c>
      <x:c r="I467" s="2" t="str">
        <x:v>RPC: данные не загружены</x:v>
      </x:c>
      <x:c r="J467" s="2"/>
      <x:c r="K467" s="9"/>
      <x:c r="L467" s="2"/>
      <x:c r="M467" s="2"/>
      <x:c r="N467" s="2"/>
      <x:c r="O467" s="2"/>
      <x:c r="P467" s="2" t="str">
        <x:v>not_cached:getSignaturesForAddress:history/40c109d9a620ef7a281a0c9d</x:v>
      </x:c>
      <x:c r="Q467" s="2" t="str"/>
      <x:c r="R467" s="14" t="str">
        <x:f>IF(AND(C467="Нулевой остаток",I467="Есть цена"),G467,"")</x:f>
      </x:c>
      <x:c r="S467" s="14" t="str">
        <x:f>IF(AND(C467="Докупка",I467="Есть цена"),G467,"")</x:f>
      </x:c>
    </x:row>
    <x:row r="468" ht="21" customHeight="1">
      <x:c r="A468" s="2" t="n">
        <x:v>47</x:v>
      </x:c>
      <x:c r="B468" s="2" t="n">
        <x:v>5</x:v>
      </x:c>
      <x:c r="C468" s="2" t="str">
        <x:f>'Покупки'!C54</x:f>
        <x:v>Докупка</x:v>
      </x:c>
      <x:c r="D468" s="9" t="n">
        <x:v>46281.73672453704</x:v>
      </x:c>
      <x:c r="E468" s="12"/>
      <x:c r="F468" s="12" t="n">
        <x:f>'Покупки'!H54</x:f>
        <x:v>0.15868369350548825</x:v>
      </x:c>
      <x:c r="G468" s="14" t="str">
        <x:f>IF(I468="Есть цена",IF(AND(ISNUMBER(E468),E468&gt;0,F468&gt;0),E468/F468-1,NA()),"")</x:f>
      </x:c>
      <x:c r="H468" s="14" t="str">
        <x:f>IF(AND(I468="Есть цена",I468="Есть цена"),IF(AND(E468&gt;0,E468&gt;0),E468/E468-1,NA()),"")</x:f>
      </x:c>
      <x:c r="I468" s="2" t="str">
        <x:v>RPC: данные не загружены</x:v>
      </x:c>
      <x:c r="J468" s="2"/>
      <x:c r="K468" s="9"/>
      <x:c r="L468" s="2"/>
      <x:c r="M468" s="2"/>
      <x:c r="N468" s="2"/>
      <x:c r="O468" s="2"/>
      <x:c r="P468" s="2" t="str">
        <x:v>not_cached:getSignaturesForAddress:history/74d9a93e61a89e1d1e6e235c</x:v>
      </x:c>
      <x:c r="Q468" s="2" t="str"/>
      <x:c r="R468" s="14" t="str">
        <x:f>IF(AND(C468="Нулевой остаток",I468="Есть цена"),G468,"")</x:f>
      </x:c>
      <x:c r="S468" s="14" t="str">
        <x:f>IF(AND(C468="Докупка",I468="Есть цена"),G468,"")</x:f>
      </x:c>
    </x:row>
    <x:row r="469" ht="21" customHeight="1">
      <x:c r="A469" s="2" t="n">
        <x:v>47</x:v>
      </x:c>
      <x:c r="B469" s="2" t="n">
        <x:v>15</x:v>
      </x:c>
      <x:c r="C469" s="2" t="str">
        <x:f>'Покупки'!C54</x:f>
        <x:v>Докупка</x:v>
      </x:c>
      <x:c r="D469" s="9" t="n">
        <x:v>46281.73684027778</x:v>
      </x:c>
      <x:c r="E469" s="12"/>
      <x:c r="F469" s="12" t="n">
        <x:f>'Покупки'!H54</x:f>
        <x:v>0.15868369350548825</x:v>
      </x:c>
      <x:c r="G469" s="14" t="str">
        <x:f>IF(I469="Есть цена",IF(AND(ISNUMBER(E469),E469&gt;0,F469&gt;0),E469/F469-1,NA()),"")</x:f>
      </x:c>
      <x:c r="H469" s="14" t="str">
        <x:f>IF(AND(I469="Есть цена",I468="Есть цена"),IF(AND(E469&gt;0,E468&gt;0),E469/E468-1,NA()),"")</x:f>
      </x:c>
      <x:c r="I469" s="2" t="str">
        <x:v>RPC: данные не загружены</x:v>
      </x:c>
      <x:c r="J469" s="2"/>
      <x:c r="K469" s="9"/>
      <x:c r="L469" s="2"/>
      <x:c r="M469" s="2"/>
      <x:c r="N469" s="2"/>
      <x:c r="O469" s="2"/>
      <x:c r="P469" s="2" t="str">
        <x:v>not_cached:getSignaturesForAddress:history/74d9a93e61a89e1d1e6e235c</x:v>
      </x:c>
      <x:c r="Q469" s="2" t="str"/>
      <x:c r="R469" s="14" t="str">
        <x:f>IF(AND(C469="Нулевой остаток",I469="Есть цена"),G469,"")</x:f>
      </x:c>
      <x:c r="S469" s="14" t="str">
        <x:f>IF(AND(C469="Докупка",I469="Есть цена"),G469,"")</x:f>
      </x:c>
    </x:row>
    <x:row r="470" ht="21" customHeight="1">
      <x:c r="A470" s="2" t="n">
        <x:v>47</x:v>
      </x:c>
      <x:c r="B470" s="2" t="n">
        <x:v>30</x:v>
      </x:c>
      <x:c r="C470" s="2" t="str">
        <x:f>'Покупки'!C54</x:f>
        <x:v>Докупка</x:v>
      </x:c>
      <x:c r="D470" s="9" t="n">
        <x:v>46281.73701388889</x:v>
      </x:c>
      <x:c r="E470" s="12"/>
      <x:c r="F470" s="12" t="n">
        <x:f>'Покупки'!H54</x:f>
        <x:v>0.15868369350548825</x:v>
      </x:c>
      <x:c r="G470" s="14" t="str">
        <x:f>IF(I470="Есть цена",IF(AND(ISNUMBER(E470),E470&gt;0,F470&gt;0),E470/F470-1,NA()),"")</x:f>
      </x:c>
      <x:c r="H470" s="14" t="str">
        <x:f>IF(AND(I470="Есть цена",I468="Есть цена"),IF(AND(E470&gt;0,E468&gt;0),E470/E468-1,NA()),"")</x:f>
      </x:c>
      <x:c r="I470" s="2" t="str">
        <x:v>RPC: данные не загружены</x:v>
      </x:c>
      <x:c r="J470" s="2"/>
      <x:c r="K470" s="9"/>
      <x:c r="L470" s="2"/>
      <x:c r="M470" s="2"/>
      <x:c r="N470" s="2"/>
      <x:c r="O470" s="2"/>
      <x:c r="P470" s="2" t="str">
        <x:v>not_cached:getSignaturesForAddress:history/74d9a93e61a89e1d1e6e235c</x:v>
      </x:c>
      <x:c r="Q470" s="2" t="str"/>
      <x:c r="R470" s="14" t="str">
        <x:f>IF(AND(C470="Нулевой остаток",I470="Есть цена"),G470,"")</x:f>
      </x:c>
      <x:c r="S470" s="14" t="str">
        <x:f>IF(AND(C470="Докупка",I470="Есть цена"),G470,"")</x:f>
      </x:c>
    </x:row>
    <x:row r="471" ht="21" customHeight="1">
      <x:c r="A471" s="2" t="n">
        <x:v>47</x:v>
      </x:c>
      <x:c r="B471" s="2" t="n">
        <x:v>60</x:v>
      </x:c>
      <x:c r="C471" s="2" t="str">
        <x:f>'Покупки'!C54</x:f>
        <x:v>Докупка</x:v>
      </x:c>
      <x:c r="D471" s="9" t="n">
        <x:v>46281.73736111111</x:v>
      </x:c>
      <x:c r="E471" s="12"/>
      <x:c r="F471" s="12" t="n">
        <x:f>'Покупки'!H54</x:f>
        <x:v>0.15868369350548825</x:v>
      </x:c>
      <x:c r="G471" s="14" t="str">
        <x:f>IF(I471="Есть цена",IF(AND(ISNUMBER(E471),E471&gt;0,F471&gt;0),E471/F471-1,NA()),"")</x:f>
      </x:c>
      <x:c r="H471" s="14" t="str">
        <x:f>IF(AND(I471="Есть цена",I468="Есть цена"),IF(AND(E471&gt;0,E468&gt;0),E471/E468-1,NA()),"")</x:f>
      </x:c>
      <x:c r="I471" s="2" t="str">
        <x:v>RPC: данные не загружены</x:v>
      </x:c>
      <x:c r="J471" s="2"/>
      <x:c r="K471" s="9"/>
      <x:c r="L471" s="2"/>
      <x:c r="M471" s="2"/>
      <x:c r="N471" s="2"/>
      <x:c r="O471" s="2"/>
      <x:c r="P471" s="2" t="str">
        <x:v>not_cached:getSignaturesForAddress:history/74d9a93e61a89e1d1e6e235c</x:v>
      </x:c>
      <x:c r="Q471" s="2" t="str"/>
      <x:c r="R471" s="14" t="str">
        <x:f>IF(AND(C471="Нулевой остаток",I471="Есть цена"),G471,"")</x:f>
      </x:c>
      <x:c r="S471" s="14" t="str">
        <x:f>IF(AND(C471="Докупка",I471="Есть цена"),G471,"")</x:f>
      </x:c>
    </x:row>
    <x:row r="472" ht="21" customHeight="1">
      <x:c r="A472" s="2" t="n">
        <x:v>47</x:v>
      </x:c>
      <x:c r="B472" s="2" t="n">
        <x:v>180</x:v>
      </x:c>
      <x:c r="C472" s="2" t="str">
        <x:f>'Покупки'!C54</x:f>
        <x:v>Докупка</x:v>
      </x:c>
      <x:c r="D472" s="9" t="n">
        <x:v>46281.73875</x:v>
      </x:c>
      <x:c r="E472" s="12"/>
      <x:c r="F472" s="12" t="n">
        <x:f>'Покупки'!H54</x:f>
        <x:v>0.15868369350548825</x:v>
      </x:c>
      <x:c r="G472" s="14" t="str">
        <x:f>IF(I472="Есть цена",IF(AND(ISNUMBER(E472),E472&gt;0,F472&gt;0),E472/F472-1,NA()),"")</x:f>
      </x:c>
      <x:c r="H472" s="14" t="str">
        <x:f>IF(AND(I472="Есть цена",I468="Есть цена"),IF(AND(E472&gt;0,E468&gt;0),E472/E468-1,NA()),"")</x:f>
      </x:c>
      <x:c r="I472" s="2" t="str">
        <x:v>RPC: данные не загружены</x:v>
      </x:c>
      <x:c r="J472" s="2"/>
      <x:c r="K472" s="9"/>
      <x:c r="L472" s="2"/>
      <x:c r="M472" s="2"/>
      <x:c r="N472" s="2"/>
      <x:c r="O472" s="2"/>
      <x:c r="P472" s="2" t="str">
        <x:v>not_cached:getSignaturesForAddress:history/74d9a93e61a89e1d1e6e235c</x:v>
      </x:c>
      <x:c r="Q472" s="2" t="str"/>
      <x:c r="R472" s="14" t="str">
        <x:f>IF(AND(C472="Нулевой остаток",I472="Есть цена"),G472,"")</x:f>
      </x:c>
      <x:c r="S472" s="14" t="str">
        <x:f>IF(AND(C472="Докупка",I472="Есть цена"),G472,"")</x:f>
      </x:c>
    </x:row>
    <x:row r="473" ht="21" customHeight="1">
      <x:c r="A473" s="2" t="n">
        <x:v>47</x:v>
      </x:c>
      <x:c r="B473" s="2" t="n">
        <x:v>300</x:v>
      </x:c>
      <x:c r="C473" s="2" t="str">
        <x:f>'Покупки'!C54</x:f>
        <x:v>Докупка</x:v>
      </x:c>
      <x:c r="D473" s="9" t="n">
        <x:v>46281.74013888889</x:v>
      </x:c>
      <x:c r="E473" s="12"/>
      <x:c r="F473" s="12" t="n">
        <x:f>'Покупки'!H54</x:f>
        <x:v>0.15868369350548825</x:v>
      </x:c>
      <x:c r="G473" s="14" t="str">
        <x:f>IF(I473="Есть цена",IF(AND(ISNUMBER(E473),E473&gt;0,F473&gt;0),E473/F473-1,NA()),"")</x:f>
      </x:c>
      <x:c r="H473" s="14" t="str">
        <x:f>IF(AND(I473="Есть цена",I468="Есть цена"),IF(AND(E473&gt;0,E468&gt;0),E473/E468-1,NA()),"")</x:f>
      </x:c>
      <x:c r="I473" s="2" t="str">
        <x:v>RPC: данные не загружены</x:v>
      </x:c>
      <x:c r="J473" s="2"/>
      <x:c r="K473" s="9"/>
      <x:c r="L473" s="2"/>
      <x:c r="M473" s="2"/>
      <x:c r="N473" s="2"/>
      <x:c r="O473" s="2"/>
      <x:c r="P473" s="2" t="str">
        <x:v>not_cached:getSignaturesForAddress:history/e5192986ae1ec146de66fbe1</x:v>
      </x:c>
      <x:c r="Q473" s="2" t="str"/>
      <x:c r="R473" s="14" t="str">
        <x:f>IF(AND(C473="Нулевой остаток",I473="Есть цена"),G473,"")</x:f>
      </x:c>
      <x:c r="S473" s="14" t="str">
        <x:f>IF(AND(C473="Докупка",I473="Есть цена"),G473,"")</x:f>
      </x:c>
    </x:row>
    <x:row r="474" ht="21" customHeight="1">
      <x:c r="A474" s="2" t="n">
        <x:v>47</x:v>
      </x:c>
      <x:c r="B474" s="2" t="n">
        <x:v>900</x:v>
      </x:c>
      <x:c r="C474" s="2" t="str">
        <x:f>'Покупки'!C54</x:f>
        <x:v>Докупка</x:v>
      </x:c>
      <x:c r="D474" s="9" t="n">
        <x:v>46281.747083333335</x:v>
      </x:c>
      <x:c r="E474" s="12"/>
      <x:c r="F474" s="12" t="n">
        <x:f>'Покупки'!H54</x:f>
        <x:v>0.15868369350548825</x:v>
      </x:c>
      <x:c r="G474" s="14" t="str">
        <x:f>IF(I474="Есть цена",IF(AND(ISNUMBER(E474),E474&gt;0,F474&gt;0),E474/F474-1,NA()),"")</x:f>
      </x:c>
      <x:c r="H474" s="14" t="str">
        <x:f>IF(AND(I474="Есть цена",I468="Есть цена"),IF(AND(E474&gt;0,E468&gt;0),E474/E468-1,NA()),"")</x:f>
      </x:c>
      <x:c r="I474" s="2" t="str">
        <x:v>RPC: данные не загружены</x:v>
      </x:c>
      <x:c r="J474" s="2"/>
      <x:c r="K474" s="9"/>
      <x:c r="L474" s="2"/>
      <x:c r="M474" s="2"/>
      <x:c r="N474" s="2"/>
      <x:c r="O474" s="2"/>
      <x:c r="P474" s="2" t="str">
        <x:v>not_cached:getSignaturesForAddress:history/64fdcb9ef944c8855b364fec</x:v>
      </x:c>
      <x:c r="Q474" s="2" t="str"/>
      <x:c r="R474" s="14" t="str">
        <x:f>IF(AND(C474="Нулевой остаток",I474="Есть цена"),G474,"")</x:f>
      </x:c>
      <x:c r="S474" s="14" t="str">
        <x:f>IF(AND(C474="Докупка",I474="Есть цена"),G474,"")</x:f>
      </x:c>
    </x:row>
    <x:row r="475" ht="21" customHeight="1">
      <x:c r="A475" s="2" t="n">
        <x:v>47</x:v>
      </x:c>
      <x:c r="B475" s="2" t="n">
        <x:v>3600</x:v>
      </x:c>
      <x:c r="C475" s="2" t="str">
        <x:f>'Покупки'!C54</x:f>
        <x:v>Докупка</x:v>
      </x:c>
      <x:c r="D475" s="9" t="n">
        <x:v>46281.778333333335</x:v>
      </x:c>
      <x:c r="E475" s="12"/>
      <x:c r="F475" s="12" t="n">
        <x:f>'Покупки'!H54</x:f>
        <x:v>0.15868369350548825</x:v>
      </x:c>
      <x:c r="G475" s="14" t="str">
        <x:f>IF(I475="Есть цена",IF(AND(ISNUMBER(E475),E475&gt;0,F475&gt;0),E475/F475-1,NA()),"")</x:f>
      </x:c>
      <x:c r="H475" s="14" t="str">
        <x:f>IF(AND(I475="Есть цена",I468="Есть цена"),IF(AND(E475&gt;0,E468&gt;0),E475/E468-1,NA()),"")</x:f>
      </x:c>
      <x:c r="I475" s="2" t="str">
        <x:v>RPC: данные не загружены</x:v>
      </x:c>
      <x:c r="J475" s="2"/>
      <x:c r="K475" s="9"/>
      <x:c r="L475" s="2"/>
      <x:c r="M475" s="2"/>
      <x:c r="N475" s="2"/>
      <x:c r="O475" s="2"/>
      <x:c r="P475" s="2" t="str">
        <x:v>not_cached:getSignaturesForAddress:history/59b029e7db89d1911119552f</x:v>
      </x:c>
      <x:c r="Q475" s="2" t="str"/>
      <x:c r="R475" s="14" t="str">
        <x:f>IF(AND(C475="Нулевой остаток",I475="Есть цена"),G475,"")</x:f>
      </x:c>
      <x:c r="S475" s="14" t="str">
        <x:f>IF(AND(C475="Докупка",I475="Есть цена"),G475,"")</x:f>
      </x:c>
    </x:row>
    <x:row r="476" ht="21" customHeight="1">
      <x:c r="A476" s="2" t="n">
        <x:v>47</x:v>
      </x:c>
      <x:c r="B476" s="2" t="n">
        <x:v>21600</x:v>
      </x:c>
      <x:c r="C476" s="2" t="str">
        <x:f>'Покупки'!C54</x:f>
        <x:v>Докупка</x:v>
      </x:c>
      <x:c r="D476" s="9" t="n">
        <x:v>46281.986666666664</x:v>
      </x:c>
      <x:c r="E476" s="12"/>
      <x:c r="F476" s="12" t="n">
        <x:f>'Покупки'!H54</x:f>
        <x:v>0.15868369350548825</x:v>
      </x:c>
      <x:c r="G476" s="14" t="str">
        <x:f>IF(I476="Есть цена",IF(AND(ISNUMBER(E476),E476&gt;0,F476&gt;0),E476/F476-1,NA()),"")</x:f>
      </x:c>
      <x:c r="H476" s="14" t="str">
        <x:f>IF(AND(I476="Есть цена",I468="Есть цена"),IF(AND(E476&gt;0,E468&gt;0),E476/E468-1,NA()),"")</x:f>
      </x:c>
      <x:c r="I476" s="2" t="str">
        <x:v>RPC: данные не загружены</x:v>
      </x:c>
      <x:c r="J476" s="2"/>
      <x:c r="K476" s="9"/>
      <x:c r="L476" s="2"/>
      <x:c r="M476" s="2"/>
      <x:c r="N476" s="2"/>
      <x:c r="O476" s="2"/>
      <x:c r="P476" s="2" t="str">
        <x:v>not_cached:getSignaturesForAddress:history/e3dcdf4649cd0caa256c4828</x:v>
      </x:c>
      <x:c r="Q476" s="2" t="str"/>
      <x:c r="R476" s="14" t="str">
        <x:f>IF(AND(C476="Нулевой остаток",I476="Есть цена"),G476,"")</x:f>
      </x:c>
      <x:c r="S476" s="14" t="str">
        <x:f>IF(AND(C476="Докупка",I476="Есть цена"),G476,"")</x:f>
      </x:c>
    </x:row>
    <x:row r="477" ht="21" customHeight="1">
      <x:c r="A477" s="2" t="n">
        <x:v>47</x:v>
      </x:c>
      <x:c r="B477" s="2" t="n">
        <x:v>86400</x:v>
      </x:c>
      <x:c r="C477" s="2" t="str">
        <x:f>'Покупки'!C54</x:f>
        <x:v>Докупка</x:v>
      </x:c>
      <x:c r="D477" s="9" t="n">
        <x:v>46282.736666666664</x:v>
      </x:c>
      <x:c r="E477" s="12"/>
      <x:c r="F477" s="12" t="n">
        <x:f>'Покупки'!H54</x:f>
        <x:v>0.15868369350548825</x:v>
      </x:c>
      <x:c r="G477" s="14" t="str">
        <x:f>IF(I477="Есть цена",IF(AND(ISNUMBER(E477),E477&gt;0,F477&gt;0),E477/F477-1,NA()),"")</x:f>
      </x:c>
      <x:c r="H477" s="14" t="str">
        <x:f>IF(AND(I477="Есть цена",I468="Есть цена"),IF(AND(E477&gt;0,E468&gt;0),E477/E468-1,NA()),"")</x:f>
      </x:c>
      <x:c r="I477" s="2" t="str">
        <x:v>RPC: данные не загружены</x:v>
      </x:c>
      <x:c r="J477" s="2"/>
      <x:c r="K477" s="9"/>
      <x:c r="L477" s="2"/>
      <x:c r="M477" s="2"/>
      <x:c r="N477" s="2"/>
      <x:c r="O477" s="2"/>
      <x:c r="P477" s="2" t="str">
        <x:v>not_cached:getSignaturesForAddress:history/7e78136cefc26291b0606244</x:v>
      </x:c>
      <x:c r="Q477" s="2" t="str"/>
      <x:c r="R477" s="14" t="str">
        <x:f>IF(AND(C477="Нулевой остаток",I477="Есть цена"),G477,"")</x:f>
      </x:c>
      <x:c r="S477" s="14" t="str">
        <x:f>IF(AND(C477="Докупка",I477="Есть цена"),G477,"")</x:f>
      </x:c>
    </x:row>
    <x:row r="478" ht="21" customHeight="1">
      <x:c r="A478" s="2" t="n">
        <x:v>48</x:v>
      </x:c>
      <x:c r="B478" s="2" t="n">
        <x:v>5</x:v>
      </x:c>
      <x:c r="C478" s="2" t="str">
        <x:f>'Покупки'!C55</x:f>
        <x:v>Докупка</x:v>
      </x:c>
      <x:c r="D478" s="9" t="n">
        <x:v>46281.73222222222</x:v>
      </x:c>
      <x:c r="E478" s="12"/>
      <x:c r="F478" s="12" t="n">
        <x:f>'Покупки'!H55</x:f>
        <x:v>0.15934494987328982</x:v>
      </x:c>
      <x:c r="G478" s="14" t="str">
        <x:f>IF(I478="Есть цена",IF(AND(ISNUMBER(E478),E478&gt;0,F478&gt;0),E478/F478-1,NA()),"")</x:f>
      </x:c>
      <x:c r="H478" s="14" t="str">
        <x:f>IF(AND(I478="Есть цена",I478="Есть цена"),IF(AND(E478&gt;0,E478&gt;0),E478/E478-1,NA()),"")</x:f>
      </x:c>
      <x:c r="I478" s="2" t="str">
        <x:v>RPC: данные не загружены</x:v>
      </x:c>
      <x:c r="J478" s="2"/>
      <x:c r="K478" s="9"/>
      <x:c r="L478" s="2"/>
      <x:c r="M478" s="2"/>
      <x:c r="N478" s="2"/>
      <x:c r="O478" s="2"/>
      <x:c r="P478" s="2" t="str">
        <x:v>not_cached:getSignaturesForAddress:history/c29f7ac6c48ae0b91ecbbc16</x:v>
      </x:c>
      <x:c r="Q478" s="2" t="str"/>
      <x:c r="R478" s="14" t="str">
        <x:f>IF(AND(C478="Нулевой остаток",I478="Есть цена"),G478,"")</x:f>
      </x:c>
      <x:c r="S478" s="14" t="str">
        <x:f>IF(AND(C478="Докупка",I478="Есть цена"),G478,"")</x:f>
      </x:c>
    </x:row>
    <x:row r="479" ht="21" customHeight="1">
      <x:c r="A479" s="2" t="n">
        <x:v>48</x:v>
      </x:c>
      <x:c r="B479" s="2" t="n">
        <x:v>15</x:v>
      </x:c>
      <x:c r="C479" s="2" t="str">
        <x:f>'Покупки'!C55</x:f>
        <x:v>Докупка</x:v>
      </x:c>
      <x:c r="D479" s="9" t="n">
        <x:v>46281.73233796296</x:v>
      </x:c>
      <x:c r="E479" s="12"/>
      <x:c r="F479" s="12" t="n">
        <x:f>'Покупки'!H55</x:f>
        <x:v>0.15934494987328982</x:v>
      </x:c>
      <x:c r="G479" s="14" t="str">
        <x:f>IF(I479="Есть цена",IF(AND(ISNUMBER(E479),E479&gt;0,F479&gt;0),E479/F479-1,NA()),"")</x:f>
      </x:c>
      <x:c r="H479" s="14" t="str">
        <x:f>IF(AND(I479="Есть цена",I478="Есть цена"),IF(AND(E479&gt;0,E478&gt;0),E479/E478-1,NA()),"")</x:f>
      </x:c>
      <x:c r="I479" s="2" t="str">
        <x:v>RPC: данные не загружены</x:v>
      </x:c>
      <x:c r="J479" s="2"/>
      <x:c r="K479" s="9"/>
      <x:c r="L479" s="2"/>
      <x:c r="M479" s="2"/>
      <x:c r="N479" s="2"/>
      <x:c r="O479" s="2"/>
      <x:c r="P479" s="2" t="str">
        <x:v>not_cached:getSignaturesForAddress:history/c29f7ac6c48ae0b91ecbbc16</x:v>
      </x:c>
      <x:c r="Q479" s="2" t="str"/>
      <x:c r="R479" s="14" t="str">
        <x:f>IF(AND(C479="Нулевой остаток",I479="Есть цена"),G479,"")</x:f>
      </x:c>
      <x:c r="S479" s="14" t="str">
        <x:f>IF(AND(C479="Докупка",I479="Есть цена"),G479,"")</x:f>
      </x:c>
    </x:row>
    <x:row r="480" ht="21" customHeight="1">
      <x:c r="A480" s="2" t="n">
        <x:v>48</x:v>
      </x:c>
      <x:c r="B480" s="2" t="n">
        <x:v>30</x:v>
      </x:c>
      <x:c r="C480" s="2" t="str">
        <x:f>'Покупки'!C55</x:f>
        <x:v>Докупка</x:v>
      </x:c>
      <x:c r="D480" s="9" t="n">
        <x:v>46281.732511574075</x:v>
      </x:c>
      <x:c r="E480" s="12"/>
      <x:c r="F480" s="12" t="n">
        <x:f>'Покупки'!H55</x:f>
        <x:v>0.15934494987328982</x:v>
      </x:c>
      <x:c r="G480" s="14" t="str">
        <x:f>IF(I480="Есть цена",IF(AND(ISNUMBER(E480),E480&gt;0,F480&gt;0),E480/F480-1,NA()),"")</x:f>
      </x:c>
      <x:c r="H480" s="14" t="str">
        <x:f>IF(AND(I480="Есть цена",I478="Есть цена"),IF(AND(E480&gt;0,E478&gt;0),E480/E478-1,NA()),"")</x:f>
      </x:c>
      <x:c r="I480" s="2" t="str">
        <x:v>RPC: данные не загружены</x:v>
      </x:c>
      <x:c r="J480" s="2"/>
      <x:c r="K480" s="9"/>
      <x:c r="L480" s="2"/>
      <x:c r="M480" s="2"/>
      <x:c r="N480" s="2"/>
      <x:c r="O480" s="2"/>
      <x:c r="P480" s="2" t="str">
        <x:v>not_cached:getSignaturesForAddress:history/c29f7ac6c48ae0b91ecbbc16</x:v>
      </x:c>
      <x:c r="Q480" s="2" t="str"/>
      <x:c r="R480" s="14" t="str">
        <x:f>IF(AND(C480="Нулевой остаток",I480="Есть цена"),G480,"")</x:f>
      </x:c>
      <x:c r="S480" s="14" t="str">
        <x:f>IF(AND(C480="Докупка",I480="Есть цена"),G480,"")</x:f>
      </x:c>
    </x:row>
    <x:row r="481" ht="21" customHeight="1">
      <x:c r="A481" s="2" t="n">
        <x:v>48</x:v>
      </x:c>
      <x:c r="B481" s="2" t="n">
        <x:v>60</x:v>
      </x:c>
      <x:c r="C481" s="2" t="str">
        <x:f>'Покупки'!C55</x:f>
        <x:v>Докупка</x:v>
      </x:c>
      <x:c r="D481" s="9" t="n">
        <x:v>46281.7328587963</x:v>
      </x:c>
      <x:c r="E481" s="12"/>
      <x:c r="F481" s="12" t="n">
        <x:f>'Покупки'!H55</x:f>
        <x:v>0.15934494987328982</x:v>
      </x:c>
      <x:c r="G481" s="14" t="str">
        <x:f>IF(I481="Есть цена",IF(AND(ISNUMBER(E481),E481&gt;0,F481&gt;0),E481/F481-1,NA()),"")</x:f>
      </x:c>
      <x:c r="H481" s="14" t="str">
        <x:f>IF(AND(I481="Есть цена",I478="Есть цена"),IF(AND(E481&gt;0,E478&gt;0),E481/E478-1,NA()),"")</x:f>
      </x:c>
      <x:c r="I481" s="2" t="str">
        <x:v>RPC: данные не загружены</x:v>
      </x:c>
      <x:c r="J481" s="2"/>
      <x:c r="K481" s="9"/>
      <x:c r="L481" s="2"/>
      <x:c r="M481" s="2"/>
      <x:c r="N481" s="2"/>
      <x:c r="O481" s="2"/>
      <x:c r="P481" s="2" t="str">
        <x:v>not_cached:getSignaturesForAddress:history/c29f7ac6c48ae0b91ecbbc16</x:v>
      </x:c>
      <x:c r="Q481" s="2" t="str"/>
      <x:c r="R481" s="14" t="str">
        <x:f>IF(AND(C481="Нулевой остаток",I481="Есть цена"),G481,"")</x:f>
      </x:c>
      <x:c r="S481" s="14" t="str">
        <x:f>IF(AND(C481="Докупка",I481="Есть цена"),G481,"")</x:f>
      </x:c>
    </x:row>
    <x:row r="482" ht="21" customHeight="1">
      <x:c r="A482" s="2" t="n">
        <x:v>48</x:v>
      </x:c>
      <x:c r="B482" s="2" t="n">
        <x:v>180</x:v>
      </x:c>
      <x:c r="C482" s="2" t="str">
        <x:f>'Покупки'!C55</x:f>
        <x:v>Докупка</x:v>
      </x:c>
      <x:c r="D482" s="9" t="n">
        <x:v>46281.734247685185</x:v>
      </x:c>
      <x:c r="E482" s="12"/>
      <x:c r="F482" s="12" t="n">
        <x:f>'Покупки'!H55</x:f>
        <x:v>0.15934494987328982</x:v>
      </x:c>
      <x:c r="G482" s="14" t="str">
        <x:f>IF(I482="Есть цена",IF(AND(ISNUMBER(E482),E482&gt;0,F482&gt;0),E482/F482-1,NA()),"")</x:f>
      </x:c>
      <x:c r="H482" s="14" t="str">
        <x:f>IF(AND(I482="Есть цена",I478="Есть цена"),IF(AND(E482&gt;0,E478&gt;0),E482/E478-1,NA()),"")</x:f>
      </x:c>
      <x:c r="I482" s="2" t="str">
        <x:v>RPC: данные не загружены</x:v>
      </x:c>
      <x:c r="J482" s="2"/>
      <x:c r="K482" s="9"/>
      <x:c r="L482" s="2"/>
      <x:c r="M482" s="2"/>
      <x:c r="N482" s="2"/>
      <x:c r="O482" s="2"/>
      <x:c r="P482" s="2" t="str">
        <x:v>not_cached:getSignaturesForAddress:history/c29f7ac6c48ae0b91ecbbc16</x:v>
      </x:c>
      <x:c r="Q482" s="2" t="str"/>
      <x:c r="R482" s="14" t="str">
        <x:f>IF(AND(C482="Нулевой остаток",I482="Есть цена"),G482,"")</x:f>
      </x:c>
      <x:c r="S482" s="14" t="str">
        <x:f>IF(AND(C482="Докупка",I482="Есть цена"),G482,"")</x:f>
      </x:c>
    </x:row>
    <x:row r="483" ht="21" customHeight="1">
      <x:c r="A483" s="2" t="n">
        <x:v>48</x:v>
      </x:c>
      <x:c r="B483" s="2" t="n">
        <x:v>300</x:v>
      </x:c>
      <x:c r="C483" s="2" t="str">
        <x:f>'Покупки'!C55</x:f>
        <x:v>Докупка</x:v>
      </x:c>
      <x:c r="D483" s="9" t="n">
        <x:v>46281.73563657407</x:v>
      </x:c>
      <x:c r="E483" s="12"/>
      <x:c r="F483" s="12" t="n">
        <x:f>'Покупки'!H55</x:f>
        <x:v>0.15934494987328982</x:v>
      </x:c>
      <x:c r="G483" s="14" t="str">
        <x:f>IF(I483="Есть цена",IF(AND(ISNUMBER(E483),E483&gt;0,F483&gt;0),E483/F483-1,NA()),"")</x:f>
      </x:c>
      <x:c r="H483" s="14" t="str">
        <x:f>IF(AND(I483="Есть цена",I478="Есть цена"),IF(AND(E483&gt;0,E478&gt;0),E483/E478-1,NA()),"")</x:f>
      </x:c>
      <x:c r="I483" s="2" t="str">
        <x:v>RPC: данные не загружены</x:v>
      </x:c>
      <x:c r="J483" s="2"/>
      <x:c r="K483" s="9"/>
      <x:c r="L483" s="2"/>
      <x:c r="M483" s="2"/>
      <x:c r="N483" s="2"/>
      <x:c r="O483" s="2"/>
      <x:c r="P483" s="2" t="str">
        <x:v>not_cached:getSignaturesForAddress:history/c29f7ac6c48ae0b91ecbbc16</x:v>
      </x:c>
      <x:c r="Q483" s="2" t="str"/>
      <x:c r="R483" s="14" t="str">
        <x:f>IF(AND(C483="Нулевой остаток",I483="Есть цена"),G483,"")</x:f>
      </x:c>
      <x:c r="S483" s="14" t="str">
        <x:f>IF(AND(C483="Докупка",I483="Есть цена"),G483,"")</x:f>
      </x:c>
    </x:row>
    <x:row r="484" ht="21" customHeight="1">
      <x:c r="A484" s="2" t="n">
        <x:v>48</x:v>
      </x:c>
      <x:c r="B484" s="2" t="n">
        <x:v>900</x:v>
      </x:c>
      <x:c r="C484" s="2" t="str">
        <x:f>'Покупки'!C55</x:f>
        <x:v>Докупка</x:v>
      </x:c>
      <x:c r="D484" s="9" t="n">
        <x:v>46281.742581018516</x:v>
      </x:c>
      <x:c r="E484" s="12"/>
      <x:c r="F484" s="12" t="n">
        <x:f>'Покупки'!H55</x:f>
        <x:v>0.15934494987328982</x:v>
      </x:c>
      <x:c r="G484" s="14" t="str">
        <x:f>IF(I484="Есть цена",IF(AND(ISNUMBER(E484),E484&gt;0,F484&gt;0),E484/F484-1,NA()),"")</x:f>
      </x:c>
      <x:c r="H484" s="14" t="str">
        <x:f>IF(AND(I484="Есть цена",I478="Есть цена"),IF(AND(E484&gt;0,E478&gt;0),E484/E478-1,NA()),"")</x:f>
      </x:c>
      <x:c r="I484" s="2" t="str">
        <x:v>RPC: данные не загружены</x:v>
      </x:c>
      <x:c r="J484" s="2"/>
      <x:c r="K484" s="9"/>
      <x:c r="L484" s="2"/>
      <x:c r="M484" s="2"/>
      <x:c r="N484" s="2"/>
      <x:c r="O484" s="2"/>
      <x:c r="P484" s="2" t="str">
        <x:v>not_cached:getSignaturesForAddress:history/bef7c00b611213cd1b583079</x:v>
      </x:c>
      <x:c r="Q484" s="2" t="str"/>
      <x:c r="R484" s="14" t="str">
        <x:f>IF(AND(C484="Нулевой остаток",I484="Есть цена"),G484,"")</x:f>
      </x:c>
      <x:c r="S484" s="14" t="str">
        <x:f>IF(AND(C484="Докупка",I484="Есть цена"),G484,"")</x:f>
      </x:c>
    </x:row>
    <x:row r="485" ht="21" customHeight="1">
      <x:c r="A485" s="2" t="n">
        <x:v>48</x:v>
      </x:c>
      <x:c r="B485" s="2" t="n">
        <x:v>3600</x:v>
      </x:c>
      <x:c r="C485" s="2" t="str">
        <x:f>'Покупки'!C55</x:f>
        <x:v>Докупка</x:v>
      </x:c>
      <x:c r="D485" s="9" t="n">
        <x:v>46281.773831018516</x:v>
      </x:c>
      <x:c r="E485" s="12"/>
      <x:c r="F485" s="12" t="n">
        <x:f>'Покупки'!H55</x:f>
        <x:v>0.15934494987328982</x:v>
      </x:c>
      <x:c r="G485" s="14" t="str">
        <x:f>IF(I485="Есть цена",IF(AND(ISNUMBER(E485),E485&gt;0,F485&gt;0),E485/F485-1,NA()),"")</x:f>
      </x:c>
      <x:c r="H485" s="14" t="str">
        <x:f>IF(AND(I485="Есть цена",I478="Есть цена"),IF(AND(E485&gt;0,E478&gt;0),E485/E478-1,NA()),"")</x:f>
      </x:c>
      <x:c r="I485" s="2" t="str">
        <x:v>RPC: данные не загружены</x:v>
      </x:c>
      <x:c r="J485" s="2"/>
      <x:c r="K485" s="9"/>
      <x:c r="L485" s="2"/>
      <x:c r="M485" s="2"/>
      <x:c r="N485" s="2"/>
      <x:c r="O485" s="2"/>
      <x:c r="P485" s="2" t="str">
        <x:v>not_cached:getSignaturesForAddress:history/310734c97916be6b5c33f5a1</x:v>
      </x:c>
      <x:c r="Q485" s="2" t="str"/>
      <x:c r="R485" s="14" t="str">
        <x:f>IF(AND(C485="Нулевой остаток",I485="Есть цена"),G485,"")</x:f>
      </x:c>
      <x:c r="S485" s="14" t="str">
        <x:f>IF(AND(C485="Докупка",I485="Есть цена"),G485,"")</x:f>
      </x:c>
    </x:row>
    <x:row r="486" ht="21" customHeight="1">
      <x:c r="A486" s="2" t="n">
        <x:v>48</x:v>
      </x:c>
      <x:c r="B486" s="2" t="n">
        <x:v>21600</x:v>
      </x:c>
      <x:c r="C486" s="2" t="str">
        <x:f>'Покупки'!C55</x:f>
        <x:v>Докупка</x:v>
      </x:c>
      <x:c r="D486" s="9" t="n">
        <x:v>46281.98216435185</x:v>
      </x:c>
      <x:c r="E486" s="12"/>
      <x:c r="F486" s="12" t="n">
        <x:f>'Покупки'!H55</x:f>
        <x:v>0.15934494987328982</x:v>
      </x:c>
      <x:c r="G486" s="14" t="str">
        <x:f>IF(I486="Есть цена",IF(AND(ISNUMBER(E486),E486&gt;0,F486&gt;0),E486/F486-1,NA()),"")</x:f>
      </x:c>
      <x:c r="H486" s="14" t="str">
        <x:f>IF(AND(I486="Есть цена",I478="Есть цена"),IF(AND(E486&gt;0,E478&gt;0),E486/E478-1,NA()),"")</x:f>
      </x:c>
      <x:c r="I486" s="2" t="str">
        <x:v>RPC: данные не загружены</x:v>
      </x:c>
      <x:c r="J486" s="2"/>
      <x:c r="K486" s="9"/>
      <x:c r="L486" s="2"/>
      <x:c r="M486" s="2"/>
      <x:c r="N486" s="2"/>
      <x:c r="O486" s="2"/>
      <x:c r="P486" s="2" t="str">
        <x:v>not_cached:getSignaturesForAddress:history/593f50d80ede2f6dc49a5396</x:v>
      </x:c>
      <x:c r="Q486" s="2" t="str"/>
      <x:c r="R486" s="14" t="str">
        <x:f>IF(AND(C486="Нулевой остаток",I486="Есть цена"),G486,"")</x:f>
      </x:c>
      <x:c r="S486" s="14" t="str">
        <x:f>IF(AND(C486="Докупка",I486="Есть цена"),G486,"")</x:f>
      </x:c>
    </x:row>
    <x:row r="487" ht="21" customHeight="1">
      <x:c r="A487" s="2" t="n">
        <x:v>48</x:v>
      </x:c>
      <x:c r="B487" s="2" t="n">
        <x:v>86400</x:v>
      </x:c>
      <x:c r="C487" s="2" t="str">
        <x:f>'Покупки'!C55</x:f>
        <x:v>Докупка</x:v>
      </x:c>
      <x:c r="D487" s="9" t="n">
        <x:v>46282.73216435185</x:v>
      </x:c>
      <x:c r="E487" s="12"/>
      <x:c r="F487" s="12" t="n">
        <x:f>'Покупки'!H55</x:f>
        <x:v>0.15934494987328982</x:v>
      </x:c>
      <x:c r="G487" s="14" t="str">
        <x:f>IF(I487="Есть цена",IF(AND(ISNUMBER(E487),E487&gt;0,F487&gt;0),E487/F487-1,NA()),"")</x:f>
      </x:c>
      <x:c r="H487" s="14" t="str">
        <x:f>IF(AND(I487="Есть цена",I478="Есть цена"),IF(AND(E487&gt;0,E478&gt;0),E487/E478-1,NA()),"")</x:f>
      </x:c>
      <x:c r="I487" s="2" t="str">
        <x:v>RPC: данные не загружены</x:v>
      </x:c>
      <x:c r="J487" s="2"/>
      <x:c r="K487" s="9"/>
      <x:c r="L487" s="2"/>
      <x:c r="M487" s="2"/>
      <x:c r="N487" s="2"/>
      <x:c r="O487" s="2"/>
      <x:c r="P487" s="2" t="str">
        <x:v>not_cached:getSignaturesForAddress:history/2075ba81aa2b2d205f7c87a0</x:v>
      </x:c>
      <x:c r="Q487" s="2" t="str"/>
      <x:c r="R487" s="14" t="str">
        <x:f>IF(AND(C487="Нулевой остаток",I487="Есть цена"),G487,"")</x:f>
      </x:c>
      <x:c r="S487" s="14" t="str">
        <x:f>IF(AND(C487="Докупка",I487="Есть цена"),G487,"")</x:f>
      </x:c>
    </x:row>
    <x:row r="488" ht="21" customHeight="1">
      <x:c r="A488" s="2" t="n">
        <x:v>49</x:v>
      </x:c>
      <x:c r="B488" s="2" t="n">
        <x:v>5</x:v>
      </x:c>
      <x:c r="C488" s="2" t="str">
        <x:f>'Покупки'!C56</x:f>
        <x:v>Докупка</x:v>
      </x:c>
      <x:c r="D488" s="9" t="n">
        <x:v>46281.69042824074</x:v>
      </x:c>
      <x:c r="E488" s="12"/>
      <x:c r="F488" s="12" t="n">
        <x:f>'Покупки'!H56</x:f>
        <x:v>0.16768326748014842</x:v>
      </x:c>
      <x:c r="G488" s="14" t="str">
        <x:f>IF(I488="Есть цена",IF(AND(ISNUMBER(E488),E488&gt;0,F488&gt;0),E488/F488-1,NA()),"")</x:f>
      </x:c>
      <x:c r="H488" s="14" t="str">
        <x:f>IF(AND(I488="Есть цена",I488="Есть цена"),IF(AND(E488&gt;0,E488&gt;0),E488/E488-1,NA()),"")</x:f>
      </x:c>
      <x:c r="I488" s="2" t="str">
        <x:v>RPC: данные не загружены</x:v>
      </x:c>
      <x:c r="J488" s="2"/>
      <x:c r="K488" s="9"/>
      <x:c r="L488" s="2"/>
      <x:c r="M488" s="2"/>
      <x:c r="N488" s="2"/>
      <x:c r="O488" s="2"/>
      <x:c r="P488" s="2" t="str">
        <x:v>not_cached:getSignaturesForAddress:history/2e729f29a98e5e56341a0258</x:v>
      </x:c>
      <x:c r="Q488" s="2" t="str"/>
      <x:c r="R488" s="14" t="str">
        <x:f>IF(AND(C488="Нулевой остаток",I488="Есть цена"),G488,"")</x:f>
      </x:c>
      <x:c r="S488" s="14" t="str">
        <x:f>IF(AND(C488="Докупка",I488="Есть цена"),G488,"")</x:f>
      </x:c>
    </x:row>
    <x:row r="489" ht="21" customHeight="1">
      <x:c r="A489" s="2" t="n">
        <x:v>49</x:v>
      </x:c>
      <x:c r="B489" s="2" t="n">
        <x:v>15</x:v>
      </x:c>
      <x:c r="C489" s="2" t="str">
        <x:f>'Покупки'!C56</x:f>
        <x:v>Докупка</x:v>
      </x:c>
      <x:c r="D489" s="9" t="n">
        <x:v>46281.69054398148</x:v>
      </x:c>
      <x:c r="E489" s="12"/>
      <x:c r="F489" s="12" t="n">
        <x:f>'Покупки'!H56</x:f>
        <x:v>0.16768326748014842</x:v>
      </x:c>
      <x:c r="G489" s="14" t="str">
        <x:f>IF(I489="Есть цена",IF(AND(ISNUMBER(E489),E489&gt;0,F489&gt;0),E489/F489-1,NA()),"")</x:f>
      </x:c>
      <x:c r="H489" s="14" t="str">
        <x:f>IF(AND(I489="Есть цена",I488="Есть цена"),IF(AND(E489&gt;0,E488&gt;0),E489/E488-1,NA()),"")</x:f>
      </x:c>
      <x:c r="I489" s="2" t="str">
        <x:v>RPC: данные не загружены</x:v>
      </x:c>
      <x:c r="J489" s="2"/>
      <x:c r="K489" s="9"/>
      <x:c r="L489" s="2"/>
      <x:c r="M489" s="2"/>
      <x:c r="N489" s="2"/>
      <x:c r="O489" s="2"/>
      <x:c r="P489" s="2" t="str">
        <x:v>not_cached:getSignaturesForAddress:history/2e729f29a98e5e56341a0258</x:v>
      </x:c>
      <x:c r="Q489" s="2" t="str"/>
      <x:c r="R489" s="14" t="str">
        <x:f>IF(AND(C489="Нулевой остаток",I489="Есть цена"),G489,"")</x:f>
      </x:c>
      <x:c r="S489" s="14" t="str">
        <x:f>IF(AND(C489="Докупка",I489="Есть цена"),G489,"")</x:f>
      </x:c>
    </x:row>
    <x:row r="490" ht="21" customHeight="1">
      <x:c r="A490" s="2" t="n">
        <x:v>49</x:v>
      </x:c>
      <x:c r="B490" s="2" t="n">
        <x:v>30</x:v>
      </x:c>
      <x:c r="C490" s="2" t="str">
        <x:f>'Покупки'!C56</x:f>
        <x:v>Докупка</x:v>
      </x:c>
      <x:c r="D490" s="9" t="n">
        <x:v>46281.690717592595</x:v>
      </x:c>
      <x:c r="E490" s="12"/>
      <x:c r="F490" s="12" t="n">
        <x:f>'Покупки'!H56</x:f>
        <x:v>0.16768326748014842</x:v>
      </x:c>
      <x:c r="G490" s="14" t="str">
        <x:f>IF(I490="Есть цена",IF(AND(ISNUMBER(E490),E490&gt;0,F490&gt;0),E490/F490-1,NA()),"")</x:f>
      </x:c>
      <x:c r="H490" s="14" t="str">
        <x:f>IF(AND(I490="Есть цена",I488="Есть цена"),IF(AND(E490&gt;0,E488&gt;0),E490/E488-1,NA()),"")</x:f>
      </x:c>
      <x:c r="I490" s="2" t="str">
        <x:v>RPC: данные не загружены</x:v>
      </x:c>
      <x:c r="J490" s="2"/>
      <x:c r="K490" s="9"/>
      <x:c r="L490" s="2"/>
      <x:c r="M490" s="2"/>
      <x:c r="N490" s="2"/>
      <x:c r="O490" s="2"/>
      <x:c r="P490" s="2" t="str">
        <x:v>not_cached:getSignaturesForAddress:history/2e729f29a98e5e56341a0258</x:v>
      </x:c>
      <x:c r="Q490" s="2" t="str"/>
      <x:c r="R490" s="14" t="str">
        <x:f>IF(AND(C490="Нулевой остаток",I490="Есть цена"),G490,"")</x:f>
      </x:c>
      <x:c r="S490" s="14" t="str">
        <x:f>IF(AND(C490="Докупка",I490="Есть цена"),G490,"")</x:f>
      </x:c>
    </x:row>
    <x:row r="491" ht="21" customHeight="1">
      <x:c r="A491" s="2" t="n">
        <x:v>49</x:v>
      </x:c>
      <x:c r="B491" s="2" t="n">
        <x:v>60</x:v>
      </x:c>
      <x:c r="C491" s="2" t="str">
        <x:f>'Покупки'!C56</x:f>
        <x:v>Докупка</x:v>
      </x:c>
      <x:c r="D491" s="9" t="n">
        <x:v>46281.69106481481</x:v>
      </x:c>
      <x:c r="E491" s="12"/>
      <x:c r="F491" s="12" t="n">
        <x:f>'Покупки'!H56</x:f>
        <x:v>0.16768326748014842</x:v>
      </x:c>
      <x:c r="G491" s="14" t="str">
        <x:f>IF(I491="Есть цена",IF(AND(ISNUMBER(E491),E491&gt;0,F491&gt;0),E491/F491-1,NA()),"")</x:f>
      </x:c>
      <x:c r="H491" s="14" t="str">
        <x:f>IF(AND(I491="Есть цена",I488="Есть цена"),IF(AND(E491&gt;0,E488&gt;0),E491/E488-1,NA()),"")</x:f>
      </x:c>
      <x:c r="I491" s="2" t="str">
        <x:v>RPC: данные не загружены</x:v>
      </x:c>
      <x:c r="J491" s="2"/>
      <x:c r="K491" s="9"/>
      <x:c r="L491" s="2"/>
      <x:c r="M491" s="2"/>
      <x:c r="N491" s="2"/>
      <x:c r="O491" s="2"/>
      <x:c r="P491" s="2" t="str">
        <x:v>not_cached:getSignaturesForAddress:history/3e22ab7d6e1e97391e30accf</x:v>
      </x:c>
      <x:c r="Q491" s="2" t="str"/>
      <x:c r="R491" s="14" t="str">
        <x:f>IF(AND(C491="Нулевой остаток",I491="Есть цена"),G491,"")</x:f>
      </x:c>
      <x:c r="S491" s="14" t="str">
        <x:f>IF(AND(C491="Докупка",I491="Есть цена"),G491,"")</x:f>
      </x:c>
    </x:row>
    <x:row r="492" ht="21" customHeight="1">
      <x:c r="A492" s="2" t="n">
        <x:v>49</x:v>
      </x:c>
      <x:c r="B492" s="2" t="n">
        <x:v>180</x:v>
      </x:c>
      <x:c r="C492" s="2" t="str">
        <x:f>'Покупки'!C56</x:f>
        <x:v>Докупка</x:v>
      </x:c>
      <x:c r="D492" s="9" t="n">
        <x:v>46281.692453703705</x:v>
      </x:c>
      <x:c r="E492" s="12"/>
      <x:c r="F492" s="12" t="n">
        <x:f>'Покупки'!H56</x:f>
        <x:v>0.16768326748014842</x:v>
      </x:c>
      <x:c r="G492" s="14" t="str">
        <x:f>IF(I492="Есть цена",IF(AND(ISNUMBER(E492),E492&gt;0,F492&gt;0),E492/F492-1,NA()),"")</x:f>
      </x:c>
      <x:c r="H492" s="14" t="str">
        <x:f>IF(AND(I492="Есть цена",I488="Есть цена"),IF(AND(E492&gt;0,E488&gt;0),E492/E488-1,NA()),"")</x:f>
      </x:c>
      <x:c r="I492" s="2" t="str">
        <x:v>RPC: данные не загружены</x:v>
      </x:c>
      <x:c r="J492" s="2"/>
      <x:c r="K492" s="9"/>
      <x:c r="L492" s="2"/>
      <x:c r="M492" s="2"/>
      <x:c r="N492" s="2"/>
      <x:c r="O492" s="2"/>
      <x:c r="P492" s="2" t="str">
        <x:v>not_cached:getSignaturesForAddress:history/4e8aa5a9f7a211edc72ad98a</x:v>
      </x:c>
      <x:c r="Q492" s="2" t="str"/>
      <x:c r="R492" s="14" t="str">
        <x:f>IF(AND(C492="Нулевой остаток",I492="Есть цена"),G492,"")</x:f>
      </x:c>
      <x:c r="S492" s="14" t="str">
        <x:f>IF(AND(C492="Докупка",I492="Есть цена"),G492,"")</x:f>
      </x:c>
    </x:row>
    <x:row r="493" ht="21" customHeight="1">
      <x:c r="A493" s="2" t="n">
        <x:v>49</x:v>
      </x:c>
      <x:c r="B493" s="2" t="n">
        <x:v>300</x:v>
      </x:c>
      <x:c r="C493" s="2" t="str">
        <x:f>'Покупки'!C56</x:f>
        <x:v>Докупка</x:v>
      </x:c>
      <x:c r="D493" s="9" t="n">
        <x:v>46281.69384259259</x:v>
      </x:c>
      <x:c r="E493" s="12"/>
      <x:c r="F493" s="12" t="n">
        <x:f>'Покупки'!H56</x:f>
        <x:v>0.16768326748014842</x:v>
      </x:c>
      <x:c r="G493" s="14" t="str">
        <x:f>IF(I493="Есть цена",IF(AND(ISNUMBER(E493),E493&gt;0,F493&gt;0),E493/F493-1,NA()),"")</x:f>
      </x:c>
      <x:c r="H493" s="14" t="str">
        <x:f>IF(AND(I493="Есть цена",I488="Есть цена"),IF(AND(E493&gt;0,E488&gt;0),E493/E488-1,NA()),"")</x:f>
      </x:c>
      <x:c r="I493" s="2" t="str">
        <x:v>RPC: данные не загружены</x:v>
      </x:c>
      <x:c r="J493" s="2"/>
      <x:c r="K493" s="9"/>
      <x:c r="L493" s="2"/>
      <x:c r="M493" s="2"/>
      <x:c r="N493" s="2"/>
      <x:c r="O493" s="2"/>
      <x:c r="P493" s="2" t="str">
        <x:v>not_cached:getSignaturesForAddress:history/7026e41cee76dfd01b83d8a7</x:v>
      </x:c>
      <x:c r="Q493" s="2" t="str"/>
      <x:c r="R493" s="14" t="str">
        <x:f>IF(AND(C493="Нулевой остаток",I493="Есть цена"),G493,"")</x:f>
      </x:c>
      <x:c r="S493" s="14" t="str">
        <x:f>IF(AND(C493="Докупка",I493="Есть цена"),G493,"")</x:f>
      </x:c>
    </x:row>
    <x:row r="494" ht="21" customHeight="1">
      <x:c r="A494" s="2" t="n">
        <x:v>49</x:v>
      </x:c>
      <x:c r="B494" s="2" t="n">
        <x:v>900</x:v>
      </x:c>
      <x:c r="C494" s="2" t="str">
        <x:f>'Покупки'!C56</x:f>
        <x:v>Докупка</x:v>
      </x:c>
      <x:c r="D494" s="9" t="n">
        <x:v>46281.700787037036</x:v>
      </x:c>
      <x:c r="E494" s="12"/>
      <x:c r="F494" s="12" t="n">
        <x:f>'Покупки'!H56</x:f>
        <x:v>0.16768326748014842</x:v>
      </x:c>
      <x:c r="G494" s="14" t="str">
        <x:f>IF(I494="Есть цена",IF(AND(ISNUMBER(E494),E494&gt;0,F494&gt;0),E494/F494-1,NA()),"")</x:f>
      </x:c>
      <x:c r="H494" s="14" t="str">
        <x:f>IF(AND(I494="Есть цена",I488="Есть цена"),IF(AND(E494&gt;0,E488&gt;0),E494/E488-1,NA()),"")</x:f>
      </x:c>
      <x:c r="I494" s="2" t="str">
        <x:v>RPC: данные не загружены</x:v>
      </x:c>
      <x:c r="J494" s="2"/>
      <x:c r="K494" s="9"/>
      <x:c r="L494" s="2"/>
      <x:c r="M494" s="2"/>
      <x:c r="N494" s="2"/>
      <x:c r="O494" s="2"/>
      <x:c r="P494" s="2" t="str">
        <x:v>not_cached:getSignaturesForAddress:history/c74c184dda91dfb0b714ea33</x:v>
      </x:c>
      <x:c r="Q494" s="2" t="str"/>
      <x:c r="R494" s="14" t="str">
        <x:f>IF(AND(C494="Нулевой остаток",I494="Есть цена"),G494,"")</x:f>
      </x:c>
      <x:c r="S494" s="14" t="str">
        <x:f>IF(AND(C494="Докупка",I494="Есть цена"),G494,"")</x:f>
      </x:c>
    </x:row>
    <x:row r="495" ht="21" customHeight="1">
      <x:c r="A495" s="2" t="n">
        <x:v>49</x:v>
      </x:c>
      <x:c r="B495" s="2" t="n">
        <x:v>3600</x:v>
      </x:c>
      <x:c r="C495" s="2" t="str">
        <x:f>'Покупки'!C56</x:f>
        <x:v>Докупка</x:v>
      </x:c>
      <x:c r="D495" s="9" t="n">
        <x:v>46281.732037037036</x:v>
      </x:c>
      <x:c r="E495" s="12"/>
      <x:c r="F495" s="12" t="n">
        <x:f>'Покупки'!H56</x:f>
        <x:v>0.16768326748014842</x:v>
      </x:c>
      <x:c r="G495" s="14" t="str">
        <x:f>IF(I495="Есть цена",IF(AND(ISNUMBER(E495),E495&gt;0,F495&gt;0),E495/F495-1,NA()),"")</x:f>
      </x:c>
      <x:c r="H495" s="14" t="str">
        <x:f>IF(AND(I495="Есть цена",I488="Есть цена"),IF(AND(E495&gt;0,E488&gt;0),E495/E488-1,NA()),"")</x:f>
      </x:c>
      <x:c r="I495" s="2" t="str">
        <x:v>RPC: данные не загружены</x:v>
      </x:c>
      <x:c r="J495" s="2"/>
      <x:c r="K495" s="9"/>
      <x:c r="L495" s="2"/>
      <x:c r="M495" s="2"/>
      <x:c r="N495" s="2"/>
      <x:c r="O495" s="2"/>
      <x:c r="P495" s="2" t="str">
        <x:v>not_cached:getSignaturesForAddress:history/b80874ad01008257d789673e</x:v>
      </x:c>
      <x:c r="Q495" s="2" t="str"/>
      <x:c r="R495" s="14" t="str">
        <x:f>IF(AND(C495="Нулевой остаток",I495="Есть цена"),G495,"")</x:f>
      </x:c>
      <x:c r="S495" s="14" t="str">
        <x:f>IF(AND(C495="Докупка",I495="Есть цена"),G495,"")</x:f>
      </x:c>
    </x:row>
    <x:row r="496" ht="21" customHeight="1">
      <x:c r="A496" s="2" t="n">
        <x:v>49</x:v>
      </x:c>
      <x:c r="B496" s="2" t="n">
        <x:v>21600</x:v>
      </x:c>
      <x:c r="C496" s="2" t="str">
        <x:f>'Покупки'!C56</x:f>
        <x:v>Докупка</x:v>
      </x:c>
      <x:c r="D496" s="9" t="n">
        <x:v>46281.94037037037</x:v>
      </x:c>
      <x:c r="E496" s="12"/>
      <x:c r="F496" s="12" t="n">
        <x:f>'Покупки'!H56</x:f>
        <x:v>0.16768326748014842</x:v>
      </x:c>
      <x:c r="G496" s="14" t="str">
        <x:f>IF(I496="Есть цена",IF(AND(ISNUMBER(E496),E496&gt;0,F496&gt;0),E496/F496-1,NA()),"")</x:f>
      </x:c>
      <x:c r="H496" s="14" t="str">
        <x:f>IF(AND(I496="Есть цена",I488="Есть цена"),IF(AND(E496&gt;0,E488&gt;0),E496/E488-1,NA()),"")</x:f>
      </x:c>
      <x:c r="I496" s="2" t="str">
        <x:v>RPC: данные не загружены</x:v>
      </x:c>
      <x:c r="J496" s="2"/>
      <x:c r="K496" s="9"/>
      <x:c r="L496" s="2"/>
      <x:c r="M496" s="2"/>
      <x:c r="N496" s="2"/>
      <x:c r="O496" s="2"/>
      <x:c r="P496" s="2" t="str">
        <x:v>not_cached:getSignaturesForAddress:history/0d55f8076b6279271ebb447b</x:v>
      </x:c>
      <x:c r="Q496" s="2" t="str"/>
      <x:c r="R496" s="14" t="str">
        <x:f>IF(AND(C496="Нулевой остаток",I496="Есть цена"),G496,"")</x:f>
      </x:c>
      <x:c r="S496" s="14" t="str">
        <x:f>IF(AND(C496="Докупка",I496="Есть цена"),G496,"")</x:f>
      </x:c>
    </x:row>
    <x:row r="497" ht="21" customHeight="1">
      <x:c r="A497" s="2" t="n">
        <x:v>49</x:v>
      </x:c>
      <x:c r="B497" s="2" t="n">
        <x:v>86400</x:v>
      </x:c>
      <x:c r="C497" s="2" t="str">
        <x:f>'Покупки'!C56</x:f>
        <x:v>Докупка</x:v>
      </x:c>
      <x:c r="D497" s="9" t="n">
        <x:v>46282.69037037037</x:v>
      </x:c>
      <x:c r="E497" s="12"/>
      <x:c r="F497" s="12" t="n">
        <x:f>'Покупки'!H56</x:f>
        <x:v>0.16768326748014842</x:v>
      </x:c>
      <x:c r="G497" s="14" t="str">
        <x:f>IF(I497="Есть цена",IF(AND(ISNUMBER(E497),E497&gt;0,F497&gt;0),E497/F497-1,NA()),"")</x:f>
      </x:c>
      <x:c r="H497" s="14" t="str">
        <x:f>IF(AND(I497="Есть цена",I488="Есть цена"),IF(AND(E497&gt;0,E488&gt;0),E497/E488-1,NA()),"")</x:f>
      </x:c>
      <x:c r="I497" s="2" t="str">
        <x:v>RPC: данные не загружены</x:v>
      </x:c>
      <x:c r="J497" s="2"/>
      <x:c r="K497" s="9"/>
      <x:c r="L497" s="2"/>
      <x:c r="M497" s="2"/>
      <x:c r="N497" s="2"/>
      <x:c r="O497" s="2"/>
      <x:c r="P497" s="2" t="str">
        <x:v>not_cached:getSignaturesForAddress:history/427234860c19c4d7360baa2d</x:v>
      </x:c>
      <x:c r="Q497" s="2" t="str"/>
      <x:c r="R497" s="14" t="str">
        <x:f>IF(AND(C497="Нулевой остаток",I497="Есть цена"),G497,"")</x:f>
      </x:c>
      <x:c r="S497" s="14" t="str">
        <x:f>IF(AND(C497="Докупка",I497="Есть цена"),G497,"")</x:f>
      </x:c>
    </x:row>
    <x:row r="498" ht="21" customHeight="1">
      <x:c r="A498" s="2" t="n">
        <x:v>50</x:v>
      </x:c>
      <x:c r="B498" s="2" t="n">
        <x:v>5</x:v>
      </x:c>
      <x:c r="C498" s="2" t="str">
        <x:f>'Покупки'!C57</x:f>
        <x:v>Докупка</x:v>
      </x:c>
      <x:c r="D498" s="9" t="n">
        <x:v>46281.69013888889</x:v>
      </x:c>
      <x:c r="E498" s="12"/>
      <x:c r="F498" s="12" t="n">
        <x:f>'Покупки'!H57</x:f>
        <x:v>0.003957545652876389</x:v>
      </x:c>
      <x:c r="G498" s="14" t="str">
        <x:f>IF(I498="Есть цена",IF(AND(ISNUMBER(E498),E498&gt;0,F498&gt;0),E498/F498-1,NA()),"")</x:f>
      </x:c>
      <x:c r="H498" s="14" t="str">
        <x:f>IF(AND(I498="Есть цена",I498="Есть цена"),IF(AND(E498&gt;0,E498&gt;0),E498/E498-1,NA()),"")</x:f>
      </x:c>
      <x:c r="I498" s="2" t="str">
        <x:v>RPC: данные не загружены</x:v>
      </x:c>
      <x:c r="J498" s="2"/>
      <x:c r="K498" s="9"/>
      <x:c r="L498" s="2"/>
      <x:c r="M498" s="2"/>
      <x:c r="N498" s="2"/>
      <x:c r="O498" s="2"/>
      <x:c r="P498" s="2" t="str">
        <x:v>not_cached:getSignaturesForAddress:history/656be41ca7927836c994e801</x:v>
      </x:c>
      <x:c r="Q498" s="2" t="str"/>
      <x:c r="R498" s="14" t="str">
        <x:f>IF(AND(C498="Нулевой остаток",I498="Есть цена"),G498,"")</x:f>
      </x:c>
      <x:c r="S498" s="14" t="str">
        <x:f>IF(AND(C498="Докупка",I498="Есть цена"),G498,"")</x:f>
      </x:c>
    </x:row>
    <x:row r="499" ht="21" customHeight="1">
      <x:c r="A499" s="2" t="n">
        <x:v>50</x:v>
      </x:c>
      <x:c r="B499" s="2" t="n">
        <x:v>15</x:v>
      </x:c>
      <x:c r="C499" s="2" t="str">
        <x:f>'Покупки'!C57</x:f>
        <x:v>Докупка</x:v>
      </x:c>
      <x:c r="D499" s="9" t="n">
        <x:v>46281.690254629626</x:v>
      </x:c>
      <x:c r="E499" s="12"/>
      <x:c r="F499" s="12" t="n">
        <x:f>'Покупки'!H57</x:f>
        <x:v>0.003957545652876389</x:v>
      </x:c>
      <x:c r="G499" s="14" t="str">
        <x:f>IF(I499="Есть цена",IF(AND(ISNUMBER(E499),E499&gt;0,F499&gt;0),E499/F499-1,NA()),"")</x:f>
      </x:c>
      <x:c r="H499" s="14" t="str">
        <x:f>IF(AND(I499="Есть цена",I498="Есть цена"),IF(AND(E499&gt;0,E498&gt;0),E499/E498-1,NA()),"")</x:f>
      </x:c>
      <x:c r="I499" s="2" t="str">
        <x:v>RPC: данные не загружены</x:v>
      </x:c>
      <x:c r="J499" s="2"/>
      <x:c r="K499" s="9"/>
      <x:c r="L499" s="2"/>
      <x:c r="M499" s="2"/>
      <x:c r="N499" s="2"/>
      <x:c r="O499" s="2"/>
      <x:c r="P499" s="2" t="str">
        <x:v>not_cached:getSignaturesForAddress:history/996b22ef076e46f85d0746ac</x:v>
      </x:c>
      <x:c r="Q499" s="2" t="str"/>
      <x:c r="R499" s="14" t="str">
        <x:f>IF(AND(C499="Нулевой остаток",I499="Есть цена"),G499,"")</x:f>
      </x:c>
      <x:c r="S499" s="14" t="str">
        <x:f>IF(AND(C499="Докупка",I499="Есть цена"),G499,"")</x:f>
      </x:c>
    </x:row>
    <x:row r="500" ht="21" customHeight="1">
      <x:c r="A500" s="2" t="n">
        <x:v>50</x:v>
      </x:c>
      <x:c r="B500" s="2" t="n">
        <x:v>30</x:v>
      </x:c>
      <x:c r="C500" s="2" t="str">
        <x:f>'Покупки'!C57</x:f>
        <x:v>Докупка</x:v>
      </x:c>
      <x:c r="D500" s="9" t="n">
        <x:v>46281.69042824074</x:v>
      </x:c>
      <x:c r="E500" s="12"/>
      <x:c r="F500" s="12" t="n">
        <x:f>'Покупки'!H57</x:f>
        <x:v>0.003957545652876389</x:v>
      </x:c>
      <x:c r="G500" s="14" t="str">
        <x:f>IF(I500="Есть цена",IF(AND(ISNUMBER(E500),E500&gt;0,F500&gt;0),E500/F500-1,NA()),"")</x:f>
      </x:c>
      <x:c r="H500" s="14" t="str">
        <x:f>IF(AND(I500="Есть цена",I498="Есть цена"),IF(AND(E500&gt;0,E498&gt;0),E500/E498-1,NA()),"")</x:f>
      </x:c>
      <x:c r="I500" s="2" t="str">
        <x:v>RPC: данные не загружены</x:v>
      </x:c>
      <x:c r="J500" s="2"/>
      <x:c r="K500" s="9"/>
      <x:c r="L500" s="2"/>
      <x:c r="M500" s="2"/>
      <x:c r="N500" s="2"/>
      <x:c r="O500" s="2"/>
      <x:c r="P500" s="2" t="str">
        <x:v>not_cached:getSignaturesForAddress:history/7008b612e8e8cc4e63c5469b</x:v>
      </x:c>
      <x:c r="Q500" s="2" t="str"/>
      <x:c r="R500" s="14" t="str">
        <x:f>IF(AND(C500="Нулевой остаток",I500="Есть цена"),G500,"")</x:f>
      </x:c>
      <x:c r="S500" s="14" t="str">
        <x:f>IF(AND(C500="Докупка",I500="Есть цена"),G500,"")</x:f>
      </x:c>
    </x:row>
    <x:row r="501" ht="21" customHeight="1">
      <x:c r="A501" s="2" t="n">
        <x:v>50</x:v>
      </x:c>
      <x:c r="B501" s="2" t="n">
        <x:v>60</x:v>
      </x:c>
      <x:c r="C501" s="2" t="str">
        <x:f>'Покупки'!C57</x:f>
        <x:v>Докупка</x:v>
      </x:c>
      <x:c r="D501" s="9" t="n">
        <x:v>46281.690775462965</x:v>
      </x:c>
      <x:c r="E501" s="12"/>
      <x:c r="F501" s="12" t="n">
        <x:f>'Покупки'!H57</x:f>
        <x:v>0.003957545652876389</x:v>
      </x:c>
      <x:c r="G501" s="14" t="str">
        <x:f>IF(I501="Есть цена",IF(AND(ISNUMBER(E501),E501&gt;0,F501&gt;0),E501/F501-1,NA()),"")</x:f>
      </x:c>
      <x:c r="H501" s="14" t="str">
        <x:f>IF(AND(I501="Есть цена",I498="Есть цена"),IF(AND(E501&gt;0,E498&gt;0),E501/E498-1,NA()),"")</x:f>
      </x:c>
      <x:c r="I501" s="2" t="str">
        <x:v>RPC: данные не загружены</x:v>
      </x:c>
      <x:c r="J501" s="2"/>
      <x:c r="K501" s="9"/>
      <x:c r="L501" s="2"/>
      <x:c r="M501" s="2"/>
      <x:c r="N501" s="2"/>
      <x:c r="O501" s="2"/>
      <x:c r="P501" s="2" t="str">
        <x:v>not_cached:getSignaturesForAddress:history/7008b612e8e8cc4e63c5469b</x:v>
      </x:c>
      <x:c r="Q501" s="2" t="str"/>
      <x:c r="R501" s="14" t="str">
        <x:f>IF(AND(C501="Нулевой остаток",I501="Есть цена"),G501,"")</x:f>
      </x:c>
      <x:c r="S501" s="14" t="str">
        <x:f>IF(AND(C501="Докупка",I501="Есть цена"),G501,"")</x:f>
      </x:c>
    </x:row>
    <x:row r="502" ht="21" customHeight="1">
      <x:c r="A502" s="2" t="n">
        <x:v>50</x:v>
      </x:c>
      <x:c r="B502" s="2" t="n">
        <x:v>180</x:v>
      </x:c>
      <x:c r="C502" s="2" t="str">
        <x:f>'Покупки'!C57</x:f>
        <x:v>Докупка</x:v>
      </x:c>
      <x:c r="D502" s="9" t="n">
        <x:v>46281.69216435185</x:v>
      </x:c>
      <x:c r="E502" s="12"/>
      <x:c r="F502" s="12" t="n">
        <x:f>'Покупки'!H57</x:f>
        <x:v>0.003957545652876389</x:v>
      </x:c>
      <x:c r="G502" s="14" t="str">
        <x:f>IF(I502="Есть цена",IF(AND(ISNUMBER(E502),E502&gt;0,F502&gt;0),E502/F502-1,NA()),"")</x:f>
      </x:c>
      <x:c r="H502" s="14" t="str">
        <x:f>IF(AND(I502="Есть цена",I498="Есть цена"),IF(AND(E502&gt;0,E498&gt;0),E502/E498-1,NA()),"")</x:f>
      </x:c>
      <x:c r="I502" s="2" t="str">
        <x:v>RPC: данные не загружены</x:v>
      </x:c>
      <x:c r="J502" s="2"/>
      <x:c r="K502" s="9"/>
      <x:c r="L502" s="2"/>
      <x:c r="M502" s="2"/>
      <x:c r="N502" s="2"/>
      <x:c r="O502" s="2"/>
      <x:c r="P502" s="2" t="str">
        <x:v>not_cached:getSignaturesForAddress:history/570935880e3ab0666e01371c</x:v>
      </x:c>
      <x:c r="Q502" s="2" t="str"/>
      <x:c r="R502" s="14" t="str">
        <x:f>IF(AND(C502="Нулевой остаток",I502="Есть цена"),G502,"")</x:f>
      </x:c>
      <x:c r="S502" s="14" t="str">
        <x:f>IF(AND(C502="Докупка",I502="Есть цена"),G502,"")</x:f>
      </x:c>
    </x:row>
    <x:row r="503" ht="21" customHeight="1">
      <x:c r="A503" s="2" t="n">
        <x:v>50</x:v>
      </x:c>
      <x:c r="B503" s="2" t="n">
        <x:v>300</x:v>
      </x:c>
      <x:c r="C503" s="2" t="str">
        <x:f>'Покупки'!C57</x:f>
        <x:v>Докупка</x:v>
      </x:c>
      <x:c r="D503" s="9" t="n">
        <x:v>46281.693553240744</x:v>
      </x:c>
      <x:c r="E503" s="12"/>
      <x:c r="F503" s="12" t="n">
        <x:f>'Покупки'!H57</x:f>
        <x:v>0.003957545652876389</x:v>
      </x:c>
      <x:c r="G503" s="14" t="str">
        <x:f>IF(I503="Есть цена",IF(AND(ISNUMBER(E503),E503&gt;0,F503&gt;0),E503/F503-1,NA()),"")</x:f>
      </x:c>
      <x:c r="H503" s="14" t="str">
        <x:f>IF(AND(I503="Есть цена",I498="Есть цена"),IF(AND(E503&gt;0,E498&gt;0),E503/E498-1,NA()),"")</x:f>
      </x:c>
      <x:c r="I503" s="2" t="str">
        <x:v>RPC: данные не загружены</x:v>
      </x:c>
      <x:c r="J503" s="2"/>
      <x:c r="K503" s="9"/>
      <x:c r="L503" s="2"/>
      <x:c r="M503" s="2"/>
      <x:c r="N503" s="2"/>
      <x:c r="O503" s="2"/>
      <x:c r="P503" s="2" t="str">
        <x:v>not_cached:getSignaturesForAddress:history/503101eae1a50729623963c5</x:v>
      </x:c>
      <x:c r="Q503" s="2" t="str"/>
      <x:c r="R503" s="14" t="str">
        <x:f>IF(AND(C503="Нулевой остаток",I503="Есть цена"),G503,"")</x:f>
      </x:c>
      <x:c r="S503" s="14" t="str">
        <x:f>IF(AND(C503="Докупка",I503="Есть цена"),G503,"")</x:f>
      </x:c>
    </x:row>
    <x:row r="504" ht="21" customHeight="1">
      <x:c r="A504" s="2" t="n">
        <x:v>50</x:v>
      </x:c>
      <x:c r="B504" s="2" t="n">
        <x:v>900</x:v>
      </x:c>
      <x:c r="C504" s="2" t="str">
        <x:f>'Покупки'!C57</x:f>
        <x:v>Докупка</x:v>
      </x:c>
      <x:c r="D504" s="9" t="n">
        <x:v>46281.70049768518</x:v>
      </x:c>
      <x:c r="E504" s="12"/>
      <x:c r="F504" s="12" t="n">
        <x:f>'Покупки'!H57</x:f>
        <x:v>0.003957545652876389</x:v>
      </x:c>
      <x:c r="G504" s="14" t="str">
        <x:f>IF(I504="Есть цена",IF(AND(ISNUMBER(E504),E504&gt;0,F504&gt;0),E504/F504-1,NA()),"")</x:f>
      </x:c>
      <x:c r="H504" s="14" t="str">
        <x:f>IF(AND(I504="Есть цена",I498="Есть цена"),IF(AND(E504&gt;0,E498&gt;0),E504/E498-1,NA()),"")</x:f>
      </x:c>
      <x:c r="I504" s="2" t="str">
        <x:v>RPC: данные не загружены</x:v>
      </x:c>
      <x:c r="J504" s="2"/>
      <x:c r="K504" s="9"/>
      <x:c r="L504" s="2"/>
      <x:c r="M504" s="2"/>
      <x:c r="N504" s="2"/>
      <x:c r="O504" s="2"/>
      <x:c r="P504" s="2" t="str">
        <x:v>not_cached:getSignaturesForAddress:history/02101c6a2c68c6e1c929bd13</x:v>
      </x:c>
      <x:c r="Q504" s="2" t="str"/>
      <x:c r="R504" s="14" t="str">
        <x:f>IF(AND(C504="Нулевой остаток",I504="Есть цена"),G504,"")</x:f>
      </x:c>
      <x:c r="S504" s="14" t="str">
        <x:f>IF(AND(C504="Докупка",I504="Есть цена"),G504,"")</x:f>
      </x:c>
    </x:row>
    <x:row r="505" ht="21" customHeight="1">
      <x:c r="A505" s="2" t="n">
        <x:v>50</x:v>
      </x:c>
      <x:c r="B505" s="2" t="n">
        <x:v>3600</x:v>
      </x:c>
      <x:c r="C505" s="2" t="str">
        <x:f>'Покупки'!C57</x:f>
        <x:v>Докупка</x:v>
      </x:c>
      <x:c r="D505" s="9" t="n">
        <x:v>46281.73174768518</x:v>
      </x:c>
      <x:c r="E505" s="12"/>
      <x:c r="F505" s="12" t="n">
        <x:f>'Покупки'!H57</x:f>
        <x:v>0.003957545652876389</x:v>
      </x:c>
      <x:c r="G505" s="14" t="str">
        <x:f>IF(I505="Есть цена",IF(AND(ISNUMBER(E505),E505&gt;0,F505&gt;0),E505/F505-1,NA()),"")</x:f>
      </x:c>
      <x:c r="H505" s="14" t="str">
        <x:f>IF(AND(I505="Есть цена",I498="Есть цена"),IF(AND(E505&gt;0,E498&gt;0),E505/E498-1,NA()),"")</x:f>
      </x:c>
      <x:c r="I505" s="2" t="str">
        <x:v>RPC: данные не загружены</x:v>
      </x:c>
      <x:c r="J505" s="2"/>
      <x:c r="K505" s="9"/>
      <x:c r="L505" s="2"/>
      <x:c r="M505" s="2"/>
      <x:c r="N505" s="2"/>
      <x:c r="O505" s="2"/>
      <x:c r="P505" s="2" t="str">
        <x:v>not_cached:getSignaturesForAddress:history/506c6fd0d45adaa696c64652</x:v>
      </x:c>
      <x:c r="Q505" s="2" t="str"/>
      <x:c r="R505" s="14" t="str">
        <x:f>IF(AND(C505="Нулевой остаток",I505="Есть цена"),G505,"")</x:f>
      </x:c>
      <x:c r="S505" s="14" t="str">
        <x:f>IF(AND(C505="Докупка",I505="Есть цена"),G505,"")</x:f>
      </x:c>
    </x:row>
    <x:row r="506" ht="21" customHeight="1">
      <x:c r="A506" s="2" t="n">
        <x:v>50</x:v>
      </x:c>
      <x:c r="B506" s="2" t="n">
        <x:v>21600</x:v>
      </x:c>
      <x:c r="C506" s="2" t="str">
        <x:f>'Покупки'!C57</x:f>
        <x:v>Докупка</x:v>
      </x:c>
      <x:c r="D506" s="9" t="n">
        <x:v>46281.94008101852</x:v>
      </x:c>
      <x:c r="E506" s="12"/>
      <x:c r="F506" s="12" t="n">
        <x:f>'Покупки'!H57</x:f>
        <x:v>0.003957545652876389</x:v>
      </x:c>
      <x:c r="G506" s="14" t="str">
        <x:f>IF(I506="Есть цена",IF(AND(ISNUMBER(E506),E506&gt;0,F506&gt;0),E506/F506-1,NA()),"")</x:f>
      </x:c>
      <x:c r="H506" s="14" t="str">
        <x:f>IF(AND(I506="Есть цена",I498="Есть цена"),IF(AND(E506&gt;0,E498&gt;0),E506/E498-1,NA()),"")</x:f>
      </x:c>
      <x:c r="I506" s="2" t="str">
        <x:v>RPC: данные не загружены</x:v>
      </x:c>
      <x:c r="J506" s="2"/>
      <x:c r="K506" s="9"/>
      <x:c r="L506" s="2"/>
      <x:c r="M506" s="2"/>
      <x:c r="N506" s="2"/>
      <x:c r="O506" s="2"/>
      <x:c r="P506" s="2" t="str">
        <x:v>not_cached:getSignaturesForAddress:history/bb751c051110c95ca3a0fd48</x:v>
      </x:c>
      <x:c r="Q506" s="2" t="str"/>
      <x:c r="R506" s="14" t="str">
        <x:f>IF(AND(C506="Нулевой остаток",I506="Есть цена"),G506,"")</x:f>
      </x:c>
      <x:c r="S506" s="14" t="str">
        <x:f>IF(AND(C506="Докупка",I506="Есть цена"),G506,"")</x:f>
      </x:c>
    </x:row>
    <x:row r="507" ht="21" customHeight="1">
      <x:c r="A507" s="2" t="n">
        <x:v>50</x:v>
      </x:c>
      <x:c r="B507" s="2" t="n">
        <x:v>86400</x:v>
      </x:c>
      <x:c r="C507" s="2" t="str">
        <x:f>'Покупки'!C57</x:f>
        <x:v>Докупка</x:v>
      </x:c>
      <x:c r="D507" s="9" t="n">
        <x:v>46282.69008101852</x:v>
      </x:c>
      <x:c r="E507" s="12"/>
      <x:c r="F507" s="12" t="n">
        <x:f>'Покупки'!H57</x:f>
        <x:v>0.003957545652876389</x:v>
      </x:c>
      <x:c r="G507" s="14" t="str">
        <x:f>IF(I507="Есть цена",IF(AND(ISNUMBER(E507),E507&gt;0,F507&gt;0),E507/F507-1,NA()),"")</x:f>
      </x:c>
      <x:c r="H507" s="14" t="str">
        <x:f>IF(AND(I507="Есть цена",I498="Есть цена"),IF(AND(E507&gt;0,E498&gt;0),E507/E498-1,NA()),"")</x:f>
      </x:c>
      <x:c r="I507" s="2" t="str">
        <x:v>RPC: данные не загружены</x:v>
      </x:c>
      <x:c r="J507" s="2"/>
      <x:c r="K507" s="9"/>
      <x:c r="L507" s="2"/>
      <x:c r="M507" s="2"/>
      <x:c r="N507" s="2"/>
      <x:c r="O507" s="2"/>
      <x:c r="P507" s="2" t="str">
        <x:v>not_cached:getSignaturesForAddress:history/b0ff895a8c3e515460b560f6</x:v>
      </x:c>
      <x:c r="Q507" s="2" t="str"/>
      <x:c r="R507" s="14" t="str">
        <x:f>IF(AND(C507="Нулевой остаток",I507="Есть цена"),G507,"")</x:f>
      </x:c>
      <x:c r="S507" s="14" t="str">
        <x:f>IF(AND(C507="Докупка",I507="Есть цена"),G507,"")</x:f>
      </x:c>
    </x:row>
    <x:row r="508" ht="21" customHeight="1">
      <x:c r="A508" s="2" t="n">
        <x:v>51</x:v>
      </x:c>
      <x:c r="B508" s="2" t="n">
        <x:v>5</x:v>
      </x:c>
      <x:c r="C508" s="2" t="str">
        <x:f>'Покупки'!C58</x:f>
        <x:v>Докупка</x:v>
      </x:c>
      <x:c r="D508" s="9" t="n">
        <x:v>46281.689375</x:v>
      </x:c>
      <x:c r="E508" s="12"/>
      <x:c r="F508" s="12" t="n">
        <x:f>'Покупки'!H58</x:f>
        <x:v>0.0036821212152044107</x:v>
      </x:c>
      <x:c r="G508" s="14" t="str">
        <x:f>IF(I508="Есть цена",IF(AND(ISNUMBER(E508),E508&gt;0,F508&gt;0),E508/F508-1,NA()),"")</x:f>
      </x:c>
      <x:c r="H508" s="14" t="str">
        <x:f>IF(AND(I508="Есть цена",I508="Есть цена"),IF(AND(E508&gt;0,E508&gt;0),E508/E508-1,NA()),"")</x:f>
      </x:c>
      <x:c r="I508" s="2" t="str">
        <x:v>RPC: данные не загружены</x:v>
      </x:c>
      <x:c r="J508" s="2"/>
      <x:c r="K508" s="9"/>
      <x:c r="L508" s="2"/>
      <x:c r="M508" s="2"/>
      <x:c r="N508" s="2"/>
      <x:c r="O508" s="2"/>
      <x:c r="P508" s="2" t="str">
        <x:v>not_cached:getSignaturesForAddress:history/11debdcb5167f6475fb58029</x:v>
      </x:c>
      <x:c r="Q508" s="2" t="str"/>
      <x:c r="R508" s="14" t="str">
        <x:f>IF(AND(C508="Нулевой остаток",I508="Есть цена"),G508,"")</x:f>
      </x:c>
      <x:c r="S508" s="14" t="str">
        <x:f>IF(AND(C508="Докупка",I508="Есть цена"),G508,"")</x:f>
      </x:c>
    </x:row>
    <x:row r="509" ht="21" customHeight="1">
      <x:c r="A509" s="2" t="n">
        <x:v>51</x:v>
      </x:c>
      <x:c r="B509" s="2" t="n">
        <x:v>15</x:v>
      </x:c>
      <x:c r="C509" s="2" t="str">
        <x:f>'Покупки'!C58</x:f>
        <x:v>Докупка</x:v>
      </x:c>
      <x:c r="D509" s="9" t="n">
        <x:v>46281.68949074074</x:v>
      </x:c>
      <x:c r="E509" s="12"/>
      <x:c r="F509" s="12" t="n">
        <x:f>'Покупки'!H58</x:f>
        <x:v>0.0036821212152044107</x:v>
      </x:c>
      <x:c r="G509" s="14" t="str">
        <x:f>IF(I509="Есть цена",IF(AND(ISNUMBER(E509),E509&gt;0,F509&gt;0),E509/F509-1,NA()),"")</x:f>
      </x:c>
      <x:c r="H509" s="14" t="str">
        <x:f>IF(AND(I509="Есть цена",I508="Есть цена"),IF(AND(E509&gt;0,E508&gt;0),E509/E508-1,NA()),"")</x:f>
      </x:c>
      <x:c r="I509" s="2" t="str">
        <x:v>RPC: данные не загружены</x:v>
      </x:c>
      <x:c r="J509" s="2"/>
      <x:c r="K509" s="9"/>
      <x:c r="L509" s="2"/>
      <x:c r="M509" s="2"/>
      <x:c r="N509" s="2"/>
      <x:c r="O509" s="2"/>
      <x:c r="P509" s="2" t="str">
        <x:v>not_cached:getSignaturesForAddress:history/62d0ddbab241cf275d9a276c</x:v>
      </x:c>
      <x:c r="Q509" s="2" t="str"/>
      <x:c r="R509" s="14" t="str">
        <x:f>IF(AND(C509="Нулевой остаток",I509="Есть цена"),G509,"")</x:f>
      </x:c>
      <x:c r="S509" s="14" t="str">
        <x:f>IF(AND(C509="Докупка",I509="Есть цена"),G509,"")</x:f>
      </x:c>
    </x:row>
    <x:row r="510" ht="21" customHeight="1">
      <x:c r="A510" s="2" t="n">
        <x:v>51</x:v>
      </x:c>
      <x:c r="B510" s="2" t="n">
        <x:v>30</x:v>
      </x:c>
      <x:c r="C510" s="2" t="str">
        <x:f>'Покупки'!C58</x:f>
        <x:v>Докупка</x:v>
      </x:c>
      <x:c r="D510" s="9" t="n">
        <x:v>46281.68966435185</x:v>
      </x:c>
      <x:c r="E510" s="12"/>
      <x:c r="F510" s="12" t="n">
        <x:f>'Покупки'!H58</x:f>
        <x:v>0.0036821212152044107</x:v>
      </x:c>
      <x:c r="G510" s="14" t="str">
        <x:f>IF(I510="Есть цена",IF(AND(ISNUMBER(E510),E510&gt;0,F510&gt;0),E510/F510-1,NA()),"")</x:f>
      </x:c>
      <x:c r="H510" s="14" t="str">
        <x:f>IF(AND(I510="Есть цена",I508="Есть цена"),IF(AND(E510&gt;0,E508&gt;0),E510/E508-1,NA()),"")</x:f>
      </x:c>
      <x:c r="I510" s="2" t="str">
        <x:v>RPC: данные не загружены</x:v>
      </x:c>
      <x:c r="J510" s="2"/>
      <x:c r="K510" s="9"/>
      <x:c r="L510" s="2"/>
      <x:c r="M510" s="2"/>
      <x:c r="N510" s="2"/>
      <x:c r="O510" s="2"/>
      <x:c r="P510" s="2" t="str">
        <x:v>not_cached:getSignaturesForAddress:history/62d0ddbab241cf275d9a276c</x:v>
      </x:c>
      <x:c r="Q510" s="2" t="str"/>
      <x:c r="R510" s="14" t="str">
        <x:f>IF(AND(C510="Нулевой остаток",I510="Есть цена"),G510,"")</x:f>
      </x:c>
      <x:c r="S510" s="14" t="str">
        <x:f>IF(AND(C510="Докупка",I510="Есть цена"),G510,"")</x:f>
      </x:c>
    </x:row>
    <x:row r="511" ht="21" customHeight="1">
      <x:c r="A511" s="2" t="n">
        <x:v>51</x:v>
      </x:c>
      <x:c r="B511" s="2" t="n">
        <x:v>60</x:v>
      </x:c>
      <x:c r="C511" s="2" t="str">
        <x:f>'Покупки'!C58</x:f>
        <x:v>Докупка</x:v>
      </x:c>
      <x:c r="D511" s="9" t="n">
        <x:v>46281.69001157407</x:v>
      </x:c>
      <x:c r="E511" s="12"/>
      <x:c r="F511" s="12" t="n">
        <x:f>'Покупки'!H58</x:f>
        <x:v>0.0036821212152044107</x:v>
      </x:c>
      <x:c r="G511" s="14" t="str">
        <x:f>IF(I511="Есть цена",IF(AND(ISNUMBER(E511),E511&gt;0,F511&gt;0),E511/F511-1,NA()),"")</x:f>
      </x:c>
      <x:c r="H511" s="14" t="str">
        <x:f>IF(AND(I511="Есть цена",I508="Есть цена"),IF(AND(E511&gt;0,E508&gt;0),E511/E508-1,NA()),"")</x:f>
      </x:c>
      <x:c r="I511" s="2" t="str">
        <x:v>RPC: данные не загружены</x:v>
      </x:c>
      <x:c r="J511" s="2"/>
      <x:c r="K511" s="9"/>
      <x:c r="L511" s="2"/>
      <x:c r="M511" s="2"/>
      <x:c r="N511" s="2"/>
      <x:c r="O511" s="2"/>
      <x:c r="P511" s="2" t="str">
        <x:v>not_cached:getSignaturesForAddress:history/62d0ddbab241cf275d9a276c</x:v>
      </x:c>
      <x:c r="Q511" s="2" t="str"/>
      <x:c r="R511" s="14" t="str">
        <x:f>IF(AND(C511="Нулевой остаток",I511="Есть цена"),G511,"")</x:f>
      </x:c>
      <x:c r="S511" s="14" t="str">
        <x:f>IF(AND(C511="Докупка",I511="Есть цена"),G511,"")</x:f>
      </x:c>
    </x:row>
    <x:row r="512" ht="21" customHeight="1">
      <x:c r="A512" s="2" t="n">
        <x:v>51</x:v>
      </x:c>
      <x:c r="B512" s="2" t="n">
        <x:v>180</x:v>
      </x:c>
      <x:c r="C512" s="2" t="str">
        <x:f>'Покупки'!C58</x:f>
        <x:v>Докупка</x:v>
      </x:c>
      <x:c r="D512" s="9" t="n">
        <x:v>46281.691400462965</x:v>
      </x:c>
      <x:c r="E512" s="12"/>
      <x:c r="F512" s="12" t="n">
        <x:f>'Покупки'!H58</x:f>
        <x:v>0.0036821212152044107</x:v>
      </x:c>
      <x:c r="G512" s="14" t="str">
        <x:f>IF(I512="Есть цена",IF(AND(ISNUMBER(E512),E512&gt;0,F512&gt;0),E512/F512-1,NA()),"")</x:f>
      </x:c>
      <x:c r="H512" s="14" t="str">
        <x:f>IF(AND(I512="Есть цена",I508="Есть цена"),IF(AND(E512&gt;0,E508&gt;0),E512/E508-1,NA()),"")</x:f>
      </x:c>
      <x:c r="I512" s="2" t="str">
        <x:v>RPC: данные не загружены</x:v>
      </x:c>
      <x:c r="J512" s="2"/>
      <x:c r="K512" s="9"/>
      <x:c r="L512" s="2"/>
      <x:c r="M512" s="2"/>
      <x:c r="N512" s="2"/>
      <x:c r="O512" s="2"/>
      <x:c r="P512" s="2" t="str">
        <x:v>not_cached:getSignaturesForAddress:history/80cb00d124f8a6ab7e84f76b</x:v>
      </x:c>
      <x:c r="Q512" s="2" t="str"/>
      <x:c r="R512" s="14" t="str">
        <x:f>IF(AND(C512="Нулевой остаток",I512="Есть цена"),G512,"")</x:f>
      </x:c>
      <x:c r="S512" s="14" t="str">
        <x:f>IF(AND(C512="Докупка",I512="Есть цена"),G512,"")</x:f>
      </x:c>
    </x:row>
    <x:row r="513" ht="21" customHeight="1">
      <x:c r="A513" s="2" t="n">
        <x:v>51</x:v>
      </x:c>
      <x:c r="B513" s="2" t="n">
        <x:v>300</x:v>
      </x:c>
      <x:c r="C513" s="2" t="str">
        <x:f>'Покупки'!C58</x:f>
        <x:v>Докупка</x:v>
      </x:c>
      <x:c r="D513" s="9" t="n">
        <x:v>46281.69278935185</x:v>
      </x:c>
      <x:c r="E513" s="12"/>
      <x:c r="F513" s="12" t="n">
        <x:f>'Покупки'!H58</x:f>
        <x:v>0.0036821212152044107</x:v>
      </x:c>
      <x:c r="G513" s="14" t="str">
        <x:f>IF(I513="Есть цена",IF(AND(ISNUMBER(E513),E513&gt;0,F513&gt;0),E513/F513-1,NA()),"")</x:f>
      </x:c>
      <x:c r="H513" s="14" t="str">
        <x:f>IF(AND(I513="Есть цена",I508="Есть цена"),IF(AND(E513&gt;0,E508&gt;0),E513/E508-1,NA()),"")</x:f>
      </x:c>
      <x:c r="I513" s="2" t="str">
        <x:v>RPC: данные не загружены</x:v>
      </x:c>
      <x:c r="J513" s="2"/>
      <x:c r="K513" s="9"/>
      <x:c r="L513" s="2"/>
      <x:c r="M513" s="2"/>
      <x:c r="N513" s="2"/>
      <x:c r="O513" s="2"/>
      <x:c r="P513" s="2" t="str">
        <x:v>not_cached:getSignaturesForAddress:history/9b39c1d1e22c1869fa18bf18</x:v>
      </x:c>
      <x:c r="Q513" s="2" t="str"/>
      <x:c r="R513" s="14" t="str">
        <x:f>IF(AND(C513="Нулевой остаток",I513="Есть цена"),G513,"")</x:f>
      </x:c>
      <x:c r="S513" s="14" t="str">
        <x:f>IF(AND(C513="Докупка",I513="Есть цена"),G513,"")</x:f>
      </x:c>
    </x:row>
    <x:row r="514" ht="21" customHeight="1">
      <x:c r="A514" s="2" t="n">
        <x:v>51</x:v>
      </x:c>
      <x:c r="B514" s="2" t="n">
        <x:v>900</x:v>
      </x:c>
      <x:c r="C514" s="2" t="str">
        <x:f>'Покупки'!C58</x:f>
        <x:v>Докупка</x:v>
      </x:c>
      <x:c r="D514" s="9" t="n">
        <x:v>46281.6997337963</x:v>
      </x:c>
      <x:c r="E514" s="12"/>
      <x:c r="F514" s="12" t="n">
        <x:f>'Покупки'!H58</x:f>
        <x:v>0.0036821212152044107</x:v>
      </x:c>
      <x:c r="G514" s="14" t="str">
        <x:f>IF(I514="Есть цена",IF(AND(ISNUMBER(E514),E514&gt;0,F514&gt;0),E514/F514-1,NA()),"")</x:f>
      </x:c>
      <x:c r="H514" s="14" t="str">
        <x:f>IF(AND(I514="Есть цена",I508="Есть цена"),IF(AND(E514&gt;0,E508&gt;0),E514/E508-1,NA()),"")</x:f>
      </x:c>
      <x:c r="I514" s="2" t="str">
        <x:v>RPC: данные не загружены</x:v>
      </x:c>
      <x:c r="J514" s="2"/>
      <x:c r="K514" s="9"/>
      <x:c r="L514" s="2"/>
      <x:c r="M514" s="2"/>
      <x:c r="N514" s="2"/>
      <x:c r="O514" s="2"/>
      <x:c r="P514" s="2" t="str">
        <x:v>not_cached:getSignaturesForAddress:history/60139ba86888c427928bce71</x:v>
      </x:c>
      <x:c r="Q514" s="2" t="str"/>
      <x:c r="R514" s="14" t="str">
        <x:f>IF(AND(C514="Нулевой остаток",I514="Есть цена"),G514,"")</x:f>
      </x:c>
      <x:c r="S514" s="14" t="str">
        <x:f>IF(AND(C514="Докупка",I514="Есть цена"),G514,"")</x:f>
      </x:c>
    </x:row>
    <x:row r="515" ht="21" customHeight="1">
      <x:c r="A515" s="2" t="n">
        <x:v>51</x:v>
      </x:c>
      <x:c r="B515" s="2" t="n">
        <x:v>3600</x:v>
      </x:c>
      <x:c r="C515" s="2" t="str">
        <x:f>'Покупки'!C58</x:f>
        <x:v>Докупка</x:v>
      </x:c>
      <x:c r="D515" s="9" t="n">
        <x:v>46281.7309837963</x:v>
      </x:c>
      <x:c r="E515" s="12"/>
      <x:c r="F515" s="12" t="n">
        <x:f>'Покупки'!H58</x:f>
        <x:v>0.0036821212152044107</x:v>
      </x:c>
      <x:c r="G515" s="14" t="str">
        <x:f>IF(I515="Есть цена",IF(AND(ISNUMBER(E515),E515&gt;0,F515&gt;0),E515/F515-1,NA()),"")</x:f>
      </x:c>
      <x:c r="H515" s="14" t="str">
        <x:f>IF(AND(I515="Есть цена",I508="Есть цена"),IF(AND(E515&gt;0,E508&gt;0),E515/E508-1,NA()),"")</x:f>
      </x:c>
      <x:c r="I515" s="2" t="str">
        <x:v>RPC: данные не загружены</x:v>
      </x:c>
      <x:c r="J515" s="2"/>
      <x:c r="K515" s="9"/>
      <x:c r="L515" s="2"/>
      <x:c r="M515" s="2"/>
      <x:c r="N515" s="2"/>
      <x:c r="O515" s="2"/>
      <x:c r="P515" s="2" t="str">
        <x:v>not_cached:getSignaturesForAddress:history/10c3cee44883c89e918faaf9</x:v>
      </x:c>
      <x:c r="Q515" s="2" t="str"/>
      <x:c r="R515" s="14" t="str">
        <x:f>IF(AND(C515="Нулевой остаток",I515="Есть цена"),G515,"")</x:f>
      </x:c>
      <x:c r="S515" s="14" t="str">
        <x:f>IF(AND(C515="Докупка",I515="Есть цена"),G515,"")</x:f>
      </x:c>
    </x:row>
    <x:row r="516" ht="21" customHeight="1">
      <x:c r="A516" s="2" t="n">
        <x:v>51</x:v>
      </x:c>
      <x:c r="B516" s="2" t="n">
        <x:v>21600</x:v>
      </x:c>
      <x:c r="C516" s="2" t="str">
        <x:f>'Покупки'!C58</x:f>
        <x:v>Докупка</x:v>
      </x:c>
      <x:c r="D516" s="9" t="n">
        <x:v>46281.93931712963</x:v>
      </x:c>
      <x:c r="E516" s="12"/>
      <x:c r="F516" s="12" t="n">
        <x:f>'Покупки'!H58</x:f>
        <x:v>0.0036821212152044107</x:v>
      </x:c>
      <x:c r="G516" s="14" t="str">
        <x:f>IF(I516="Есть цена",IF(AND(ISNUMBER(E516),E516&gt;0,F516&gt;0),E516/F516-1,NA()),"")</x:f>
      </x:c>
      <x:c r="H516" s="14" t="str">
        <x:f>IF(AND(I516="Есть цена",I508="Есть цена"),IF(AND(E516&gt;0,E508&gt;0),E516/E508-1,NA()),"")</x:f>
      </x:c>
      <x:c r="I516" s="2" t="str">
        <x:v>RPC: данные не загружены</x:v>
      </x:c>
      <x:c r="J516" s="2"/>
      <x:c r="K516" s="9"/>
      <x:c r="L516" s="2"/>
      <x:c r="M516" s="2"/>
      <x:c r="N516" s="2"/>
      <x:c r="O516" s="2"/>
      <x:c r="P516" s="2" t="str">
        <x:v>not_cached:getSignaturesForAddress:history/46990e60194ee71a42a97865</x:v>
      </x:c>
      <x:c r="Q516" s="2" t="str"/>
      <x:c r="R516" s="14" t="str">
        <x:f>IF(AND(C516="Нулевой остаток",I516="Есть цена"),G516,"")</x:f>
      </x:c>
      <x:c r="S516" s="14" t="str">
        <x:f>IF(AND(C516="Докупка",I516="Есть цена"),G516,"")</x:f>
      </x:c>
    </x:row>
    <x:row r="517" ht="21" customHeight="1">
      <x:c r="A517" s="2" t="n">
        <x:v>51</x:v>
      </x:c>
      <x:c r="B517" s="2" t="n">
        <x:v>86400</x:v>
      </x:c>
      <x:c r="C517" s="2" t="str">
        <x:f>'Покупки'!C58</x:f>
        <x:v>Докупка</x:v>
      </x:c>
      <x:c r="D517" s="9" t="n">
        <x:v>46282.68931712963</x:v>
      </x:c>
      <x:c r="E517" s="12"/>
      <x:c r="F517" s="12" t="n">
        <x:f>'Покупки'!H58</x:f>
        <x:v>0.0036821212152044107</x:v>
      </x:c>
      <x:c r="G517" s="14" t="str">
        <x:f>IF(I517="Есть цена",IF(AND(ISNUMBER(E517),E517&gt;0,F517&gt;0),E517/F517-1,NA()),"")</x:f>
      </x:c>
      <x:c r="H517" s="14" t="str">
        <x:f>IF(AND(I517="Есть цена",I508="Есть цена"),IF(AND(E517&gt;0,E508&gt;0),E517/E508-1,NA()),"")</x:f>
      </x:c>
      <x:c r="I517" s="2" t="str">
        <x:v>RPC: данные не загружены</x:v>
      </x:c>
      <x:c r="J517" s="2"/>
      <x:c r="K517" s="9"/>
      <x:c r="L517" s="2"/>
      <x:c r="M517" s="2"/>
      <x:c r="N517" s="2"/>
      <x:c r="O517" s="2"/>
      <x:c r="P517" s="2" t="str">
        <x:v>not_cached:getSignaturesForAddress:history/4a7224e9240180c4fdd9e4a5</x:v>
      </x:c>
      <x:c r="Q517" s="2" t="str"/>
      <x:c r="R517" s="14" t="str">
        <x:f>IF(AND(C517="Нулевой остаток",I517="Есть цена"),G517,"")</x:f>
      </x:c>
      <x:c r="S517" s="14" t="str">
        <x:f>IF(AND(C517="Докупка",I517="Есть цена"),G517,"")</x:f>
      </x:c>
    </x:row>
    <x:row r="518" ht="21" customHeight="1">
      <x:c r="A518" s="2" t="n">
        <x:v>52</x:v>
      </x:c>
      <x:c r="B518" s="2" t="n">
        <x:v>5</x:v>
      </x:c>
      <x:c r="C518" s="2" t="str">
        <x:f>'Покупки'!C59</x:f>
        <x:v>Докупка</x:v>
      </x:c>
      <x:c r="D518" s="9" t="n">
        <x:v>46281.68922453704</x:v>
      </x:c>
      <x:c r="E518" s="12"/>
      <x:c r="F518" s="12" t="n">
        <x:f>'Покупки'!H59</x:f>
        <x:v>0.1675281608977176</x:v>
      </x:c>
      <x:c r="G518" s="14" t="str">
        <x:f>IF(I518="Есть цена",IF(AND(ISNUMBER(E518),E518&gt;0,F518&gt;0),E518/F518-1,NA()),"")</x:f>
      </x:c>
      <x:c r="H518" s="14" t="str">
        <x:f>IF(AND(I518="Есть цена",I518="Есть цена"),IF(AND(E518&gt;0,E518&gt;0),E518/E518-1,NA()),"")</x:f>
      </x:c>
      <x:c r="I518" s="2" t="str">
        <x:v>RPC: данные не загружены</x:v>
      </x:c>
      <x:c r="J518" s="2"/>
      <x:c r="K518" s="9"/>
      <x:c r="L518" s="2"/>
      <x:c r="M518" s="2"/>
      <x:c r="N518" s="2"/>
      <x:c r="O518" s="2"/>
      <x:c r="P518" s="2" t="str">
        <x:v>not_cached:getSignaturesForAddress:history/a95917979c2d932c7932403b</x:v>
      </x:c>
      <x:c r="Q518" s="2" t="str"/>
      <x:c r="R518" s="14" t="str">
        <x:f>IF(AND(C518="Нулевой остаток",I518="Есть цена"),G518,"")</x:f>
      </x:c>
      <x:c r="S518" s="14" t="str">
        <x:f>IF(AND(C518="Докупка",I518="Есть цена"),G518,"")</x:f>
      </x:c>
    </x:row>
    <x:row r="519" ht="21" customHeight="1">
      <x:c r="A519" s="2" t="n">
        <x:v>52</x:v>
      </x:c>
      <x:c r="B519" s="2" t="n">
        <x:v>15</x:v>
      </x:c>
      <x:c r="C519" s="2" t="str">
        <x:f>'Покупки'!C59</x:f>
        <x:v>Докупка</x:v>
      </x:c>
      <x:c r="D519" s="9" t="n">
        <x:v>46281.68934027778</x:v>
      </x:c>
      <x:c r="E519" s="12"/>
      <x:c r="F519" s="12" t="n">
        <x:f>'Покупки'!H59</x:f>
        <x:v>0.1675281608977176</x:v>
      </x:c>
      <x:c r="G519" s="14" t="str">
        <x:f>IF(I519="Есть цена",IF(AND(ISNUMBER(E519),E519&gt;0,F519&gt;0),E519/F519-1,NA()),"")</x:f>
      </x:c>
      <x:c r="H519" s="14" t="str">
        <x:f>IF(AND(I519="Есть цена",I518="Есть цена"),IF(AND(E519&gt;0,E518&gt;0),E519/E518-1,NA()),"")</x:f>
      </x:c>
      <x:c r="I519" s="2" t="str">
        <x:v>RPC: данные не загружены</x:v>
      </x:c>
      <x:c r="J519" s="2"/>
      <x:c r="K519" s="9"/>
      <x:c r="L519" s="2"/>
      <x:c r="M519" s="2"/>
      <x:c r="N519" s="2"/>
      <x:c r="O519" s="2"/>
      <x:c r="P519" s="2" t="str">
        <x:v>not_cached:getSignaturesForAddress:history/ef3491328f0ee7a5b8b63d25</x:v>
      </x:c>
      <x:c r="Q519" s="2" t="str"/>
      <x:c r="R519" s="14" t="str">
        <x:f>IF(AND(C519="Нулевой остаток",I519="Есть цена"),G519,"")</x:f>
      </x:c>
      <x:c r="S519" s="14" t="str">
        <x:f>IF(AND(C519="Докупка",I519="Есть цена"),G519,"")</x:f>
      </x:c>
    </x:row>
    <x:row r="520" ht="21" customHeight="1">
      <x:c r="A520" s="2" t="n">
        <x:v>52</x:v>
      </x:c>
      <x:c r="B520" s="2" t="n">
        <x:v>30</x:v>
      </x:c>
      <x:c r="C520" s="2" t="str">
        <x:f>'Покупки'!C59</x:f>
        <x:v>Докупка</x:v>
      </x:c>
      <x:c r="D520" s="9" t="n">
        <x:v>46281.68951388889</x:v>
      </x:c>
      <x:c r="E520" s="12"/>
      <x:c r="F520" s="12" t="n">
        <x:f>'Покупки'!H59</x:f>
        <x:v>0.1675281608977176</x:v>
      </x:c>
      <x:c r="G520" s="14" t="str">
        <x:f>IF(I520="Есть цена",IF(AND(ISNUMBER(E520),E520&gt;0,F520&gt;0),E520/F520-1,NA()),"")</x:f>
      </x:c>
      <x:c r="H520" s="14" t="str">
        <x:f>IF(AND(I520="Есть цена",I518="Есть цена"),IF(AND(E520&gt;0,E518&gt;0),E520/E518-1,NA()),"")</x:f>
      </x:c>
      <x:c r="I520" s="2" t="str">
        <x:v>RPC: данные не загружены</x:v>
      </x:c>
      <x:c r="J520" s="2"/>
      <x:c r="K520" s="9"/>
      <x:c r="L520" s="2"/>
      <x:c r="M520" s="2"/>
      <x:c r="N520" s="2"/>
      <x:c r="O520" s="2"/>
      <x:c r="P520" s="2" t="str">
        <x:v>not_cached:getSignaturesForAddress:history/8bb03a08f45741348931a3d1</x:v>
      </x:c>
      <x:c r="Q520" s="2" t="str"/>
      <x:c r="R520" s="14" t="str">
        <x:f>IF(AND(C520="Нулевой остаток",I520="Есть цена"),G520,"")</x:f>
      </x:c>
      <x:c r="S520" s="14" t="str">
        <x:f>IF(AND(C520="Докупка",I520="Есть цена"),G520,"")</x:f>
      </x:c>
    </x:row>
    <x:row r="521" ht="21" customHeight="1">
      <x:c r="A521" s="2" t="n">
        <x:v>52</x:v>
      </x:c>
      <x:c r="B521" s="2" t="n">
        <x:v>60</x:v>
      </x:c>
      <x:c r="C521" s="2" t="str">
        <x:f>'Покупки'!C59</x:f>
        <x:v>Докупка</x:v>
      </x:c>
      <x:c r="D521" s="9" t="n">
        <x:v>46281.68986111111</x:v>
      </x:c>
      <x:c r="E521" s="12"/>
      <x:c r="F521" s="12" t="n">
        <x:f>'Покупки'!H59</x:f>
        <x:v>0.1675281608977176</x:v>
      </x:c>
      <x:c r="G521" s="14" t="str">
        <x:f>IF(I521="Есть цена",IF(AND(ISNUMBER(E521),E521&gt;0,F521&gt;0),E521/F521-1,NA()),"")</x:f>
      </x:c>
      <x:c r="H521" s="14" t="str">
        <x:f>IF(AND(I521="Есть цена",I518="Есть цена"),IF(AND(E521&gt;0,E518&gt;0),E521/E518-1,NA()),"")</x:f>
      </x:c>
      <x:c r="I521" s="2" t="str">
        <x:v>RPC: данные не загружены</x:v>
      </x:c>
      <x:c r="J521" s="2"/>
      <x:c r="K521" s="9"/>
      <x:c r="L521" s="2"/>
      <x:c r="M521" s="2"/>
      <x:c r="N521" s="2"/>
      <x:c r="O521" s="2"/>
      <x:c r="P521" s="2" t="str">
        <x:v>not_cached:getSignaturesForAddress:history/8bb03a08f45741348931a3d1</x:v>
      </x:c>
      <x:c r="Q521" s="2" t="str"/>
      <x:c r="R521" s="14" t="str">
        <x:f>IF(AND(C521="Нулевой остаток",I521="Есть цена"),G521,"")</x:f>
      </x:c>
      <x:c r="S521" s="14" t="str">
        <x:f>IF(AND(C521="Докупка",I521="Есть цена"),G521,"")</x:f>
      </x:c>
    </x:row>
    <x:row r="522" ht="21" customHeight="1">
      <x:c r="A522" s="2" t="n">
        <x:v>52</x:v>
      </x:c>
      <x:c r="B522" s="2" t="n">
        <x:v>180</x:v>
      </x:c>
      <x:c r="C522" s="2" t="str">
        <x:f>'Покупки'!C59</x:f>
        <x:v>Докупка</x:v>
      </x:c>
      <x:c r="D522" s="9" t="n">
        <x:v>46281.69125</x:v>
      </x:c>
      <x:c r="E522" s="12"/>
      <x:c r="F522" s="12" t="n">
        <x:f>'Покупки'!H59</x:f>
        <x:v>0.1675281608977176</x:v>
      </x:c>
      <x:c r="G522" s="14" t="str">
        <x:f>IF(I522="Есть цена",IF(AND(ISNUMBER(E522),E522&gt;0,F522&gt;0),E522/F522-1,NA()),"")</x:f>
      </x:c>
      <x:c r="H522" s="14" t="str">
        <x:f>IF(AND(I522="Есть цена",I518="Есть цена"),IF(AND(E522&gt;0,E518&gt;0),E522/E518-1,NA()),"")</x:f>
      </x:c>
      <x:c r="I522" s="2" t="str">
        <x:v>RPC: данные не загружены</x:v>
      </x:c>
      <x:c r="J522" s="2"/>
      <x:c r="K522" s="9"/>
      <x:c r="L522" s="2"/>
      <x:c r="M522" s="2"/>
      <x:c r="N522" s="2"/>
      <x:c r="O522" s="2"/>
      <x:c r="P522" s="2" t="str">
        <x:v>not_cached:getSignaturesForAddress:history/3e22ab7d6e1e97391e30accf</x:v>
      </x:c>
      <x:c r="Q522" s="2" t="str"/>
      <x:c r="R522" s="14" t="str">
        <x:f>IF(AND(C522="Нулевой остаток",I522="Есть цена"),G522,"")</x:f>
      </x:c>
      <x:c r="S522" s="14" t="str">
        <x:f>IF(AND(C522="Докупка",I522="Есть цена"),G522,"")</x:f>
      </x:c>
    </x:row>
    <x:row r="523" ht="21" customHeight="1">
      <x:c r="A523" s="2" t="n">
        <x:v>52</x:v>
      </x:c>
      <x:c r="B523" s="2" t="n">
        <x:v>300</x:v>
      </x:c>
      <x:c r="C523" s="2" t="str">
        <x:f>'Покупки'!C59</x:f>
        <x:v>Докупка</x:v>
      </x:c>
      <x:c r="D523" s="9" t="n">
        <x:v>46281.69263888889</x:v>
      </x:c>
      <x:c r="E523" s="12"/>
      <x:c r="F523" s="12" t="n">
        <x:f>'Покупки'!H59</x:f>
        <x:v>0.1675281608977176</x:v>
      </x:c>
      <x:c r="G523" s="14" t="str">
        <x:f>IF(I523="Есть цена",IF(AND(ISNUMBER(E523),E523&gt;0,F523&gt;0),E523/F523-1,NA()),"")</x:f>
      </x:c>
      <x:c r="H523" s="14" t="str">
        <x:f>IF(AND(I523="Есть цена",I518="Есть цена"),IF(AND(E523&gt;0,E518&gt;0),E523/E518-1,NA()),"")</x:f>
      </x:c>
      <x:c r="I523" s="2" t="str">
        <x:v>RPC: данные не загружены</x:v>
      </x:c>
      <x:c r="J523" s="2"/>
      <x:c r="K523" s="9"/>
      <x:c r="L523" s="2"/>
      <x:c r="M523" s="2"/>
      <x:c r="N523" s="2"/>
      <x:c r="O523" s="2"/>
      <x:c r="P523" s="2" t="str">
        <x:v>not_cached:getSignaturesForAddress:history/a360e602d8fc1858ea9ea7da</x:v>
      </x:c>
      <x:c r="Q523" s="2" t="str"/>
      <x:c r="R523" s="14" t="str">
        <x:f>IF(AND(C523="Нулевой остаток",I523="Есть цена"),G523,"")</x:f>
      </x:c>
      <x:c r="S523" s="14" t="str">
        <x:f>IF(AND(C523="Докупка",I523="Есть цена"),G523,"")</x:f>
      </x:c>
    </x:row>
    <x:row r="524" ht="21" customHeight="1">
      <x:c r="A524" s="2" t="n">
        <x:v>52</x:v>
      </x:c>
      <x:c r="B524" s="2" t="n">
        <x:v>900</x:v>
      </x:c>
      <x:c r="C524" s="2" t="str">
        <x:f>'Покупки'!C59</x:f>
        <x:v>Докупка</x:v>
      </x:c>
      <x:c r="D524" s="9" t="n">
        <x:v>46281.699583333335</x:v>
      </x:c>
      <x:c r="E524" s="12"/>
      <x:c r="F524" s="12" t="n">
        <x:f>'Покупки'!H59</x:f>
        <x:v>0.1675281608977176</x:v>
      </x:c>
      <x:c r="G524" s="14" t="str">
        <x:f>IF(I524="Есть цена",IF(AND(ISNUMBER(E524),E524&gt;0,F524&gt;0),E524/F524-1,NA()),"")</x:f>
      </x:c>
      <x:c r="H524" s="14" t="str">
        <x:f>IF(AND(I524="Есть цена",I518="Есть цена"),IF(AND(E524&gt;0,E518&gt;0),E524/E518-1,NA()),"")</x:f>
      </x:c>
      <x:c r="I524" s="2" t="str">
        <x:v>RPC: данные не загружены</x:v>
      </x:c>
      <x:c r="J524" s="2"/>
      <x:c r="K524" s="9"/>
      <x:c r="L524" s="2"/>
      <x:c r="M524" s="2"/>
      <x:c r="N524" s="2"/>
      <x:c r="O524" s="2"/>
      <x:c r="P524" s="2" t="str">
        <x:v>not_cached:getSignaturesForAddress:history/e91f18957abf860451a0fd8f</x:v>
      </x:c>
      <x:c r="Q524" s="2" t="str"/>
      <x:c r="R524" s="14" t="str">
        <x:f>IF(AND(C524="Нулевой остаток",I524="Есть цена"),G524,"")</x:f>
      </x:c>
      <x:c r="S524" s="14" t="str">
        <x:f>IF(AND(C524="Докупка",I524="Есть цена"),G524,"")</x:f>
      </x:c>
    </x:row>
    <x:row r="525" ht="21" customHeight="1">
      <x:c r="A525" s="2" t="n">
        <x:v>52</x:v>
      </x:c>
      <x:c r="B525" s="2" t="n">
        <x:v>3600</x:v>
      </x:c>
      <x:c r="C525" s="2" t="str">
        <x:f>'Покупки'!C59</x:f>
        <x:v>Докупка</x:v>
      </x:c>
      <x:c r="D525" s="9" t="n">
        <x:v>46281.730833333335</x:v>
      </x:c>
      <x:c r="E525" s="12"/>
      <x:c r="F525" s="12" t="n">
        <x:f>'Покупки'!H59</x:f>
        <x:v>0.1675281608977176</x:v>
      </x:c>
      <x:c r="G525" s="14" t="str">
        <x:f>IF(I525="Есть цена",IF(AND(ISNUMBER(E525),E525&gt;0,F525&gt;0),E525/F525-1,NA()),"")</x:f>
      </x:c>
      <x:c r="H525" s="14" t="str">
        <x:f>IF(AND(I525="Есть цена",I518="Есть цена"),IF(AND(E525&gt;0,E518&gt;0),E525/E518-1,NA()),"")</x:f>
      </x:c>
      <x:c r="I525" s="2" t="str">
        <x:v>RPC: данные не загружены</x:v>
      </x:c>
      <x:c r="J525" s="2"/>
      <x:c r="K525" s="9"/>
      <x:c r="L525" s="2"/>
      <x:c r="M525" s="2"/>
      <x:c r="N525" s="2"/>
      <x:c r="O525" s="2"/>
      <x:c r="P525" s="2" t="str">
        <x:v>not_cached:getSignaturesForAddress:history/648d4ca0076e3f6a74e92d09</x:v>
      </x:c>
      <x:c r="Q525" s="2" t="str"/>
      <x:c r="R525" s="14" t="str">
        <x:f>IF(AND(C525="Нулевой остаток",I525="Есть цена"),G525,"")</x:f>
      </x:c>
      <x:c r="S525" s="14" t="str">
        <x:f>IF(AND(C525="Докупка",I525="Есть цена"),G525,"")</x:f>
      </x:c>
    </x:row>
    <x:row r="526" ht="21" customHeight="1">
      <x:c r="A526" s="2" t="n">
        <x:v>52</x:v>
      </x:c>
      <x:c r="B526" s="2" t="n">
        <x:v>21600</x:v>
      </x:c>
      <x:c r="C526" s="2" t="str">
        <x:f>'Покупки'!C59</x:f>
        <x:v>Докупка</x:v>
      </x:c>
      <x:c r="D526" s="9" t="n">
        <x:v>46281.93916666666</x:v>
      </x:c>
      <x:c r="E526" s="12"/>
      <x:c r="F526" s="12" t="n">
        <x:f>'Покупки'!H59</x:f>
        <x:v>0.1675281608977176</x:v>
      </x:c>
      <x:c r="G526" s="14" t="str">
        <x:f>IF(I526="Есть цена",IF(AND(ISNUMBER(E526),E526&gt;0,F526&gt;0),E526/F526-1,NA()),"")</x:f>
      </x:c>
      <x:c r="H526" s="14" t="str">
        <x:f>IF(AND(I526="Есть цена",I518="Есть цена"),IF(AND(E526&gt;0,E518&gt;0),E526/E518-1,NA()),"")</x:f>
      </x:c>
      <x:c r="I526" s="2" t="str">
        <x:v>RPC: данные не загружены</x:v>
      </x:c>
      <x:c r="J526" s="2"/>
      <x:c r="K526" s="9"/>
      <x:c r="L526" s="2"/>
      <x:c r="M526" s="2"/>
      <x:c r="N526" s="2"/>
      <x:c r="O526" s="2"/>
      <x:c r="P526" s="2" t="str">
        <x:v>not_cached:getSignaturesForAddress:history/0d55f8076b6279271ebb447b</x:v>
      </x:c>
      <x:c r="Q526" s="2" t="str"/>
      <x:c r="R526" s="14" t="str">
        <x:f>IF(AND(C526="Нулевой остаток",I526="Есть цена"),G526,"")</x:f>
      </x:c>
      <x:c r="S526" s="14" t="str">
        <x:f>IF(AND(C526="Докупка",I526="Есть цена"),G526,"")</x:f>
      </x:c>
    </x:row>
    <x:row r="527" ht="21" customHeight="1">
      <x:c r="A527" s="2" t="n">
        <x:v>52</x:v>
      </x:c>
      <x:c r="B527" s="2" t="n">
        <x:v>86400</x:v>
      </x:c>
      <x:c r="C527" s="2" t="str">
        <x:f>'Покупки'!C59</x:f>
        <x:v>Докупка</x:v>
      </x:c>
      <x:c r="D527" s="9" t="n">
        <x:v>46282.68916666666</x:v>
      </x:c>
      <x:c r="E527" s="12"/>
      <x:c r="F527" s="12" t="n">
        <x:f>'Покупки'!H59</x:f>
        <x:v>0.1675281608977176</x:v>
      </x:c>
      <x:c r="G527" s="14" t="str">
        <x:f>IF(I527="Есть цена",IF(AND(ISNUMBER(E527),E527&gt;0,F527&gt;0),E527/F527-1,NA()),"")</x:f>
      </x:c>
      <x:c r="H527" s="14" t="str">
        <x:f>IF(AND(I527="Есть цена",I518="Есть цена"),IF(AND(E527&gt;0,E518&gt;0),E527/E518-1,NA()),"")</x:f>
      </x:c>
      <x:c r="I527" s="2" t="str">
        <x:v>RPC: данные не загружены</x:v>
      </x:c>
      <x:c r="J527" s="2"/>
      <x:c r="K527" s="9"/>
      <x:c r="L527" s="2"/>
      <x:c r="M527" s="2"/>
      <x:c r="N527" s="2"/>
      <x:c r="O527" s="2"/>
      <x:c r="P527" s="2" t="str">
        <x:v>not_cached:getSignaturesForAddress:history/40ff10999f61952c9985e352</x:v>
      </x:c>
      <x:c r="Q527" s="2" t="str"/>
      <x:c r="R527" s="14" t="str">
        <x:f>IF(AND(C527="Нулевой остаток",I527="Есть цена"),G527,"")</x:f>
      </x:c>
      <x:c r="S527" s="14" t="str">
        <x:f>IF(AND(C527="Докупка",I527="Есть цена"),G527,"")</x:f>
      </x:c>
    </x:row>
    <x:row r="528" ht="21" customHeight="1">
      <x:c r="A528" s="2" t="n">
        <x:v>53</x:v>
      </x:c>
      <x:c r="B528" s="2" t="n">
        <x:v>5</x:v>
      </x:c>
      <x:c r="C528" s="2" t="str">
        <x:f>'Покупки'!C60</x:f>
        <x:v>Докупка</x:v>
      </x:c>
      <x:c r="D528" s="9" t="n">
        <x:v>46281.68635416667</x:v>
      </x:c>
      <x:c r="E528" s="12"/>
      <x:c r="F528" s="12" t="n">
        <x:f>'Покупки'!H60</x:f>
        <x:v>0.16824559243401432</x:v>
      </x:c>
      <x:c r="G528" s="14" t="str">
        <x:f>IF(I528="Есть цена",IF(AND(ISNUMBER(E528),E528&gt;0,F528&gt;0),E528/F528-1,NA()),"")</x:f>
      </x:c>
      <x:c r="H528" s="14" t="str">
        <x:f>IF(AND(I528="Есть цена",I528="Есть цена"),IF(AND(E528&gt;0,E528&gt;0),E528/E528-1,NA()),"")</x:f>
      </x:c>
      <x:c r="I528" s="2" t="str">
        <x:v>RPC: данные не загружены</x:v>
      </x:c>
      <x:c r="J528" s="2"/>
      <x:c r="K528" s="9"/>
      <x:c r="L528" s="2"/>
      <x:c r="M528" s="2"/>
      <x:c r="N528" s="2"/>
      <x:c r="O528" s="2"/>
      <x:c r="P528" s="2" t="str">
        <x:v>not_cached:getSignaturesForAddress:history/4d261c142129a9bdfe7ca0dc</x:v>
      </x:c>
      <x:c r="Q528" s="2" t="str"/>
      <x:c r="R528" s="14" t="str">
        <x:f>IF(AND(C528="Нулевой остаток",I528="Есть цена"),G528,"")</x:f>
      </x:c>
      <x:c r="S528" s="14" t="str">
        <x:f>IF(AND(C528="Докупка",I528="Есть цена"),G528,"")</x:f>
      </x:c>
    </x:row>
    <x:row r="529" ht="21" customHeight="1">
      <x:c r="A529" s="2" t="n">
        <x:v>53</x:v>
      </x:c>
      <x:c r="B529" s="2" t="n">
        <x:v>15</x:v>
      </x:c>
      <x:c r="C529" s="2" t="str">
        <x:f>'Покупки'!C60</x:f>
        <x:v>Докупка</x:v>
      </x:c>
      <x:c r="D529" s="9" t="n">
        <x:v>46281.68646990741</x:v>
      </x:c>
      <x:c r="E529" s="12"/>
      <x:c r="F529" s="12" t="n">
        <x:f>'Покупки'!H60</x:f>
        <x:v>0.16824559243401432</x:v>
      </x:c>
      <x:c r="G529" s="14" t="str">
        <x:f>IF(I529="Есть цена",IF(AND(ISNUMBER(E529),E529&gt;0,F529&gt;0),E529/F529-1,NA()),"")</x:f>
      </x:c>
      <x:c r="H529" s="14" t="str">
        <x:f>IF(AND(I529="Есть цена",I528="Есть цена"),IF(AND(E529&gt;0,E528&gt;0),E529/E528-1,NA()),"")</x:f>
      </x:c>
      <x:c r="I529" s="2" t="str">
        <x:v>RPC: данные не загружены</x:v>
      </x:c>
      <x:c r="J529" s="2"/>
      <x:c r="K529" s="9"/>
      <x:c r="L529" s="2"/>
      <x:c r="M529" s="2"/>
      <x:c r="N529" s="2"/>
      <x:c r="O529" s="2"/>
      <x:c r="P529" s="2" t="str">
        <x:v>not_cached:getSignaturesForAddress:history/4d261c142129a9bdfe7ca0dc</x:v>
      </x:c>
      <x:c r="Q529" s="2" t="str"/>
      <x:c r="R529" s="14" t="str">
        <x:f>IF(AND(C529="Нулевой остаток",I529="Есть цена"),G529,"")</x:f>
      </x:c>
      <x:c r="S529" s="14" t="str">
        <x:f>IF(AND(C529="Докупка",I529="Есть цена"),G529,"")</x:f>
      </x:c>
    </x:row>
    <x:row r="530" ht="21" customHeight="1">
      <x:c r="A530" s="2" t="n">
        <x:v>53</x:v>
      </x:c>
      <x:c r="B530" s="2" t="n">
        <x:v>30</x:v>
      </x:c>
      <x:c r="C530" s="2" t="str">
        <x:f>'Покупки'!C60</x:f>
        <x:v>Докупка</x:v>
      </x:c>
      <x:c r="D530" s="9" t="n">
        <x:v>46281.68664351852</x:v>
      </x:c>
      <x:c r="E530" s="12"/>
      <x:c r="F530" s="12" t="n">
        <x:f>'Покупки'!H60</x:f>
        <x:v>0.16824559243401432</x:v>
      </x:c>
      <x:c r="G530" s="14" t="str">
        <x:f>IF(I530="Есть цена",IF(AND(ISNUMBER(E530),E530&gt;0,F530&gt;0),E530/F530-1,NA()),"")</x:f>
      </x:c>
      <x:c r="H530" s="14" t="str">
        <x:f>IF(AND(I530="Есть цена",I528="Есть цена"),IF(AND(E530&gt;0,E528&gt;0),E530/E528-1,NA()),"")</x:f>
      </x:c>
      <x:c r="I530" s="2" t="str">
        <x:v>RPC: данные не загружены</x:v>
      </x:c>
      <x:c r="J530" s="2"/>
      <x:c r="K530" s="9"/>
      <x:c r="L530" s="2"/>
      <x:c r="M530" s="2"/>
      <x:c r="N530" s="2"/>
      <x:c r="O530" s="2"/>
      <x:c r="P530" s="2" t="str">
        <x:v>not_cached:getSignaturesForAddress:history/d0d8205d8574c36c78d75422</x:v>
      </x:c>
      <x:c r="Q530" s="2" t="str"/>
      <x:c r="R530" s="14" t="str">
        <x:f>IF(AND(C530="Нулевой остаток",I530="Есть цена"),G530,"")</x:f>
      </x:c>
      <x:c r="S530" s="14" t="str">
        <x:f>IF(AND(C530="Докупка",I530="Есть цена"),G530,"")</x:f>
      </x:c>
    </x:row>
    <x:row r="531" ht="21" customHeight="1">
      <x:c r="A531" s="2" t="n">
        <x:v>53</x:v>
      </x:c>
      <x:c r="B531" s="2" t="n">
        <x:v>60</x:v>
      </x:c>
      <x:c r="C531" s="2" t="str">
        <x:f>'Покупки'!C60</x:f>
        <x:v>Докупка</x:v>
      </x:c>
      <x:c r="D531" s="9" t="n">
        <x:v>46281.68699074074</x:v>
      </x:c>
      <x:c r="E531" s="12"/>
      <x:c r="F531" s="12" t="n">
        <x:f>'Покупки'!H60</x:f>
        <x:v>0.16824559243401432</x:v>
      </x:c>
      <x:c r="G531" s="14" t="str">
        <x:f>IF(I531="Есть цена",IF(AND(ISNUMBER(E531),E531&gt;0,F531&gt;0),E531/F531-1,NA()),"")</x:f>
      </x:c>
      <x:c r="H531" s="14" t="str">
        <x:f>IF(AND(I531="Есть цена",I528="Есть цена"),IF(AND(E531&gt;0,E528&gt;0),E531/E528-1,NA()),"")</x:f>
      </x:c>
      <x:c r="I531" s="2" t="str">
        <x:v>RPC: данные не загружены</x:v>
      </x:c>
      <x:c r="J531" s="2"/>
      <x:c r="K531" s="9"/>
      <x:c r="L531" s="2"/>
      <x:c r="M531" s="2"/>
      <x:c r="N531" s="2"/>
      <x:c r="O531" s="2"/>
      <x:c r="P531" s="2" t="str">
        <x:v>not_cached:getSignaturesForAddress:history/35a83dd3bb3c25a52c1b1e26</x:v>
      </x:c>
      <x:c r="Q531" s="2" t="str"/>
      <x:c r="R531" s="14" t="str">
        <x:f>IF(AND(C531="Нулевой остаток",I531="Есть цена"),G531,"")</x:f>
      </x:c>
      <x:c r="S531" s="14" t="str">
        <x:f>IF(AND(C531="Докупка",I531="Есть цена"),G531,"")</x:f>
      </x:c>
    </x:row>
    <x:row r="532" ht="21" customHeight="1">
      <x:c r="A532" s="2" t="n">
        <x:v>53</x:v>
      </x:c>
      <x:c r="B532" s="2" t="n">
        <x:v>180</x:v>
      </x:c>
      <x:c r="C532" s="2" t="str">
        <x:f>'Покупки'!C60</x:f>
        <x:v>Докупка</x:v>
      </x:c>
      <x:c r="D532" s="9" t="n">
        <x:v>46281.68837962963</x:v>
      </x:c>
      <x:c r="E532" s="12"/>
      <x:c r="F532" s="12" t="n">
        <x:f>'Покупки'!H60</x:f>
        <x:v>0.16824559243401432</x:v>
      </x:c>
      <x:c r="G532" s="14" t="str">
        <x:f>IF(I532="Есть цена",IF(AND(ISNUMBER(E532),E532&gt;0,F532&gt;0),E532/F532-1,NA()),"")</x:f>
      </x:c>
      <x:c r="H532" s="14" t="str">
        <x:f>IF(AND(I532="Есть цена",I528="Есть цена"),IF(AND(E532&gt;0,E528&gt;0),E532/E528-1,NA()),"")</x:f>
      </x:c>
      <x:c r="I532" s="2" t="str">
        <x:v>RPC: данные не загружены</x:v>
      </x:c>
      <x:c r="J532" s="2"/>
      <x:c r="K532" s="9"/>
      <x:c r="L532" s="2"/>
      <x:c r="M532" s="2"/>
      <x:c r="N532" s="2"/>
      <x:c r="O532" s="2"/>
      <x:c r="P532" s="2" t="str">
        <x:v>not_cached:getSignaturesForAddress:history/db202b52f3f5b374a5ecee16</x:v>
      </x:c>
      <x:c r="Q532" s="2" t="str"/>
      <x:c r="R532" s="14" t="str">
        <x:f>IF(AND(C532="Нулевой остаток",I532="Есть цена"),G532,"")</x:f>
      </x:c>
      <x:c r="S532" s="14" t="str">
        <x:f>IF(AND(C532="Докупка",I532="Есть цена"),G532,"")</x:f>
      </x:c>
    </x:row>
    <x:row r="533" ht="21" customHeight="1">
      <x:c r="A533" s="2" t="n">
        <x:v>53</x:v>
      </x:c>
      <x:c r="B533" s="2" t="n">
        <x:v>300</x:v>
      </x:c>
      <x:c r="C533" s="2" t="str">
        <x:f>'Покупки'!C60</x:f>
        <x:v>Докупка</x:v>
      </x:c>
      <x:c r="D533" s="9" t="n">
        <x:v>46281.68976851852</x:v>
      </x:c>
      <x:c r="E533" s="12"/>
      <x:c r="F533" s="12" t="n">
        <x:f>'Покупки'!H60</x:f>
        <x:v>0.16824559243401432</x:v>
      </x:c>
      <x:c r="G533" s="14" t="str">
        <x:f>IF(I533="Есть цена",IF(AND(ISNUMBER(E533),E533&gt;0,F533&gt;0),E533/F533-1,NA()),"")</x:f>
      </x:c>
      <x:c r="H533" s="14" t="str">
        <x:f>IF(AND(I533="Есть цена",I528="Есть цена"),IF(AND(E533&gt;0,E528&gt;0),E533/E528-1,NA()),"")</x:f>
      </x:c>
      <x:c r="I533" s="2" t="str">
        <x:v>RPC: данные не загружены</x:v>
      </x:c>
      <x:c r="J533" s="2"/>
      <x:c r="K533" s="9"/>
      <x:c r="L533" s="2"/>
      <x:c r="M533" s="2"/>
      <x:c r="N533" s="2"/>
      <x:c r="O533" s="2"/>
      <x:c r="P533" s="2" t="str">
        <x:v>not_cached:getSignaturesForAddress:history/8bb03a08f45741348931a3d1</x:v>
      </x:c>
      <x:c r="Q533" s="2" t="str"/>
      <x:c r="R533" s="14" t="str">
        <x:f>IF(AND(C533="Нулевой остаток",I533="Есть цена"),G533,"")</x:f>
      </x:c>
      <x:c r="S533" s="14" t="str">
        <x:f>IF(AND(C533="Докупка",I533="Есть цена"),G533,"")</x:f>
      </x:c>
    </x:row>
    <x:row r="534" ht="21" customHeight="1">
      <x:c r="A534" s="2" t="n">
        <x:v>53</x:v>
      </x:c>
      <x:c r="B534" s="2" t="n">
        <x:v>900</x:v>
      </x:c>
      <x:c r="C534" s="2" t="str">
        <x:f>'Покупки'!C60</x:f>
        <x:v>Докупка</x:v>
      </x:c>
      <x:c r="D534" s="9" t="n">
        <x:v>46281.69671296296</x:v>
      </x:c>
      <x:c r="E534" s="12"/>
      <x:c r="F534" s="12" t="n">
        <x:f>'Покупки'!H60</x:f>
        <x:v>0.16824559243401432</x:v>
      </x:c>
      <x:c r="G534" s="14" t="str">
        <x:f>IF(I534="Есть цена",IF(AND(ISNUMBER(E534),E534&gt;0,F534&gt;0),E534/F534-1,NA()),"")</x:f>
      </x:c>
      <x:c r="H534" s="14" t="str">
        <x:f>IF(AND(I534="Есть цена",I528="Есть цена"),IF(AND(E534&gt;0,E528&gt;0),E534/E528-1,NA()),"")</x:f>
      </x:c>
      <x:c r="I534" s="2" t="str">
        <x:v>RPC: данные не загружены</x:v>
      </x:c>
      <x:c r="J534" s="2"/>
      <x:c r="K534" s="9"/>
      <x:c r="L534" s="2"/>
      <x:c r="M534" s="2"/>
      <x:c r="N534" s="2"/>
      <x:c r="O534" s="2"/>
      <x:c r="P534" s="2" t="str">
        <x:v>not_cached:getSignaturesForAddress:history/7705ece047adbb04444c389b</x:v>
      </x:c>
      <x:c r="Q534" s="2" t="str"/>
      <x:c r="R534" s="14" t="str">
        <x:f>IF(AND(C534="Нулевой остаток",I534="Есть цена"),G534,"")</x:f>
      </x:c>
      <x:c r="S534" s="14" t="str">
        <x:f>IF(AND(C534="Докупка",I534="Есть цена"),G534,"")</x:f>
      </x:c>
    </x:row>
    <x:row r="535" ht="21" customHeight="1">
      <x:c r="A535" s="2" t="n">
        <x:v>53</x:v>
      </x:c>
      <x:c r="B535" s="2" t="n">
        <x:v>3600</x:v>
      </x:c>
      <x:c r="C535" s="2" t="str">
        <x:f>'Покупки'!C60</x:f>
        <x:v>Докупка</x:v>
      </x:c>
      <x:c r="D535" s="9" t="n">
        <x:v>46281.72796296296</x:v>
      </x:c>
      <x:c r="E535" s="12"/>
      <x:c r="F535" s="12" t="n">
        <x:f>'Покупки'!H60</x:f>
        <x:v>0.16824559243401432</x:v>
      </x:c>
      <x:c r="G535" s="14" t="str">
        <x:f>IF(I535="Есть цена",IF(AND(ISNUMBER(E535),E535&gt;0,F535&gt;0),E535/F535-1,NA()),"")</x:f>
      </x:c>
      <x:c r="H535" s="14" t="str">
        <x:f>IF(AND(I535="Есть цена",I528="Есть цена"),IF(AND(E535&gt;0,E528&gt;0),E535/E528-1,NA()),"")</x:f>
      </x:c>
      <x:c r="I535" s="2" t="str">
        <x:v>RPC: данные не загружены</x:v>
      </x:c>
      <x:c r="J535" s="2"/>
      <x:c r="K535" s="9"/>
      <x:c r="L535" s="2"/>
      <x:c r="M535" s="2"/>
      <x:c r="N535" s="2"/>
      <x:c r="O535" s="2"/>
      <x:c r="P535" s="2" t="str">
        <x:v>not_cached:getSignaturesForAddress:history/648d4ca0076e3f6a74e92d09</x:v>
      </x:c>
      <x:c r="Q535" s="2" t="str"/>
      <x:c r="R535" s="14" t="str">
        <x:f>IF(AND(C535="Нулевой остаток",I535="Есть цена"),G535,"")</x:f>
      </x:c>
      <x:c r="S535" s="14" t="str">
        <x:f>IF(AND(C535="Докупка",I535="Есть цена"),G535,"")</x:f>
      </x:c>
    </x:row>
    <x:row r="536" ht="21" customHeight="1">
      <x:c r="A536" s="2" t="n">
        <x:v>53</x:v>
      </x:c>
      <x:c r="B536" s="2" t="n">
        <x:v>21600</x:v>
      </x:c>
      <x:c r="C536" s="2" t="str">
        <x:f>'Покупки'!C60</x:f>
        <x:v>Докупка</x:v>
      </x:c>
      <x:c r="D536" s="9" t="n">
        <x:v>46281.9362962963</x:v>
      </x:c>
      <x:c r="E536" s="12"/>
      <x:c r="F536" s="12" t="n">
        <x:f>'Покупки'!H60</x:f>
        <x:v>0.16824559243401432</x:v>
      </x:c>
      <x:c r="G536" s="14" t="str">
        <x:f>IF(I536="Есть цена",IF(AND(ISNUMBER(E536),E536&gt;0,F536&gt;0),E536/F536-1,NA()),"")</x:f>
      </x:c>
      <x:c r="H536" s="14" t="str">
        <x:f>IF(AND(I536="Есть цена",I528="Есть цена"),IF(AND(E536&gt;0,E528&gt;0),E536/E528-1,NA()),"")</x:f>
      </x:c>
      <x:c r="I536" s="2" t="str">
        <x:v>RPC: данные не загружены</x:v>
      </x:c>
      <x:c r="J536" s="2"/>
      <x:c r="K536" s="9"/>
      <x:c r="L536" s="2"/>
      <x:c r="M536" s="2"/>
      <x:c r="N536" s="2"/>
      <x:c r="O536" s="2"/>
      <x:c r="P536" s="2" t="str">
        <x:v>not_cached:getSignaturesForAddress:history/0a4f7d3d76c710e0e794abd9</x:v>
      </x:c>
      <x:c r="Q536" s="2" t="str"/>
      <x:c r="R536" s="14" t="str">
        <x:f>IF(AND(C536="Нулевой остаток",I536="Есть цена"),G536,"")</x:f>
      </x:c>
      <x:c r="S536" s="14" t="str">
        <x:f>IF(AND(C536="Докупка",I536="Есть цена"),G536,"")</x:f>
      </x:c>
    </x:row>
    <x:row r="537" ht="21" customHeight="1">
      <x:c r="A537" s="2" t="n">
        <x:v>53</x:v>
      </x:c>
      <x:c r="B537" s="2" t="n">
        <x:v>86400</x:v>
      </x:c>
      <x:c r="C537" s="2" t="str">
        <x:f>'Покупки'!C60</x:f>
        <x:v>Докупка</x:v>
      </x:c>
      <x:c r="D537" s="9" t="n">
        <x:v>46282.6862962963</x:v>
      </x:c>
      <x:c r="E537" s="12"/>
      <x:c r="F537" s="12" t="n">
        <x:f>'Покупки'!H60</x:f>
        <x:v>0.16824559243401432</x:v>
      </x:c>
      <x:c r="G537" s="14" t="str">
        <x:f>IF(I537="Есть цена",IF(AND(ISNUMBER(E537),E537&gt;0,F537&gt;0),E537/F537-1,NA()),"")</x:f>
      </x:c>
      <x:c r="H537" s="14" t="str">
        <x:f>IF(AND(I537="Есть цена",I528="Есть цена"),IF(AND(E537&gt;0,E528&gt;0),E537/E528-1,NA()),"")</x:f>
      </x:c>
      <x:c r="I537" s="2" t="str">
        <x:v>RPC: данные не загружены</x:v>
      </x:c>
      <x:c r="J537" s="2"/>
      <x:c r="K537" s="9"/>
      <x:c r="L537" s="2"/>
      <x:c r="M537" s="2"/>
      <x:c r="N537" s="2"/>
      <x:c r="O537" s="2"/>
      <x:c r="P537" s="2" t="str">
        <x:v>not_cached:getSignaturesForAddress:history/40ff10999f61952c9985e352</x:v>
      </x:c>
      <x:c r="Q537" s="2" t="str"/>
      <x:c r="R537" s="14" t="str">
        <x:f>IF(AND(C537="Нулевой остаток",I537="Есть цена"),G537,"")</x:f>
      </x:c>
      <x:c r="S537" s="14" t="str">
        <x:f>IF(AND(C537="Докупка",I537="Есть цена"),G537,"")</x:f>
      </x:c>
    </x:row>
    <x:row r="538" ht="21" customHeight="1">
      <x:c r="A538" s="2" t="n">
        <x:v>54</x:v>
      </x:c>
      <x:c r="B538" s="2" t="n">
        <x:v>5</x:v>
      </x:c>
      <x:c r="C538" s="2" t="str">
        <x:f>'Покупки'!C61</x:f>
        <x:v>Докупка</x:v>
      </x:c>
      <x:c r="D538" s="9" t="n">
        <x:v>46281.68616898148</x:v>
      </x:c>
      <x:c r="E538" s="12"/>
      <x:c r="F538" s="12" t="n">
        <x:f>'Покупки'!H61</x:f>
        <x:v>0.003341125104869065</x:v>
      </x:c>
      <x:c r="G538" s="14" t="str">
        <x:f>IF(I538="Есть цена",IF(AND(ISNUMBER(E538),E538&gt;0,F538&gt;0),E538/F538-1,NA()),"")</x:f>
      </x:c>
      <x:c r="H538" s="14" t="str">
        <x:f>IF(AND(I538="Есть цена",I538="Есть цена"),IF(AND(E538&gt;0,E538&gt;0),E538/E538-1,NA()),"")</x:f>
      </x:c>
      <x:c r="I538" s="2" t="str">
        <x:v>RPC: данные не загружены</x:v>
      </x:c>
      <x:c r="J538" s="2"/>
      <x:c r="K538" s="9"/>
      <x:c r="L538" s="2"/>
      <x:c r="M538" s="2"/>
      <x:c r="N538" s="2"/>
      <x:c r="O538" s="2"/>
      <x:c r="P538" s="2" t="str">
        <x:v>not_cached:getSignaturesForAddress:history/48e0906533ba2d74b4ffc881</x:v>
      </x:c>
      <x:c r="Q538" s="2" t="str"/>
      <x:c r="R538" s="14" t="str">
        <x:f>IF(AND(C538="Нулевой остаток",I538="Есть цена"),G538,"")</x:f>
      </x:c>
      <x:c r="S538" s="14" t="str">
        <x:f>IF(AND(C538="Докупка",I538="Есть цена"),G538,"")</x:f>
      </x:c>
    </x:row>
    <x:row r="539" ht="21" customHeight="1">
      <x:c r="A539" s="2" t="n">
        <x:v>54</x:v>
      </x:c>
      <x:c r="B539" s="2" t="n">
        <x:v>15</x:v>
      </x:c>
      <x:c r="C539" s="2" t="str">
        <x:f>'Покупки'!C61</x:f>
        <x:v>Докупка</x:v>
      </x:c>
      <x:c r="D539" s="9" t="n">
        <x:v>46281.68628472222</x:v>
      </x:c>
      <x:c r="E539" s="12"/>
      <x:c r="F539" s="12" t="n">
        <x:f>'Покупки'!H61</x:f>
        <x:v>0.003341125104869065</x:v>
      </x:c>
      <x:c r="G539" s="14" t="str">
        <x:f>IF(I539="Есть цена",IF(AND(ISNUMBER(E539),E539&gt;0,F539&gt;0),E539/F539-1,NA()),"")</x:f>
      </x:c>
      <x:c r="H539" s="14" t="str">
        <x:f>IF(AND(I539="Есть цена",I538="Есть цена"),IF(AND(E539&gt;0,E538&gt;0),E539/E538-1,NA()),"")</x:f>
      </x:c>
      <x:c r="I539" s="2" t="str">
        <x:v>RPC: данные не загружены</x:v>
      </x:c>
      <x:c r="J539" s="2"/>
      <x:c r="K539" s="9"/>
      <x:c r="L539" s="2"/>
      <x:c r="M539" s="2"/>
      <x:c r="N539" s="2"/>
      <x:c r="O539" s="2"/>
      <x:c r="P539" s="2" t="str">
        <x:v>not_cached:getSignaturesForAddress:history/48e0906533ba2d74b4ffc881</x:v>
      </x:c>
      <x:c r="Q539" s="2" t="str"/>
      <x:c r="R539" s="14" t="str">
        <x:f>IF(AND(C539="Нулевой остаток",I539="Есть цена"),G539,"")</x:f>
      </x:c>
      <x:c r="S539" s="14" t="str">
        <x:f>IF(AND(C539="Докупка",I539="Есть цена"),G539,"")</x:f>
      </x:c>
    </x:row>
    <x:row r="540" ht="21" customHeight="1">
      <x:c r="A540" s="2" t="n">
        <x:v>54</x:v>
      </x:c>
      <x:c r="B540" s="2" t="n">
        <x:v>30</x:v>
      </x:c>
      <x:c r="C540" s="2" t="str">
        <x:f>'Покупки'!C61</x:f>
        <x:v>Докупка</x:v>
      </x:c>
      <x:c r="D540" s="9" t="n">
        <x:v>46281.68645833333</x:v>
      </x:c>
      <x:c r="E540" s="12"/>
      <x:c r="F540" s="12" t="n">
        <x:f>'Покупки'!H61</x:f>
        <x:v>0.003341125104869065</x:v>
      </x:c>
      <x:c r="G540" s="14" t="str">
        <x:f>IF(I540="Есть цена",IF(AND(ISNUMBER(E540),E540&gt;0,F540&gt;0),E540/F540-1,NA()),"")</x:f>
      </x:c>
      <x:c r="H540" s="14" t="str">
        <x:f>IF(AND(I540="Есть цена",I538="Есть цена"),IF(AND(E540&gt;0,E538&gt;0),E540/E538-1,NA()),"")</x:f>
      </x:c>
      <x:c r="I540" s="2" t="str">
        <x:v>RPC: данные не загружены</x:v>
      </x:c>
      <x:c r="J540" s="2"/>
      <x:c r="K540" s="9"/>
      <x:c r="L540" s="2"/>
      <x:c r="M540" s="2"/>
      <x:c r="N540" s="2"/>
      <x:c r="O540" s="2"/>
      <x:c r="P540" s="2" t="str">
        <x:v>not_cached:getSignaturesForAddress:history/21a1cff719197cb0eeb7a9fa</x:v>
      </x:c>
      <x:c r="Q540" s="2" t="str"/>
      <x:c r="R540" s="14" t="str">
        <x:f>IF(AND(C540="Нулевой остаток",I540="Есть цена"),G540,"")</x:f>
      </x:c>
      <x:c r="S540" s="14" t="str">
        <x:f>IF(AND(C540="Докупка",I540="Есть цена"),G540,"")</x:f>
      </x:c>
    </x:row>
    <x:row r="541" ht="21" customHeight="1">
      <x:c r="A541" s="2" t="n">
        <x:v>54</x:v>
      </x:c>
      <x:c r="B541" s="2" t="n">
        <x:v>60</x:v>
      </x:c>
      <x:c r="C541" s="2" t="str">
        <x:f>'Покупки'!C61</x:f>
        <x:v>Докупка</x:v>
      </x:c>
      <x:c r="D541" s="9" t="n">
        <x:v>46281.68680555555</x:v>
      </x:c>
      <x:c r="E541" s="12"/>
      <x:c r="F541" s="12" t="n">
        <x:f>'Покупки'!H61</x:f>
        <x:v>0.003341125104869065</x:v>
      </x:c>
      <x:c r="G541" s="14" t="str">
        <x:f>IF(I541="Есть цена",IF(AND(ISNUMBER(E541),E541&gt;0,F541&gt;0),E541/F541-1,NA()),"")</x:f>
      </x:c>
      <x:c r="H541" s="14" t="str">
        <x:f>IF(AND(I541="Есть цена",I538="Есть цена"),IF(AND(E541&gt;0,E538&gt;0),E541/E538-1,NA()),"")</x:f>
      </x:c>
      <x:c r="I541" s="2" t="str">
        <x:v>RPC: данные не загружены</x:v>
      </x:c>
      <x:c r="J541" s="2"/>
      <x:c r="K541" s="9"/>
      <x:c r="L541" s="2"/>
      <x:c r="M541" s="2"/>
      <x:c r="N541" s="2"/>
      <x:c r="O541" s="2"/>
      <x:c r="P541" s="2" t="str">
        <x:v>not_cached:getSignaturesForAddress:history/1c9632cd0419d4bd8ab763d2</x:v>
      </x:c>
      <x:c r="Q541" s="2" t="str"/>
      <x:c r="R541" s="14" t="str">
        <x:f>IF(AND(C541="Нулевой остаток",I541="Есть цена"),G541,"")</x:f>
      </x:c>
      <x:c r="S541" s="14" t="str">
        <x:f>IF(AND(C541="Докупка",I541="Есть цена"),G541,"")</x:f>
      </x:c>
    </x:row>
    <x:row r="542" ht="21" customHeight="1">
      <x:c r="A542" s="2" t="n">
        <x:v>54</x:v>
      </x:c>
      <x:c r="B542" s="2" t="n">
        <x:v>180</x:v>
      </x:c>
      <x:c r="C542" s="2" t="str">
        <x:f>'Покупки'!C61</x:f>
        <x:v>Докупка</x:v>
      </x:c>
      <x:c r="D542" s="9" t="n">
        <x:v>46281.68819444445</x:v>
      </x:c>
      <x:c r="E542" s="12"/>
      <x:c r="F542" s="12" t="n">
        <x:f>'Покупки'!H61</x:f>
        <x:v>0.003341125104869065</x:v>
      </x:c>
      <x:c r="G542" s="14" t="str">
        <x:f>IF(I542="Есть цена",IF(AND(ISNUMBER(E542),E542&gt;0,F542&gt;0),E542/F542-1,NA()),"")</x:f>
      </x:c>
      <x:c r="H542" s="14" t="str">
        <x:f>IF(AND(I542="Есть цена",I538="Есть цена"),IF(AND(E542&gt;0,E538&gt;0),E542/E538-1,NA()),"")</x:f>
      </x:c>
      <x:c r="I542" s="2" t="str">
        <x:v>RPC: данные не загружены</x:v>
      </x:c>
      <x:c r="J542" s="2"/>
      <x:c r="K542" s="9"/>
      <x:c r="L542" s="2"/>
      <x:c r="M542" s="2"/>
      <x:c r="N542" s="2"/>
      <x:c r="O542" s="2"/>
      <x:c r="P542" s="2" t="str">
        <x:v>not_cached:getSignaturesForAddress:history/4060df8e14d704b1b4a4b849</x:v>
      </x:c>
      <x:c r="Q542" s="2" t="str"/>
      <x:c r="R542" s="14" t="str">
        <x:f>IF(AND(C542="Нулевой остаток",I542="Есть цена"),G542,"")</x:f>
      </x:c>
      <x:c r="S542" s="14" t="str">
        <x:f>IF(AND(C542="Докупка",I542="Есть цена"),G542,"")</x:f>
      </x:c>
    </x:row>
    <x:row r="543" ht="21" customHeight="1">
      <x:c r="A543" s="2" t="n">
        <x:v>54</x:v>
      </x:c>
      <x:c r="B543" s="2" t="n">
        <x:v>300</x:v>
      </x:c>
      <x:c r="C543" s="2" t="str">
        <x:f>'Покупки'!C61</x:f>
        <x:v>Докупка</x:v>
      </x:c>
      <x:c r="D543" s="9" t="n">
        <x:v>46281.68958333333</x:v>
      </x:c>
      <x:c r="E543" s="12"/>
      <x:c r="F543" s="12" t="n">
        <x:f>'Покупки'!H61</x:f>
        <x:v>0.003341125104869065</x:v>
      </x:c>
      <x:c r="G543" s="14" t="str">
        <x:f>IF(I543="Есть цена",IF(AND(ISNUMBER(E543),E543&gt;0,F543&gt;0),E543/F543-1,NA()),"")</x:f>
      </x:c>
      <x:c r="H543" s="14" t="str">
        <x:f>IF(AND(I543="Есть цена",I538="Есть цена"),IF(AND(E543&gt;0,E538&gt;0),E543/E538-1,NA()),"")</x:f>
      </x:c>
      <x:c r="I543" s="2" t="str">
        <x:v>RPC: данные не загружены</x:v>
      </x:c>
      <x:c r="J543" s="2"/>
      <x:c r="K543" s="9"/>
      <x:c r="L543" s="2"/>
      <x:c r="M543" s="2"/>
      <x:c r="N543" s="2"/>
      <x:c r="O543" s="2"/>
      <x:c r="P543" s="2" t="str">
        <x:v>not_cached:getSignaturesForAddress:history/62d0ddbab241cf275d9a276c</x:v>
      </x:c>
      <x:c r="Q543" s="2" t="str"/>
      <x:c r="R543" s="14" t="str">
        <x:f>IF(AND(C543="Нулевой остаток",I543="Есть цена"),G543,"")</x:f>
      </x:c>
      <x:c r="S543" s="14" t="str">
        <x:f>IF(AND(C543="Докупка",I543="Есть цена"),G543,"")</x:f>
      </x:c>
    </x:row>
    <x:row r="544" ht="21" customHeight="1">
      <x:c r="A544" s="2" t="n">
        <x:v>54</x:v>
      </x:c>
      <x:c r="B544" s="2" t="n">
        <x:v>900</x:v>
      </x:c>
      <x:c r="C544" s="2" t="str">
        <x:f>'Покупки'!C61</x:f>
        <x:v>Докупка</x:v>
      </x:c>
      <x:c r="D544" s="9" t="n">
        <x:v>46281.69652777778</x:v>
      </x:c>
      <x:c r="E544" s="12"/>
      <x:c r="F544" s="12" t="n">
        <x:f>'Покупки'!H61</x:f>
        <x:v>0.003341125104869065</x:v>
      </x:c>
      <x:c r="G544" s="14" t="str">
        <x:f>IF(I544="Есть цена",IF(AND(ISNUMBER(E544),E544&gt;0,F544&gt;0),E544/F544-1,NA()),"")</x:f>
      </x:c>
      <x:c r="H544" s="14" t="str">
        <x:f>IF(AND(I544="Есть цена",I538="Есть цена"),IF(AND(E544&gt;0,E538&gt;0),E544/E538-1,NA()),"")</x:f>
      </x:c>
      <x:c r="I544" s="2" t="str">
        <x:v>RPC: данные не загружены</x:v>
      </x:c>
      <x:c r="J544" s="2"/>
      <x:c r="K544" s="9"/>
      <x:c r="L544" s="2"/>
      <x:c r="M544" s="2"/>
      <x:c r="N544" s="2"/>
      <x:c r="O544" s="2"/>
      <x:c r="P544" s="2" t="str">
        <x:v>not_cached:getSignaturesForAddress:history/1492cac7963bd5a725baf2ca</x:v>
      </x:c>
      <x:c r="Q544" s="2" t="str"/>
      <x:c r="R544" s="14" t="str">
        <x:f>IF(AND(C544="Нулевой остаток",I544="Есть цена"),G544,"")</x:f>
      </x:c>
      <x:c r="S544" s="14" t="str">
        <x:f>IF(AND(C544="Докупка",I544="Есть цена"),G544,"")</x:f>
      </x:c>
    </x:row>
    <x:row r="545" ht="21" customHeight="1">
      <x:c r="A545" s="2" t="n">
        <x:v>54</x:v>
      </x:c>
      <x:c r="B545" s="2" t="n">
        <x:v>3600</x:v>
      </x:c>
      <x:c r="C545" s="2" t="str">
        <x:f>'Покупки'!C61</x:f>
        <x:v>Докупка</x:v>
      </x:c>
      <x:c r="D545" s="9" t="n">
        <x:v>46281.72777777778</x:v>
      </x:c>
      <x:c r="E545" s="12"/>
      <x:c r="F545" s="12" t="n">
        <x:f>'Покупки'!H61</x:f>
        <x:v>0.003341125104869065</x:v>
      </x:c>
      <x:c r="G545" s="14" t="str">
        <x:f>IF(I545="Есть цена",IF(AND(ISNUMBER(E545),E545&gt;0,F545&gt;0),E545/F545-1,NA()),"")</x:f>
      </x:c>
      <x:c r="H545" s="14" t="str">
        <x:f>IF(AND(I545="Есть цена",I538="Есть цена"),IF(AND(E545&gt;0,E538&gt;0),E545/E538-1,NA()),"")</x:f>
      </x:c>
      <x:c r="I545" s="2" t="str">
        <x:v>RPC: данные не загружены</x:v>
      </x:c>
      <x:c r="J545" s="2"/>
      <x:c r="K545" s="9"/>
      <x:c r="L545" s="2"/>
      <x:c r="M545" s="2"/>
      <x:c r="N545" s="2"/>
      <x:c r="O545" s="2"/>
      <x:c r="P545" s="2" t="str">
        <x:v>not_cached:getSignaturesForAddress:history/10c3cee44883c89e918faaf9</x:v>
      </x:c>
      <x:c r="Q545" s="2" t="str"/>
      <x:c r="R545" s="14" t="str">
        <x:f>IF(AND(C545="Нулевой остаток",I545="Есть цена"),G545,"")</x:f>
      </x:c>
      <x:c r="S545" s="14" t="str">
        <x:f>IF(AND(C545="Докупка",I545="Есть цена"),G545,"")</x:f>
      </x:c>
    </x:row>
    <x:row r="546" ht="21" customHeight="1">
      <x:c r="A546" s="2" t="n">
        <x:v>54</x:v>
      </x:c>
      <x:c r="B546" s="2" t="n">
        <x:v>21600</x:v>
      </x:c>
      <x:c r="C546" s="2" t="str">
        <x:f>'Покупки'!C61</x:f>
        <x:v>Докупка</x:v>
      </x:c>
      <x:c r="D546" s="9" t="n">
        <x:v>46281.936111111114</x:v>
      </x:c>
      <x:c r="E546" s="12"/>
      <x:c r="F546" s="12" t="n">
        <x:f>'Покупки'!H61</x:f>
        <x:v>0.003341125104869065</x:v>
      </x:c>
      <x:c r="G546" s="14" t="str">
        <x:f>IF(I546="Есть цена",IF(AND(ISNUMBER(E546),E546&gt;0,F546&gt;0),E546/F546-1,NA()),"")</x:f>
      </x:c>
      <x:c r="H546" s="14" t="str">
        <x:f>IF(AND(I546="Есть цена",I538="Есть цена"),IF(AND(E546&gt;0,E538&gt;0),E546/E538-1,NA()),"")</x:f>
      </x:c>
      <x:c r="I546" s="2" t="str">
        <x:v>RPC: данные не загружены</x:v>
      </x:c>
      <x:c r="J546" s="2"/>
      <x:c r="K546" s="9"/>
      <x:c r="L546" s="2"/>
      <x:c r="M546" s="2"/>
      <x:c r="N546" s="2"/>
      <x:c r="O546" s="2"/>
      <x:c r="P546" s="2" t="str">
        <x:v>not_cached:getSignaturesForAddress:history/d65688e72cc51ab697a27621</x:v>
      </x:c>
      <x:c r="Q546" s="2" t="str"/>
      <x:c r="R546" s="14" t="str">
        <x:f>IF(AND(C546="Нулевой остаток",I546="Есть цена"),G546,"")</x:f>
      </x:c>
      <x:c r="S546" s="14" t="str">
        <x:f>IF(AND(C546="Докупка",I546="Есть цена"),G546,"")</x:f>
      </x:c>
    </x:row>
    <x:row r="547" ht="21" customHeight="1">
      <x:c r="A547" s="2" t="n">
        <x:v>54</x:v>
      </x:c>
      <x:c r="B547" s="2" t="n">
        <x:v>86400</x:v>
      </x:c>
      <x:c r="C547" s="2" t="str">
        <x:f>'Покупки'!C61</x:f>
        <x:v>Докупка</x:v>
      </x:c>
      <x:c r="D547" s="9" t="n">
        <x:v>46282.686111111114</x:v>
      </x:c>
      <x:c r="E547" s="12"/>
      <x:c r="F547" s="12" t="n">
        <x:f>'Покупки'!H61</x:f>
        <x:v>0.003341125104869065</x:v>
      </x:c>
      <x:c r="G547" s="14" t="str">
        <x:f>IF(I547="Есть цена",IF(AND(ISNUMBER(E547),E547&gt;0,F547&gt;0),E547/F547-1,NA()),"")</x:f>
      </x:c>
      <x:c r="H547" s="14" t="str">
        <x:f>IF(AND(I547="Есть цена",I538="Есть цена"),IF(AND(E547&gt;0,E538&gt;0),E547/E538-1,NA()),"")</x:f>
      </x:c>
      <x:c r="I547" s="2" t="str">
        <x:v>RPC: данные не загружены</x:v>
      </x:c>
      <x:c r="J547" s="2"/>
      <x:c r="K547" s="9"/>
      <x:c r="L547" s="2"/>
      <x:c r="M547" s="2"/>
      <x:c r="N547" s="2"/>
      <x:c r="O547" s="2"/>
      <x:c r="P547" s="2" t="str">
        <x:v>not_cached:getSignaturesForAddress:history/4a7224e9240180c4fdd9e4a5</x:v>
      </x:c>
      <x:c r="Q547" s="2" t="str"/>
      <x:c r="R547" s="14" t="str">
        <x:f>IF(AND(C547="Нулевой остаток",I547="Есть цена"),G547,"")</x:f>
      </x:c>
      <x:c r="S547" s="14" t="str">
        <x:f>IF(AND(C547="Докупка",I547="Есть цена"),G547,"")</x:f>
      </x:c>
    </x:row>
    <x:row r="548" ht="21" customHeight="1">
      <x:c r="A548" s="2" t="n">
        <x:v>55</x:v>
      </x:c>
      <x:c r="B548" s="2" t="n">
        <x:v>5</x:v>
      </x:c>
      <x:c r="C548" s="2" t="str">
        <x:f>'Покупки'!C62</x:f>
        <x:v>Докупка</x:v>
      </x:c>
      <x:c r="D548" s="9" t="n">
        <x:v>46281.68607638889</x:v>
      </x:c>
      <x:c r="E548" s="12"/>
      <x:c r="F548" s="12" t="n">
        <x:f>'Покупки'!H62</x:f>
        <x:v>0.009254166951727283</x:v>
      </x:c>
      <x:c r="G548" s="14" t="str">
        <x:f>IF(I548="Есть цена",IF(AND(ISNUMBER(E548),E548&gt;0,F548&gt;0),E548/F548-1,NA()),"")</x:f>
      </x:c>
      <x:c r="H548" s="14" t="str">
        <x:f>IF(AND(I548="Есть цена",I548="Есть цена"),IF(AND(E548&gt;0,E548&gt;0),E548/E548-1,NA()),"")</x:f>
      </x:c>
      <x:c r="I548" s="2" t="str">
        <x:v>RPC: данные не загружены</x:v>
      </x:c>
      <x:c r="J548" s="2"/>
      <x:c r="K548" s="9"/>
      <x:c r="L548" s="2"/>
      <x:c r="M548" s="2"/>
      <x:c r="N548" s="2"/>
      <x:c r="O548" s="2"/>
      <x:c r="P548" s="2" t="str">
        <x:v>not_cached:getSignaturesForAddress:history/d734216015e7d4d65817deed</x:v>
      </x:c>
      <x:c r="Q548" s="2" t="str"/>
      <x:c r="R548" s="14" t="str">
        <x:f>IF(AND(C548="Нулевой остаток",I548="Есть цена"),G548,"")</x:f>
      </x:c>
      <x:c r="S548" s="14" t="str">
        <x:f>IF(AND(C548="Докупка",I548="Есть цена"),G548,"")</x:f>
      </x:c>
    </x:row>
    <x:row r="549" ht="21" customHeight="1">
      <x:c r="A549" s="2" t="n">
        <x:v>55</x:v>
      </x:c>
      <x:c r="B549" s="2" t="n">
        <x:v>15</x:v>
      </x:c>
      <x:c r="C549" s="2" t="str">
        <x:f>'Покупки'!C62</x:f>
        <x:v>Докупка</x:v>
      </x:c>
      <x:c r="D549" s="9" t="n">
        <x:v>46281.68619212963</x:v>
      </x:c>
      <x:c r="E549" s="12"/>
      <x:c r="F549" s="12" t="n">
        <x:f>'Покупки'!H62</x:f>
        <x:v>0.009254166951727283</x:v>
      </x:c>
      <x:c r="G549" s="14" t="str">
        <x:f>IF(I549="Есть цена",IF(AND(ISNUMBER(E549),E549&gt;0,F549&gt;0),E549/F549-1,NA()),"")</x:f>
      </x:c>
      <x:c r="H549" s="14" t="str">
        <x:f>IF(AND(I549="Есть цена",I548="Есть цена"),IF(AND(E549&gt;0,E548&gt;0),E549/E548-1,NA()),"")</x:f>
      </x:c>
      <x:c r="I549" s="2" t="str">
        <x:v>RPC: данные не загружены</x:v>
      </x:c>
      <x:c r="J549" s="2"/>
      <x:c r="K549" s="9"/>
      <x:c r="L549" s="2"/>
      <x:c r="M549" s="2"/>
      <x:c r="N549" s="2"/>
      <x:c r="O549" s="2"/>
      <x:c r="P549" s="2" t="str">
        <x:v>not_cached:getSignaturesForAddress:history/40df345cf778ea3f9614ffd7</x:v>
      </x:c>
      <x:c r="Q549" s="2" t="str"/>
      <x:c r="R549" s="14" t="str">
        <x:f>IF(AND(C549="Нулевой остаток",I549="Есть цена"),G549,"")</x:f>
      </x:c>
      <x:c r="S549" s="14" t="str">
        <x:f>IF(AND(C549="Докупка",I549="Есть цена"),G549,"")</x:f>
      </x:c>
    </x:row>
    <x:row r="550" ht="21" customHeight="1">
      <x:c r="A550" s="2" t="n">
        <x:v>55</x:v>
      </x:c>
      <x:c r="B550" s="2" t="n">
        <x:v>30</x:v>
      </x:c>
      <x:c r="C550" s="2" t="str">
        <x:f>'Покупки'!C62</x:f>
        <x:v>Докупка</x:v>
      </x:c>
      <x:c r="D550" s="9" t="n">
        <x:v>46281.68636574074</x:v>
      </x:c>
      <x:c r="E550" s="12"/>
      <x:c r="F550" s="12" t="n">
        <x:f>'Покупки'!H62</x:f>
        <x:v>0.009254166951727283</x:v>
      </x:c>
      <x:c r="G550" s="14" t="str">
        <x:f>IF(I550="Есть цена",IF(AND(ISNUMBER(E550),E550&gt;0,F550&gt;0),E550/F550-1,NA()),"")</x:f>
      </x:c>
      <x:c r="H550" s="14" t="str">
        <x:f>IF(AND(I550="Есть цена",I548="Есть цена"),IF(AND(E550&gt;0,E548&gt;0),E550/E548-1,NA()),"")</x:f>
      </x:c>
      <x:c r="I550" s="2" t="str">
        <x:v>RPC: данные не загружены</x:v>
      </x:c>
      <x:c r="J550" s="2"/>
      <x:c r="K550" s="9"/>
      <x:c r="L550" s="2"/>
      <x:c r="M550" s="2"/>
      <x:c r="N550" s="2"/>
      <x:c r="O550" s="2"/>
      <x:c r="P550" s="2" t="str">
        <x:v>not_cached:getSignaturesForAddress:history/e109de2d8b3b87cfb9a79c70</x:v>
      </x:c>
      <x:c r="Q550" s="2" t="str"/>
      <x:c r="R550" s="14" t="str">
        <x:f>IF(AND(C550="Нулевой остаток",I550="Есть цена"),G550,"")</x:f>
      </x:c>
      <x:c r="S550" s="14" t="str">
        <x:f>IF(AND(C550="Докупка",I550="Есть цена"),G550,"")</x:f>
      </x:c>
    </x:row>
    <x:row r="551" ht="21" customHeight="1">
      <x:c r="A551" s="2" t="n">
        <x:v>55</x:v>
      </x:c>
      <x:c r="B551" s="2" t="n">
        <x:v>60</x:v>
      </x:c>
      <x:c r="C551" s="2" t="str">
        <x:f>'Покупки'!C62</x:f>
        <x:v>Докупка</x:v>
      </x:c>
      <x:c r="D551" s="9" t="n">
        <x:v>46281.68671296296</x:v>
      </x:c>
      <x:c r="E551" s="12"/>
      <x:c r="F551" s="12" t="n">
        <x:f>'Покупки'!H62</x:f>
        <x:v>0.009254166951727283</x:v>
      </x:c>
      <x:c r="G551" s="14" t="str">
        <x:f>IF(I551="Есть цена",IF(AND(ISNUMBER(E551),E551&gt;0,F551&gt;0),E551/F551-1,NA()),"")</x:f>
      </x:c>
      <x:c r="H551" s="14" t="str">
        <x:f>IF(AND(I551="Есть цена",I548="Есть цена"),IF(AND(E551&gt;0,E548&gt;0),E551/E548-1,NA()),"")</x:f>
      </x:c>
      <x:c r="I551" s="2" t="str">
        <x:v>RPC: данные не загружены</x:v>
      </x:c>
      <x:c r="J551" s="2"/>
      <x:c r="K551" s="9"/>
      <x:c r="L551" s="2"/>
      <x:c r="M551" s="2"/>
      <x:c r="N551" s="2"/>
      <x:c r="O551" s="2"/>
      <x:c r="P551" s="2" t="str">
        <x:v>not_cached:getSignaturesForAddress:history/11137025e5c6f31f27827cba</x:v>
      </x:c>
      <x:c r="Q551" s="2" t="str"/>
      <x:c r="R551" s="14" t="str">
        <x:f>IF(AND(C551="Нулевой остаток",I551="Есть цена"),G551,"")</x:f>
      </x:c>
      <x:c r="S551" s="14" t="str">
        <x:f>IF(AND(C551="Докупка",I551="Есть цена"),G551,"")</x:f>
      </x:c>
    </x:row>
    <x:row r="552" ht="21" customHeight="1">
      <x:c r="A552" s="2" t="n">
        <x:v>55</x:v>
      </x:c>
      <x:c r="B552" s="2" t="n">
        <x:v>180</x:v>
      </x:c>
      <x:c r="C552" s="2" t="str">
        <x:f>'Покупки'!C62</x:f>
        <x:v>Докупка</x:v>
      </x:c>
      <x:c r="D552" s="9" t="n">
        <x:v>46281.688101851854</x:v>
      </x:c>
      <x:c r="E552" s="12"/>
      <x:c r="F552" s="12" t="n">
        <x:f>'Покупки'!H62</x:f>
        <x:v>0.009254166951727283</x:v>
      </x:c>
      <x:c r="G552" s="14" t="str">
        <x:f>IF(I552="Есть цена",IF(AND(ISNUMBER(E552),E552&gt;0,F552&gt;0),E552/F552-1,NA()),"")</x:f>
      </x:c>
      <x:c r="H552" s="14" t="str">
        <x:f>IF(AND(I552="Есть цена",I548="Есть цена"),IF(AND(E552&gt;0,E548&gt;0),E552/E548-1,NA()),"")</x:f>
      </x:c>
      <x:c r="I552" s="2" t="str">
        <x:v>RPC: данные не загружены</x:v>
      </x:c>
      <x:c r="J552" s="2"/>
      <x:c r="K552" s="9"/>
      <x:c r="L552" s="2"/>
      <x:c r="M552" s="2"/>
      <x:c r="N552" s="2"/>
      <x:c r="O552" s="2"/>
      <x:c r="P552" s="2" t="str">
        <x:v>not_cached:getSignaturesForAddress:history/2f684dbd5b9d9f471794240e</x:v>
      </x:c>
      <x:c r="Q552" s="2" t="str"/>
      <x:c r="R552" s="14" t="str">
        <x:f>IF(AND(C552="Нулевой остаток",I552="Есть цена"),G552,"")</x:f>
      </x:c>
      <x:c r="S552" s="14" t="str">
        <x:f>IF(AND(C552="Докупка",I552="Есть цена"),G552,"")</x:f>
      </x:c>
    </x:row>
    <x:row r="553" ht="21" customHeight="1">
      <x:c r="A553" s="2" t="n">
        <x:v>55</x:v>
      </x:c>
      <x:c r="B553" s="2" t="n">
        <x:v>300</x:v>
      </x:c>
      <x:c r="C553" s="2" t="str">
        <x:f>'Покупки'!C62</x:f>
        <x:v>Докупка</x:v>
      </x:c>
      <x:c r="D553" s="9" t="n">
        <x:v>46281.68949074074</x:v>
      </x:c>
      <x:c r="E553" s="12"/>
      <x:c r="F553" s="12" t="n">
        <x:f>'Покупки'!H62</x:f>
        <x:v>0.009254166951727283</x:v>
      </x:c>
      <x:c r="G553" s="14" t="str">
        <x:f>IF(I553="Есть цена",IF(AND(ISNUMBER(E553),E553&gt;0,F553&gt;0),E553/F553-1,NA()),"")</x:f>
      </x:c>
      <x:c r="H553" s="14" t="str">
        <x:f>IF(AND(I553="Есть цена",I548="Есть цена"),IF(AND(E553&gt;0,E548&gt;0),E553/E548-1,NA()),"")</x:f>
      </x:c>
      <x:c r="I553" s="2" t="str">
        <x:v>RPC: данные не загружены</x:v>
      </x:c>
      <x:c r="J553" s="2"/>
      <x:c r="K553" s="9"/>
      <x:c r="L553" s="2"/>
      <x:c r="M553" s="2"/>
      <x:c r="N553" s="2"/>
      <x:c r="O553" s="2"/>
      <x:c r="P553" s="2" t="str">
        <x:v>not_cached:getSignaturesForAddress:history/4d526f1bd44ea7290d8d3062</x:v>
      </x:c>
      <x:c r="Q553" s="2" t="str"/>
      <x:c r="R553" s="14" t="str">
        <x:f>IF(AND(C553="Нулевой остаток",I553="Есть цена"),G553,"")</x:f>
      </x:c>
      <x:c r="S553" s="14" t="str">
        <x:f>IF(AND(C553="Докупка",I553="Есть цена"),G553,"")</x:f>
      </x:c>
    </x:row>
    <x:row r="554" ht="21" customHeight="1">
      <x:c r="A554" s="2" t="n">
        <x:v>55</x:v>
      </x:c>
      <x:c r="B554" s="2" t="n">
        <x:v>900</x:v>
      </x:c>
      <x:c r="C554" s="2" t="str">
        <x:f>'Покупки'!C62</x:f>
        <x:v>Докупка</x:v>
      </x:c>
      <x:c r="D554" s="9" t="n">
        <x:v>46281.696435185186</x:v>
      </x:c>
      <x:c r="E554" s="12"/>
      <x:c r="F554" s="12" t="n">
        <x:f>'Покупки'!H62</x:f>
        <x:v>0.009254166951727283</x:v>
      </x:c>
      <x:c r="G554" s="14" t="str">
        <x:f>IF(I554="Есть цена",IF(AND(ISNUMBER(E554),E554&gt;0,F554&gt;0),E554/F554-1,NA()),"")</x:f>
      </x:c>
      <x:c r="H554" s="14" t="str">
        <x:f>IF(AND(I554="Есть цена",I548="Есть цена"),IF(AND(E554&gt;0,E548&gt;0),E554/E548-1,NA()),"")</x:f>
      </x:c>
      <x:c r="I554" s="2" t="str">
        <x:v>RPC: данные не загружены</x:v>
      </x:c>
      <x:c r="J554" s="2"/>
      <x:c r="K554" s="9"/>
      <x:c r="L554" s="2"/>
      <x:c r="M554" s="2"/>
      <x:c r="N554" s="2"/>
      <x:c r="O554" s="2"/>
      <x:c r="P554" s="2" t="str">
        <x:v>not_cached:getSignaturesForAddress:history/c1501bd2d15f2cebc6cd756e</x:v>
      </x:c>
      <x:c r="Q554" s="2" t="str"/>
      <x:c r="R554" s="14" t="str">
        <x:f>IF(AND(C554="Нулевой остаток",I554="Есть цена"),G554,"")</x:f>
      </x:c>
      <x:c r="S554" s="14" t="str">
        <x:f>IF(AND(C554="Докупка",I554="Есть цена"),G554,"")</x:f>
      </x:c>
    </x:row>
    <x:row r="555" ht="21" customHeight="1">
      <x:c r="A555" s="2" t="n">
        <x:v>55</x:v>
      </x:c>
      <x:c r="B555" s="2" t="n">
        <x:v>3600</x:v>
      </x:c>
      <x:c r="C555" s="2" t="str">
        <x:f>'Покупки'!C62</x:f>
        <x:v>Докупка</x:v>
      </x:c>
      <x:c r="D555" s="9" t="n">
        <x:v>46281.727685185186</x:v>
      </x:c>
      <x:c r="E555" s="12"/>
      <x:c r="F555" s="12" t="n">
        <x:f>'Покупки'!H62</x:f>
        <x:v>0.009254166951727283</x:v>
      </x:c>
      <x:c r="G555" s="14" t="str">
        <x:f>IF(I555="Есть цена",IF(AND(ISNUMBER(E555),E555&gt;0,F555&gt;0),E555/F555-1,NA()),"")</x:f>
      </x:c>
      <x:c r="H555" s="14" t="str">
        <x:f>IF(AND(I555="Есть цена",I548="Есть цена"),IF(AND(E555&gt;0,E548&gt;0),E555/E548-1,NA()),"")</x:f>
      </x:c>
      <x:c r="I555" s="2" t="str">
        <x:v>RPC: данные не загружены</x:v>
      </x:c>
      <x:c r="J555" s="2"/>
      <x:c r="K555" s="9"/>
      <x:c r="L555" s="2"/>
      <x:c r="M555" s="2"/>
      <x:c r="N555" s="2"/>
      <x:c r="O555" s="2"/>
      <x:c r="P555" s="2" t="str">
        <x:v>not_cached:getSignaturesForAddress:history/016524d99753605776f842d9</x:v>
      </x:c>
      <x:c r="Q555" s="2" t="str"/>
      <x:c r="R555" s="14" t="str">
        <x:f>IF(AND(C555="Нулевой остаток",I555="Есть цена"),G555,"")</x:f>
      </x:c>
      <x:c r="S555" s="14" t="str">
        <x:f>IF(AND(C555="Докупка",I555="Есть цена"),G555,"")</x:f>
      </x:c>
    </x:row>
    <x:row r="556" ht="21" customHeight="1">
      <x:c r="A556" s="2" t="n">
        <x:v>55</x:v>
      </x:c>
      <x:c r="B556" s="2" t="n">
        <x:v>21600</x:v>
      </x:c>
      <x:c r="C556" s="2" t="str">
        <x:f>'Покупки'!C62</x:f>
        <x:v>Докупка</x:v>
      </x:c>
      <x:c r="D556" s="9" t="n">
        <x:v>46281.93601851852</x:v>
      </x:c>
      <x:c r="E556" s="12"/>
      <x:c r="F556" s="12" t="n">
        <x:f>'Покупки'!H62</x:f>
        <x:v>0.009254166951727283</x:v>
      </x:c>
      <x:c r="G556" s="14" t="str">
        <x:f>IF(I556="Есть цена",IF(AND(ISNUMBER(E556),E556&gt;0,F556&gt;0),E556/F556-1,NA()),"")</x:f>
      </x:c>
      <x:c r="H556" s="14" t="str">
        <x:f>IF(AND(I556="Есть цена",I548="Есть цена"),IF(AND(E556&gt;0,E548&gt;0),E556/E548-1,NA()),"")</x:f>
      </x:c>
      <x:c r="I556" s="2" t="str">
        <x:v>RPC: данные не загружены</x:v>
      </x:c>
      <x:c r="J556" s="2"/>
      <x:c r="K556" s="9"/>
      <x:c r="L556" s="2"/>
      <x:c r="M556" s="2"/>
      <x:c r="N556" s="2"/>
      <x:c r="O556" s="2"/>
      <x:c r="P556" s="2" t="str">
        <x:v>not_cached:getSignaturesForAddress:history/8c380bcac75f462286e40347</x:v>
      </x:c>
      <x:c r="Q556" s="2" t="str"/>
      <x:c r="R556" s="14" t="str">
        <x:f>IF(AND(C556="Нулевой остаток",I556="Есть цена"),G556,"")</x:f>
      </x:c>
      <x:c r="S556" s="14" t="str">
        <x:f>IF(AND(C556="Докупка",I556="Есть цена"),G556,"")</x:f>
      </x:c>
    </x:row>
    <x:row r="557" ht="21" customHeight="1">
      <x:c r="A557" s="2" t="n">
        <x:v>55</x:v>
      </x:c>
      <x:c r="B557" s="2" t="n">
        <x:v>86400</x:v>
      </x:c>
      <x:c r="C557" s="2" t="str">
        <x:f>'Покупки'!C62</x:f>
        <x:v>Докупка</x:v>
      </x:c>
      <x:c r="D557" s="9" t="n">
        <x:v>46282.68601851852</x:v>
      </x:c>
      <x:c r="E557" s="12"/>
      <x:c r="F557" s="12" t="n">
        <x:f>'Покупки'!H62</x:f>
        <x:v>0.009254166951727283</x:v>
      </x:c>
      <x:c r="G557" s="14" t="str">
        <x:f>IF(I557="Есть цена",IF(AND(ISNUMBER(E557),E557&gt;0,F557&gt;0),E557/F557-1,NA()),"")</x:f>
      </x:c>
      <x:c r="H557" s="14" t="str">
        <x:f>IF(AND(I557="Есть цена",I548="Есть цена"),IF(AND(E557&gt;0,E548&gt;0),E557/E548-1,NA()),"")</x:f>
      </x:c>
      <x:c r="I557" s="2" t="str">
        <x:v>RPC: данные не загружены</x:v>
      </x:c>
      <x:c r="J557" s="2"/>
      <x:c r="K557" s="9"/>
      <x:c r="L557" s="2"/>
      <x:c r="M557" s="2"/>
      <x:c r="N557" s="2"/>
      <x:c r="O557" s="2"/>
      <x:c r="P557" s="2" t="str">
        <x:v>not_cached:getSignaturesForAddress:history/bb0c80884a992b03324d89eb</x:v>
      </x:c>
      <x:c r="Q557" s="2" t="str"/>
      <x:c r="R557" s="14" t="str">
        <x:f>IF(AND(C557="Нулевой остаток",I557="Есть цена"),G557,"")</x:f>
      </x:c>
      <x:c r="S557" s="14" t="str">
        <x:f>IF(AND(C557="Докупка",I557="Есть цена"),G557,"")</x:f>
      </x:c>
    </x:row>
    <x:row r="558" ht="21" customHeight="1">
      <x:c r="A558" s="2" t="n">
        <x:v>56</x:v>
      </x:c>
      <x:c r="B558" s="2" t="n">
        <x:v>5</x:v>
      </x:c>
      <x:c r="C558" s="2" t="str">
        <x:f>'Покупки'!C63</x:f>
        <x:v>Докупка</x:v>
      </x:c>
      <x:c r="D558" s="9" t="n">
        <x:v>46281.68429398148</x:v>
      </x:c>
      <x:c r="E558" s="12"/>
      <x:c r="F558" s="12" t="n">
        <x:f>'Покупки'!H63</x:f>
        <x:v>0.16902119611383581</x:v>
      </x:c>
      <x:c r="G558" s="14" t="str">
        <x:f>IF(I558="Есть цена",IF(AND(ISNUMBER(E558),E558&gt;0,F558&gt;0),E558/F558-1,NA()),"")</x:f>
      </x:c>
      <x:c r="H558" s="14" t="str">
        <x:f>IF(AND(I558="Есть цена",I558="Есть цена"),IF(AND(E558&gt;0,E558&gt;0),E558/E558-1,NA()),"")</x:f>
      </x:c>
      <x:c r="I558" s="2" t="str">
        <x:v>RPC: данные не загружены</x:v>
      </x:c>
      <x:c r="J558" s="2"/>
      <x:c r="K558" s="9"/>
      <x:c r="L558" s="2"/>
      <x:c r="M558" s="2"/>
      <x:c r="N558" s="2"/>
      <x:c r="O558" s="2"/>
      <x:c r="P558" s="2" t="str">
        <x:v>not_cached:getSignaturesForAddress:history/f2207209b7313c630a8cad33</x:v>
      </x:c>
      <x:c r="Q558" s="2" t="str"/>
      <x:c r="R558" s="14" t="str">
        <x:f>IF(AND(C558="Нулевой остаток",I558="Есть цена"),G558,"")</x:f>
      </x:c>
      <x:c r="S558" s="14" t="str">
        <x:f>IF(AND(C558="Докупка",I558="Есть цена"),G558,"")</x:f>
      </x:c>
    </x:row>
    <x:row r="559" ht="21" customHeight="1">
      <x:c r="A559" s="2" t="n">
        <x:v>56</x:v>
      </x:c>
      <x:c r="B559" s="2" t="n">
        <x:v>15</x:v>
      </x:c>
      <x:c r="C559" s="2" t="str">
        <x:f>'Покупки'!C63</x:f>
        <x:v>Докупка</x:v>
      </x:c>
      <x:c r="D559" s="9" t="n">
        <x:v>46281.68440972222</x:v>
      </x:c>
      <x:c r="E559" s="12"/>
      <x:c r="F559" s="12" t="n">
        <x:f>'Покупки'!H63</x:f>
        <x:v>0.16902119611383581</x:v>
      </x:c>
      <x:c r="G559" s="14" t="str">
        <x:f>IF(I559="Есть цена",IF(AND(ISNUMBER(E559),E559&gt;0,F559&gt;0),E559/F559-1,NA()),"")</x:f>
      </x:c>
      <x:c r="H559" s="14" t="str">
        <x:f>IF(AND(I559="Есть цена",I558="Есть цена"),IF(AND(E559&gt;0,E558&gt;0),E559/E558-1,NA()),"")</x:f>
      </x:c>
      <x:c r="I559" s="2" t="str">
        <x:v>RPC: данные не загружены</x:v>
      </x:c>
      <x:c r="J559" s="2"/>
      <x:c r="K559" s="9"/>
      <x:c r="L559" s="2"/>
      <x:c r="M559" s="2"/>
      <x:c r="N559" s="2"/>
      <x:c r="O559" s="2"/>
      <x:c r="P559" s="2" t="str">
        <x:v>not_cached:getSignaturesForAddress:history/f2207209b7313c630a8cad33</x:v>
      </x:c>
      <x:c r="Q559" s="2" t="str"/>
      <x:c r="R559" s="14" t="str">
        <x:f>IF(AND(C559="Нулевой остаток",I559="Есть цена"),G559,"")</x:f>
      </x:c>
      <x:c r="S559" s="14" t="str">
        <x:f>IF(AND(C559="Докупка",I559="Есть цена"),G559,"")</x:f>
      </x:c>
    </x:row>
    <x:row r="560" ht="21" customHeight="1">
      <x:c r="A560" s="2" t="n">
        <x:v>56</x:v>
      </x:c>
      <x:c r="B560" s="2" t="n">
        <x:v>30</x:v>
      </x:c>
      <x:c r="C560" s="2" t="str">
        <x:f>'Покупки'!C63</x:f>
        <x:v>Докупка</x:v>
      </x:c>
      <x:c r="D560" s="9" t="n">
        <x:v>46281.684583333335</x:v>
      </x:c>
      <x:c r="E560" s="12"/>
      <x:c r="F560" s="12" t="n">
        <x:f>'Покупки'!H63</x:f>
        <x:v>0.16902119611383581</x:v>
      </x:c>
      <x:c r="G560" s="14" t="str">
        <x:f>IF(I560="Есть цена",IF(AND(ISNUMBER(E560),E560&gt;0,F560&gt;0),E560/F560-1,NA()),"")</x:f>
      </x:c>
      <x:c r="H560" s="14" t="str">
        <x:f>IF(AND(I560="Есть цена",I558="Есть цена"),IF(AND(E560&gt;0,E558&gt;0),E560/E558-1,NA()),"")</x:f>
      </x:c>
      <x:c r="I560" s="2" t="str">
        <x:v>RPC: данные не загружены</x:v>
      </x:c>
      <x:c r="J560" s="2"/>
      <x:c r="K560" s="9"/>
      <x:c r="L560" s="2"/>
      <x:c r="M560" s="2"/>
      <x:c r="N560" s="2"/>
      <x:c r="O560" s="2"/>
      <x:c r="P560" s="2" t="str">
        <x:v>not_cached:getSignaturesForAddress:history/f2207209b7313c630a8cad33</x:v>
      </x:c>
      <x:c r="Q560" s="2" t="str"/>
      <x:c r="R560" s="14" t="str">
        <x:f>IF(AND(C560="Нулевой остаток",I560="Есть цена"),G560,"")</x:f>
      </x:c>
      <x:c r="S560" s="14" t="str">
        <x:f>IF(AND(C560="Докупка",I560="Есть цена"),G560,"")</x:f>
      </x:c>
    </x:row>
    <x:row r="561" ht="21" customHeight="1">
      <x:c r="A561" s="2" t="n">
        <x:v>56</x:v>
      </x:c>
      <x:c r="B561" s="2" t="n">
        <x:v>60</x:v>
      </x:c>
      <x:c r="C561" s="2" t="str">
        <x:f>'Покупки'!C63</x:f>
        <x:v>Докупка</x:v>
      </x:c>
      <x:c r="D561" s="9" t="n">
        <x:v>46281.68493055556</x:v>
      </x:c>
      <x:c r="E561" s="12"/>
      <x:c r="F561" s="12" t="n">
        <x:f>'Покупки'!H63</x:f>
        <x:v>0.16902119611383581</x:v>
      </x:c>
      <x:c r="G561" s="14" t="str">
        <x:f>IF(I561="Есть цена",IF(AND(ISNUMBER(E561),E561&gt;0,F561&gt;0),E561/F561-1,NA()),"")</x:f>
      </x:c>
      <x:c r="H561" s="14" t="str">
        <x:f>IF(AND(I561="Есть цена",I558="Есть цена"),IF(AND(E561&gt;0,E558&gt;0),E561/E558-1,NA()),"")</x:f>
      </x:c>
      <x:c r="I561" s="2" t="str">
        <x:v>RPC: данные не загружены</x:v>
      </x:c>
      <x:c r="J561" s="2"/>
      <x:c r="K561" s="9"/>
      <x:c r="L561" s="2"/>
      <x:c r="M561" s="2"/>
      <x:c r="N561" s="2"/>
      <x:c r="O561" s="2"/>
      <x:c r="P561" s="2" t="str">
        <x:v>not_cached:getSignaturesForAddress:history/f2207209b7313c630a8cad33</x:v>
      </x:c>
      <x:c r="Q561" s="2" t="str"/>
      <x:c r="R561" s="14" t="str">
        <x:f>IF(AND(C561="Нулевой остаток",I561="Есть цена"),G561,"")</x:f>
      </x:c>
      <x:c r="S561" s="14" t="str">
        <x:f>IF(AND(C561="Докупка",I561="Есть цена"),G561,"")</x:f>
      </x:c>
    </x:row>
    <x:row r="562" ht="21" customHeight="1">
      <x:c r="A562" s="2" t="n">
        <x:v>56</x:v>
      </x:c>
      <x:c r="B562" s="2" t="n">
        <x:v>180</x:v>
      </x:c>
      <x:c r="C562" s="2" t="str">
        <x:f>'Покупки'!C63</x:f>
        <x:v>Докупка</x:v>
      </x:c>
      <x:c r="D562" s="9" t="n">
        <x:v>46281.686319444445</x:v>
      </x:c>
      <x:c r="E562" s="12"/>
      <x:c r="F562" s="12" t="n">
        <x:f>'Покупки'!H63</x:f>
        <x:v>0.16902119611383581</x:v>
      </x:c>
      <x:c r="G562" s="14" t="str">
        <x:f>IF(I562="Есть цена",IF(AND(ISNUMBER(E562),E562&gt;0,F562&gt;0),E562/F562-1,NA()),"")</x:f>
      </x:c>
      <x:c r="H562" s="14" t="str">
        <x:f>IF(AND(I562="Есть цена",I558="Есть цена"),IF(AND(E562&gt;0,E558&gt;0),E562/E558-1,NA()),"")</x:f>
      </x:c>
      <x:c r="I562" s="2" t="str">
        <x:v>RPC: данные не загружены</x:v>
      </x:c>
      <x:c r="J562" s="2"/>
      <x:c r="K562" s="9"/>
      <x:c r="L562" s="2"/>
      <x:c r="M562" s="2"/>
      <x:c r="N562" s="2"/>
      <x:c r="O562" s="2"/>
      <x:c r="P562" s="2" t="str">
        <x:v>not_cached:getSignaturesForAddress:history/4d261c142129a9bdfe7ca0dc</x:v>
      </x:c>
      <x:c r="Q562" s="2" t="str"/>
      <x:c r="R562" s="14" t="str">
        <x:f>IF(AND(C562="Нулевой остаток",I562="Есть цена"),G562,"")</x:f>
      </x:c>
      <x:c r="S562" s="14" t="str">
        <x:f>IF(AND(C562="Докупка",I562="Есть цена"),G562,"")</x:f>
      </x:c>
    </x:row>
    <x:row r="563" ht="21" customHeight="1">
      <x:c r="A563" s="2" t="n">
        <x:v>56</x:v>
      </x:c>
      <x:c r="B563" s="2" t="n">
        <x:v>300</x:v>
      </x:c>
      <x:c r="C563" s="2" t="str">
        <x:f>'Покупки'!C63</x:f>
        <x:v>Докупка</x:v>
      </x:c>
      <x:c r="D563" s="9" t="n">
        <x:v>46281.68770833333</x:v>
      </x:c>
      <x:c r="E563" s="12"/>
      <x:c r="F563" s="12" t="n">
        <x:f>'Покупки'!H63</x:f>
        <x:v>0.16902119611383581</x:v>
      </x:c>
      <x:c r="G563" s="14" t="str">
        <x:f>IF(I563="Есть цена",IF(AND(ISNUMBER(E563),E563&gt;0,F563&gt;0),E563/F563-1,NA()),"")</x:f>
      </x:c>
      <x:c r="H563" s="14" t="str">
        <x:f>IF(AND(I563="Есть цена",I558="Есть цена"),IF(AND(E563&gt;0,E558&gt;0),E563/E558-1,NA()),"")</x:f>
      </x:c>
      <x:c r="I563" s="2" t="str">
        <x:v>RPC: данные не загружены</x:v>
      </x:c>
      <x:c r="J563" s="2"/>
      <x:c r="K563" s="9"/>
      <x:c r="L563" s="2"/>
      <x:c r="M563" s="2"/>
      <x:c r="N563" s="2"/>
      <x:c r="O563" s="2"/>
      <x:c r="P563" s="2" t="str">
        <x:v>not_cached:getSignaturesForAddress:history/b781757cff4060ebe84ee181</x:v>
      </x:c>
      <x:c r="Q563" s="2" t="str"/>
      <x:c r="R563" s="14" t="str">
        <x:f>IF(AND(C563="Нулевой остаток",I563="Есть цена"),G563,"")</x:f>
      </x:c>
      <x:c r="S563" s="14" t="str">
        <x:f>IF(AND(C563="Докупка",I563="Есть цена"),G563,"")</x:f>
      </x:c>
    </x:row>
    <x:row r="564" ht="21" customHeight="1">
      <x:c r="A564" s="2" t="n">
        <x:v>56</x:v>
      </x:c>
      <x:c r="B564" s="2" t="n">
        <x:v>900</x:v>
      </x:c>
      <x:c r="C564" s="2" t="str">
        <x:f>'Покупки'!C63</x:f>
        <x:v>Докупка</x:v>
      </x:c>
      <x:c r="D564" s="9" t="n">
        <x:v>46281.694652777776</x:v>
      </x:c>
      <x:c r="E564" s="12"/>
      <x:c r="F564" s="12" t="n">
        <x:f>'Покупки'!H63</x:f>
        <x:v>0.16902119611383581</x:v>
      </x:c>
      <x:c r="G564" s="14" t="str">
        <x:f>IF(I564="Есть цена",IF(AND(ISNUMBER(E564),E564&gt;0,F564&gt;0),E564/F564-1,NA()),"")</x:f>
      </x:c>
      <x:c r="H564" s="14" t="str">
        <x:f>IF(AND(I564="Есть цена",I558="Есть цена"),IF(AND(E564&gt;0,E558&gt;0),E564/E558-1,NA()),"")</x:f>
      </x:c>
      <x:c r="I564" s="2" t="str">
        <x:v>RPC: данные не загружены</x:v>
      </x:c>
      <x:c r="J564" s="2"/>
      <x:c r="K564" s="9"/>
      <x:c r="L564" s="2"/>
      <x:c r="M564" s="2"/>
      <x:c r="N564" s="2"/>
      <x:c r="O564" s="2"/>
      <x:c r="P564" s="2" t="str">
        <x:v>not_cached:getSignaturesForAddress:history/018790db70c5b3b32367059f</x:v>
      </x:c>
      <x:c r="Q564" s="2" t="str"/>
      <x:c r="R564" s="14" t="str">
        <x:f>IF(AND(C564="Нулевой остаток",I564="Есть цена"),G564,"")</x:f>
      </x:c>
      <x:c r="S564" s="14" t="str">
        <x:f>IF(AND(C564="Докупка",I564="Есть цена"),G564,"")</x:f>
      </x:c>
    </x:row>
    <x:row r="565" ht="21" customHeight="1">
      <x:c r="A565" s="2" t="n">
        <x:v>56</x:v>
      </x:c>
      <x:c r="B565" s="2" t="n">
        <x:v>3600</x:v>
      </x:c>
      <x:c r="C565" s="2" t="str">
        <x:f>'Покупки'!C63</x:f>
        <x:v>Докупка</x:v>
      </x:c>
      <x:c r="D565" s="9" t="n">
        <x:v>46281.725902777776</x:v>
      </x:c>
      <x:c r="E565" s="12"/>
      <x:c r="F565" s="12" t="n">
        <x:f>'Покупки'!H63</x:f>
        <x:v>0.16902119611383581</x:v>
      </x:c>
      <x:c r="G565" s="14" t="str">
        <x:f>IF(I565="Есть цена",IF(AND(ISNUMBER(E565),E565&gt;0,F565&gt;0),E565/F565-1,NA()),"")</x:f>
      </x:c>
      <x:c r="H565" s="14" t="str">
        <x:f>IF(AND(I565="Есть цена",I558="Есть цена"),IF(AND(E565&gt;0,E558&gt;0),E565/E558-1,NA()),"")</x:f>
      </x:c>
      <x:c r="I565" s="2" t="str">
        <x:v>RPC: данные не загружены</x:v>
      </x:c>
      <x:c r="J565" s="2"/>
      <x:c r="K565" s="9"/>
      <x:c r="L565" s="2"/>
      <x:c r="M565" s="2"/>
      <x:c r="N565" s="2"/>
      <x:c r="O565" s="2"/>
      <x:c r="P565" s="2" t="str">
        <x:v>not_cached:getSignaturesForAddress:history/b4191e164ad3c6191547c59b</x:v>
      </x:c>
      <x:c r="Q565" s="2" t="str"/>
      <x:c r="R565" s="14" t="str">
        <x:f>IF(AND(C565="Нулевой остаток",I565="Есть цена"),G565,"")</x:f>
      </x:c>
      <x:c r="S565" s="14" t="str">
        <x:f>IF(AND(C565="Докупка",I565="Есть цена"),G565,"")</x:f>
      </x:c>
    </x:row>
    <x:row r="566" ht="21" customHeight="1">
      <x:c r="A566" s="2" t="n">
        <x:v>56</x:v>
      </x:c>
      <x:c r="B566" s="2" t="n">
        <x:v>21600</x:v>
      </x:c>
      <x:c r="C566" s="2" t="str">
        <x:f>'Покупки'!C63</x:f>
        <x:v>Докупка</x:v>
      </x:c>
      <x:c r="D566" s="9" t="n">
        <x:v>46281.93423611111</x:v>
      </x:c>
      <x:c r="E566" s="12"/>
      <x:c r="F566" s="12" t="n">
        <x:f>'Покупки'!H63</x:f>
        <x:v>0.16902119611383581</x:v>
      </x:c>
      <x:c r="G566" s="14" t="str">
        <x:f>IF(I566="Есть цена",IF(AND(ISNUMBER(E566),E566&gt;0,F566&gt;0),E566/F566-1,NA()),"")</x:f>
      </x:c>
      <x:c r="H566" s="14" t="str">
        <x:f>IF(AND(I566="Есть цена",I558="Есть цена"),IF(AND(E566&gt;0,E558&gt;0),E566/E558-1,NA()),"")</x:f>
      </x:c>
      <x:c r="I566" s="2" t="str">
        <x:v>RPC: данные не загружены</x:v>
      </x:c>
      <x:c r="J566" s="2"/>
      <x:c r="K566" s="9"/>
      <x:c r="L566" s="2"/>
      <x:c r="M566" s="2"/>
      <x:c r="N566" s="2"/>
      <x:c r="O566" s="2"/>
      <x:c r="P566" s="2" t="str">
        <x:v>not_cached:getSignaturesForAddress:history/204e8cc9bbd5241bc2f1fa61</x:v>
      </x:c>
      <x:c r="Q566" s="2" t="str"/>
      <x:c r="R566" s="14" t="str">
        <x:f>IF(AND(C566="Нулевой остаток",I566="Есть цена"),G566,"")</x:f>
      </x:c>
      <x:c r="S566" s="14" t="str">
        <x:f>IF(AND(C566="Докупка",I566="Есть цена"),G566,"")</x:f>
      </x:c>
    </x:row>
    <x:row r="567" ht="21" customHeight="1">
      <x:c r="A567" s="2" t="n">
        <x:v>56</x:v>
      </x:c>
      <x:c r="B567" s="2" t="n">
        <x:v>86400</x:v>
      </x:c>
      <x:c r="C567" s="2" t="str">
        <x:f>'Покупки'!C63</x:f>
        <x:v>Докупка</x:v>
      </x:c>
      <x:c r="D567" s="9" t="n">
        <x:v>46282.68423611111</x:v>
      </x:c>
      <x:c r="E567" s="12"/>
      <x:c r="F567" s="12" t="n">
        <x:f>'Покупки'!H63</x:f>
        <x:v>0.16902119611383581</x:v>
      </x:c>
      <x:c r="G567" s="14" t="str">
        <x:f>IF(I567="Есть цена",IF(AND(ISNUMBER(E567),E567&gt;0,F567&gt;0),E567/F567-1,NA()),"")</x:f>
      </x:c>
      <x:c r="H567" s="14" t="str">
        <x:f>IF(AND(I567="Есть цена",I558="Есть цена"),IF(AND(E567&gt;0,E558&gt;0),E567/E558-1,NA()),"")</x:f>
      </x:c>
      <x:c r="I567" s="2" t="str">
        <x:v>RPC: данные не загружены</x:v>
      </x:c>
      <x:c r="J567" s="2"/>
      <x:c r="K567" s="9"/>
      <x:c r="L567" s="2"/>
      <x:c r="M567" s="2"/>
      <x:c r="N567" s="2"/>
      <x:c r="O567" s="2"/>
      <x:c r="P567" s="2" t="str">
        <x:v>not_cached:getSignaturesForAddress:history/759b382d1119022e9b3a8ed1</x:v>
      </x:c>
      <x:c r="Q567" s="2" t="str"/>
      <x:c r="R567" s="14" t="str">
        <x:f>IF(AND(C567="Нулевой остаток",I567="Есть цена"),G567,"")</x:f>
      </x:c>
      <x:c r="S567" s="14" t="str">
        <x:f>IF(AND(C567="Докупка",I567="Есть цена"),G567,"")</x:f>
      </x:c>
    </x:row>
    <x:row r="568" ht="21" customHeight="1">
      <x:c r="A568" s="2" t="n">
        <x:v>57</x:v>
      </x:c>
      <x:c r="B568" s="2" t="n">
        <x:v>5</x:v>
      </x:c>
      <x:c r="C568" s="2" t="str">
        <x:f>'Покупки'!C64</x:f>
        <x:v>Докупка</x:v>
      </x:c>
      <x:c r="D568" s="9" t="n">
        <x:v>46281.678923611114</x:v>
      </x:c>
      <x:c r="E568" s="12"/>
      <x:c r="F568" s="12" t="n">
        <x:f>'Покупки'!H64</x:f>
        <x:v>0.16901118278148677</x:v>
      </x:c>
      <x:c r="G568" s="14" t="str">
        <x:f>IF(I568="Есть цена",IF(AND(ISNUMBER(E568),E568&gt;0,F568&gt;0),E568/F568-1,NA()),"")</x:f>
      </x:c>
      <x:c r="H568" s="14" t="str">
        <x:f>IF(AND(I568="Есть цена",I568="Есть цена"),IF(AND(E568&gt;0,E568&gt;0),E568/E568-1,NA()),"")</x:f>
      </x:c>
      <x:c r="I568" s="2" t="str">
        <x:v>RPC: данные не загружены</x:v>
      </x:c>
      <x:c r="J568" s="2"/>
      <x:c r="K568" s="9"/>
      <x:c r="L568" s="2"/>
      <x:c r="M568" s="2"/>
      <x:c r="N568" s="2"/>
      <x:c r="O568" s="2"/>
      <x:c r="P568" s="2" t="str">
        <x:v>not_cached:getSignaturesForAddress:history/4402b37f82e467c03c23f832</x:v>
      </x:c>
      <x:c r="Q568" s="2" t="str"/>
      <x:c r="R568" s="14" t="str">
        <x:f>IF(AND(C568="Нулевой остаток",I568="Есть цена"),G568,"")</x:f>
      </x:c>
      <x:c r="S568" s="14" t="str">
        <x:f>IF(AND(C568="Докупка",I568="Есть цена"),G568,"")</x:f>
      </x:c>
    </x:row>
    <x:row r="569" ht="21" customHeight="1">
      <x:c r="A569" s="2" t="n">
        <x:v>57</x:v>
      </x:c>
      <x:c r="B569" s="2" t="n">
        <x:v>15</x:v>
      </x:c>
      <x:c r="C569" s="2" t="str">
        <x:f>'Покупки'!C64</x:f>
        <x:v>Докупка</x:v>
      </x:c>
      <x:c r="D569" s="9" t="n">
        <x:v>46281.67903935185</x:v>
      </x:c>
      <x:c r="E569" s="12"/>
      <x:c r="F569" s="12" t="n">
        <x:f>'Покупки'!H64</x:f>
        <x:v>0.16901118278148677</x:v>
      </x:c>
      <x:c r="G569" s="14" t="str">
        <x:f>IF(I569="Есть цена",IF(AND(ISNUMBER(E569),E569&gt;0,F569&gt;0),E569/F569-1,NA()),"")</x:f>
      </x:c>
      <x:c r="H569" s="14" t="str">
        <x:f>IF(AND(I569="Есть цена",I568="Есть цена"),IF(AND(E569&gt;0,E568&gt;0),E569/E568-1,NA()),"")</x:f>
      </x:c>
      <x:c r="I569" s="2" t="str">
        <x:v>RPC: данные не загружены</x:v>
      </x:c>
      <x:c r="J569" s="2"/>
      <x:c r="K569" s="9"/>
      <x:c r="L569" s="2"/>
      <x:c r="M569" s="2"/>
      <x:c r="N569" s="2"/>
      <x:c r="O569" s="2"/>
      <x:c r="P569" s="2" t="str">
        <x:v>not_cached:getSignaturesForAddress:history/4402b37f82e467c03c23f832</x:v>
      </x:c>
      <x:c r="Q569" s="2" t="str"/>
      <x:c r="R569" s="14" t="str">
        <x:f>IF(AND(C569="Нулевой остаток",I569="Есть цена"),G569,"")</x:f>
      </x:c>
      <x:c r="S569" s="14" t="str">
        <x:f>IF(AND(C569="Докупка",I569="Есть цена"),G569,"")</x:f>
      </x:c>
    </x:row>
    <x:row r="570" ht="21" customHeight="1">
      <x:c r="A570" s="2" t="n">
        <x:v>57</x:v>
      </x:c>
      <x:c r="B570" s="2" t="n">
        <x:v>30</x:v>
      </x:c>
      <x:c r="C570" s="2" t="str">
        <x:f>'Покупки'!C64</x:f>
        <x:v>Докупка</x:v>
      </x:c>
      <x:c r="D570" s="9" t="n">
        <x:v>46281.67921296296</x:v>
      </x:c>
      <x:c r="E570" s="12"/>
      <x:c r="F570" s="12" t="n">
        <x:f>'Покупки'!H64</x:f>
        <x:v>0.16901118278148677</x:v>
      </x:c>
      <x:c r="G570" s="14" t="str">
        <x:f>IF(I570="Есть цена",IF(AND(ISNUMBER(E570),E570&gt;0,F570&gt;0),E570/F570-1,NA()),"")</x:f>
      </x:c>
      <x:c r="H570" s="14" t="str">
        <x:f>IF(AND(I570="Есть цена",I568="Есть цена"),IF(AND(E570&gt;0,E568&gt;0),E570/E568-1,NA()),"")</x:f>
      </x:c>
      <x:c r="I570" s="2" t="str">
        <x:v>RPC: данные не загружены</x:v>
      </x:c>
      <x:c r="J570" s="2"/>
      <x:c r="K570" s="9"/>
      <x:c r="L570" s="2"/>
      <x:c r="M570" s="2"/>
      <x:c r="N570" s="2"/>
      <x:c r="O570" s="2"/>
      <x:c r="P570" s="2" t="str">
        <x:v>not_cached:getSignaturesForAddress:history/4402b37f82e467c03c23f832</x:v>
      </x:c>
      <x:c r="Q570" s="2" t="str"/>
      <x:c r="R570" s="14" t="str">
        <x:f>IF(AND(C570="Нулевой остаток",I570="Есть цена"),G570,"")</x:f>
      </x:c>
      <x:c r="S570" s="14" t="str">
        <x:f>IF(AND(C570="Докупка",I570="Есть цена"),G570,"")</x:f>
      </x:c>
    </x:row>
    <x:row r="571" ht="21" customHeight="1">
      <x:c r="A571" s="2" t="n">
        <x:v>57</x:v>
      </x:c>
      <x:c r="B571" s="2" t="n">
        <x:v>60</x:v>
      </x:c>
      <x:c r="C571" s="2" t="str">
        <x:f>'Покупки'!C64</x:f>
        <x:v>Докупка</x:v>
      </x:c>
      <x:c r="D571" s="9" t="n">
        <x:v>46281.679560185185</x:v>
      </x:c>
      <x:c r="E571" s="12"/>
      <x:c r="F571" s="12" t="n">
        <x:f>'Покупки'!H64</x:f>
        <x:v>0.16901118278148677</x:v>
      </x:c>
      <x:c r="G571" s="14" t="str">
        <x:f>IF(I571="Есть цена",IF(AND(ISNUMBER(E571),E571&gt;0,F571&gt;0),E571/F571-1,NA()),"")</x:f>
      </x:c>
      <x:c r="H571" s="14" t="str">
        <x:f>IF(AND(I571="Есть цена",I568="Есть цена"),IF(AND(E571&gt;0,E568&gt;0),E571/E568-1,NA()),"")</x:f>
      </x:c>
      <x:c r="I571" s="2" t="str">
        <x:v>RPC: данные не загружены</x:v>
      </x:c>
      <x:c r="J571" s="2"/>
      <x:c r="K571" s="9"/>
      <x:c r="L571" s="2"/>
      <x:c r="M571" s="2"/>
      <x:c r="N571" s="2"/>
      <x:c r="O571" s="2"/>
      <x:c r="P571" s="2" t="str">
        <x:v>not_cached:getSignaturesForAddress:history/4402b37f82e467c03c23f832</x:v>
      </x:c>
      <x:c r="Q571" s="2" t="str"/>
      <x:c r="R571" s="14" t="str">
        <x:f>IF(AND(C571="Нулевой остаток",I571="Есть цена"),G571,"")</x:f>
      </x:c>
      <x:c r="S571" s="14" t="str">
        <x:f>IF(AND(C571="Докупка",I571="Есть цена"),G571,"")</x:f>
      </x:c>
    </x:row>
    <x:row r="572" ht="21" customHeight="1">
      <x:c r="A572" s="2" t="n">
        <x:v>57</x:v>
      </x:c>
      <x:c r="B572" s="2" t="n">
        <x:v>180</x:v>
      </x:c>
      <x:c r="C572" s="2" t="str">
        <x:f>'Покупки'!C64</x:f>
        <x:v>Докупка</x:v>
      </x:c>
      <x:c r="D572" s="9" t="n">
        <x:v>46281.68094907407</x:v>
      </x:c>
      <x:c r="E572" s="12"/>
      <x:c r="F572" s="12" t="n">
        <x:f>'Покупки'!H64</x:f>
        <x:v>0.16901118278148677</x:v>
      </x:c>
      <x:c r="G572" s="14" t="str">
        <x:f>IF(I572="Есть цена",IF(AND(ISNUMBER(E572),E572&gt;0,F572&gt;0),E572/F572-1,NA()),"")</x:f>
      </x:c>
      <x:c r="H572" s="14" t="str">
        <x:f>IF(AND(I572="Есть цена",I568="Есть цена"),IF(AND(E572&gt;0,E568&gt;0),E572/E568-1,NA()),"")</x:f>
      </x:c>
      <x:c r="I572" s="2" t="str">
        <x:v>RPC: данные не загружены</x:v>
      </x:c>
      <x:c r="J572" s="2"/>
      <x:c r="K572" s="9"/>
      <x:c r="L572" s="2"/>
      <x:c r="M572" s="2"/>
      <x:c r="N572" s="2"/>
      <x:c r="O572" s="2"/>
      <x:c r="P572" s="2" t="str">
        <x:v>not_cached:getSignaturesForAddress:history/4402b37f82e467c03c23f832</x:v>
      </x:c>
      <x:c r="Q572" s="2" t="str"/>
      <x:c r="R572" s="14" t="str">
        <x:f>IF(AND(C572="Нулевой остаток",I572="Есть цена"),G572,"")</x:f>
      </x:c>
      <x:c r="S572" s="14" t="str">
        <x:f>IF(AND(C572="Докупка",I572="Есть цена"),G572,"")</x:f>
      </x:c>
    </x:row>
    <x:row r="573" ht="21" customHeight="1">
      <x:c r="A573" s="2" t="n">
        <x:v>57</x:v>
      </x:c>
      <x:c r="B573" s="2" t="n">
        <x:v>300</x:v>
      </x:c>
      <x:c r="C573" s="2" t="str">
        <x:f>'Покупки'!C64</x:f>
        <x:v>Докупка</x:v>
      </x:c>
      <x:c r="D573" s="9" t="n">
        <x:v>46281.682337962964</x:v>
      </x:c>
      <x:c r="E573" s="12"/>
      <x:c r="F573" s="12" t="n">
        <x:f>'Покупки'!H64</x:f>
        <x:v>0.16901118278148677</x:v>
      </x:c>
      <x:c r="G573" s="14" t="str">
        <x:f>IF(I573="Есть цена",IF(AND(ISNUMBER(E573),E573&gt;0,F573&gt;0),E573/F573-1,NA()),"")</x:f>
      </x:c>
      <x:c r="H573" s="14" t="str">
        <x:f>IF(AND(I573="Есть цена",I568="Есть цена"),IF(AND(E573&gt;0,E568&gt;0),E573/E568-1,NA()),"")</x:f>
      </x:c>
      <x:c r="I573" s="2" t="str">
        <x:v>RPC: данные не загружены</x:v>
      </x:c>
      <x:c r="J573" s="2"/>
      <x:c r="K573" s="9"/>
      <x:c r="L573" s="2"/>
      <x:c r="M573" s="2"/>
      <x:c r="N573" s="2"/>
      <x:c r="O573" s="2"/>
      <x:c r="P573" s="2" t="str">
        <x:v>not_cached:getSignaturesForAddress:history/4402b37f82e467c03c23f832</x:v>
      </x:c>
      <x:c r="Q573" s="2" t="str"/>
      <x:c r="R573" s="14" t="str">
        <x:f>IF(AND(C573="Нулевой остаток",I573="Есть цена"),G573,"")</x:f>
      </x:c>
      <x:c r="S573" s="14" t="str">
        <x:f>IF(AND(C573="Докупка",I573="Есть цена"),G573,"")</x:f>
      </x:c>
    </x:row>
    <x:row r="574" ht="21" customHeight="1">
      <x:c r="A574" s="2" t="n">
        <x:v>57</x:v>
      </x:c>
      <x:c r="B574" s="2" t="n">
        <x:v>900</x:v>
      </x:c>
      <x:c r="C574" s="2" t="str">
        <x:f>'Покупки'!C64</x:f>
        <x:v>Докупка</x:v>
      </x:c>
      <x:c r="D574" s="9" t="n">
        <x:v>46281.68928240741</x:v>
      </x:c>
      <x:c r="E574" s="12"/>
      <x:c r="F574" s="12" t="n">
        <x:f>'Покупки'!H64</x:f>
        <x:v>0.16901118278148677</x:v>
      </x:c>
      <x:c r="G574" s="14" t="str">
        <x:f>IF(I574="Есть цена",IF(AND(ISNUMBER(E574),E574&gt;0,F574&gt;0),E574/F574-1,NA()),"")</x:f>
      </x:c>
      <x:c r="H574" s="14" t="str">
        <x:f>IF(AND(I574="Есть цена",I568="Есть цена"),IF(AND(E574&gt;0,E568&gt;0),E574/E568-1,NA()),"")</x:f>
      </x:c>
      <x:c r="I574" s="2" t="str">
        <x:v>RPC: данные не загружены</x:v>
      </x:c>
      <x:c r="J574" s="2"/>
      <x:c r="K574" s="9"/>
      <x:c r="L574" s="2"/>
      <x:c r="M574" s="2"/>
      <x:c r="N574" s="2"/>
      <x:c r="O574" s="2"/>
      <x:c r="P574" s="2" t="str">
        <x:v>not_cached:getSignaturesForAddress:history/a95917979c2d932c7932403b</x:v>
      </x:c>
      <x:c r="Q574" s="2" t="str"/>
      <x:c r="R574" s="14" t="str">
        <x:f>IF(AND(C574="Нулевой остаток",I574="Есть цена"),G574,"")</x:f>
      </x:c>
      <x:c r="S574" s="14" t="str">
        <x:f>IF(AND(C574="Докупка",I574="Есть цена"),G574,"")</x:f>
      </x:c>
    </x:row>
    <x:row r="575" ht="21" customHeight="1">
      <x:c r="A575" s="2" t="n">
        <x:v>57</x:v>
      </x:c>
      <x:c r="B575" s="2" t="n">
        <x:v>3600</x:v>
      </x:c>
      <x:c r="C575" s="2" t="str">
        <x:f>'Покупки'!C64</x:f>
        <x:v>Докупка</x:v>
      </x:c>
      <x:c r="D575" s="9" t="n">
        <x:v>46281.72053240741</x:v>
      </x:c>
      <x:c r="E575" s="12"/>
      <x:c r="F575" s="12" t="n">
        <x:f>'Покупки'!H64</x:f>
        <x:v>0.16901118278148677</x:v>
      </x:c>
      <x:c r="G575" s="14" t="str">
        <x:f>IF(I575="Есть цена",IF(AND(ISNUMBER(E575),E575&gt;0,F575&gt;0),E575/F575-1,NA()),"")</x:f>
      </x:c>
      <x:c r="H575" s="14" t="str">
        <x:f>IF(AND(I575="Есть цена",I568="Есть цена"),IF(AND(E575&gt;0,E568&gt;0),E575/E568-1,NA()),"")</x:f>
      </x:c>
      <x:c r="I575" s="2" t="str">
        <x:v>RPC: данные не загружены</x:v>
      </x:c>
      <x:c r="J575" s="2"/>
      <x:c r="K575" s="9"/>
      <x:c r="L575" s="2"/>
      <x:c r="M575" s="2"/>
      <x:c r="N575" s="2"/>
      <x:c r="O575" s="2"/>
      <x:c r="P575" s="2" t="str">
        <x:v>not_cached:getSignaturesForAddress:history/b4191e164ad3c6191547c59b</x:v>
      </x:c>
      <x:c r="Q575" s="2" t="str"/>
      <x:c r="R575" s="14" t="str">
        <x:f>IF(AND(C575="Нулевой остаток",I575="Есть цена"),G575,"")</x:f>
      </x:c>
      <x:c r="S575" s="14" t="str">
        <x:f>IF(AND(C575="Докупка",I575="Есть цена"),G575,"")</x:f>
      </x:c>
    </x:row>
    <x:row r="576" ht="21" customHeight="1">
      <x:c r="A576" s="2" t="n">
        <x:v>57</x:v>
      </x:c>
      <x:c r="B576" s="2" t="n">
        <x:v>21600</x:v>
      </x:c>
      <x:c r="C576" s="2" t="str">
        <x:f>'Покупки'!C64</x:f>
        <x:v>Докупка</x:v>
      </x:c>
      <x:c r="D576" s="9" t="n">
        <x:v>46281.92886574074</x:v>
      </x:c>
      <x:c r="E576" s="12"/>
      <x:c r="F576" s="12" t="n">
        <x:f>'Покупки'!H64</x:f>
        <x:v>0.16901118278148677</x:v>
      </x:c>
      <x:c r="G576" s="14" t="str">
        <x:f>IF(I576="Есть цена",IF(AND(ISNUMBER(E576),E576&gt;0,F576&gt;0),E576/F576-1,NA()),"")</x:f>
      </x:c>
      <x:c r="H576" s="14" t="str">
        <x:f>IF(AND(I576="Есть цена",I568="Есть цена"),IF(AND(E576&gt;0,E568&gt;0),E576/E568-1,NA()),"")</x:f>
      </x:c>
      <x:c r="I576" s="2" t="str">
        <x:v>RPC: данные не загружены</x:v>
      </x:c>
      <x:c r="J576" s="2"/>
      <x:c r="K576" s="9"/>
      <x:c r="L576" s="2"/>
      <x:c r="M576" s="2"/>
      <x:c r="N576" s="2"/>
      <x:c r="O576" s="2"/>
      <x:c r="P576" s="2" t="str">
        <x:v>not_cached:getSignaturesForAddress:history/543c0da1eb74484b120567f7</x:v>
      </x:c>
      <x:c r="Q576" s="2" t="str"/>
      <x:c r="R576" s="14" t="str">
        <x:f>IF(AND(C576="Нулевой остаток",I576="Есть цена"),G576,"")</x:f>
      </x:c>
      <x:c r="S576" s="14" t="str">
        <x:f>IF(AND(C576="Докупка",I576="Есть цена"),G576,"")</x:f>
      </x:c>
    </x:row>
    <x:row r="577" ht="21" customHeight="1">
      <x:c r="A577" s="2" t="n">
        <x:v>57</x:v>
      </x:c>
      <x:c r="B577" s="2" t="n">
        <x:v>86400</x:v>
      </x:c>
      <x:c r="C577" s="2" t="str">
        <x:f>'Покупки'!C64</x:f>
        <x:v>Докупка</x:v>
      </x:c>
      <x:c r="D577" s="9" t="n">
        <x:v>46282.67886574074</x:v>
      </x:c>
      <x:c r="E577" s="12"/>
      <x:c r="F577" s="12" t="n">
        <x:f>'Покупки'!H64</x:f>
        <x:v>0.16901118278148677</x:v>
      </x:c>
      <x:c r="G577" s="14" t="str">
        <x:f>IF(I577="Есть цена",IF(AND(ISNUMBER(E577),E577&gt;0,F577&gt;0),E577/F577-1,NA()),"")</x:f>
      </x:c>
      <x:c r="H577" s="14" t="str">
        <x:f>IF(AND(I577="Есть цена",I568="Есть цена"),IF(AND(E577&gt;0,E568&gt;0),E577/E568-1,NA()),"")</x:f>
      </x:c>
      <x:c r="I577" s="2" t="str">
        <x:v>RPC: данные не загружены</x:v>
      </x:c>
      <x:c r="J577" s="2"/>
      <x:c r="K577" s="9"/>
      <x:c r="L577" s="2"/>
      <x:c r="M577" s="2"/>
      <x:c r="N577" s="2"/>
      <x:c r="O577" s="2"/>
      <x:c r="P577" s="2" t="str">
        <x:v>not_cached:getSignaturesForAddress:history/759b382d1119022e9b3a8ed1</x:v>
      </x:c>
      <x:c r="Q577" s="2" t="str"/>
      <x:c r="R577" s="14" t="str">
        <x:f>IF(AND(C577="Нулевой остаток",I577="Есть цена"),G577,"")</x:f>
      </x:c>
      <x:c r="S577" s="14" t="str">
        <x:f>IF(AND(C577="Докупка",I577="Есть цена"),G577,"")</x:f>
      </x:c>
    </x:row>
    <x:row r="578" ht="21" customHeight="1">
      <x:c r="A578" s="2" t="n">
        <x:v>58</x:v>
      </x:c>
      <x:c r="B578" s="2" t="n">
        <x:v>5</x:v>
      </x:c>
      <x:c r="C578" s="2" t="str">
        <x:f>'Покупки'!C65</x:f>
        <x:v>Докупка</x:v>
      </x:c>
      <x:c r="D578" s="9" t="n">
        <x:v>46281.677256944444</x:v>
      </x:c>
      <x:c r="E578" s="12"/>
      <x:c r="F578" s="12" t="n">
        <x:f>'Покупки'!H65</x:f>
        <x:v>0.1690264251056142</x:v>
      </x:c>
      <x:c r="G578" s="14" t="str">
        <x:f>IF(I578="Есть цена",IF(AND(ISNUMBER(E578),E578&gt;0,F578&gt;0),E578/F578-1,NA()),"")</x:f>
      </x:c>
      <x:c r="H578" s="14" t="str">
        <x:f>IF(AND(I578="Есть цена",I578="Есть цена"),IF(AND(E578&gt;0,E578&gt;0),E578/E578-1,NA()),"")</x:f>
      </x:c>
      <x:c r="I578" s="2" t="str">
        <x:v>RPC: данные не загружены</x:v>
      </x:c>
      <x:c r="J578" s="2"/>
      <x:c r="K578" s="9"/>
      <x:c r="L578" s="2"/>
      <x:c r="M578" s="2"/>
      <x:c r="N578" s="2"/>
      <x:c r="O578" s="2"/>
      <x:c r="P578" s="2" t="str">
        <x:v>not_cached:getSignaturesForAddress:history/141c8643e4ba7dab00917ce1</x:v>
      </x:c>
      <x:c r="Q578" s="2" t="str"/>
      <x:c r="R578" s="14" t="str">
        <x:f>IF(AND(C578="Нулевой остаток",I578="Есть цена"),G578,"")</x:f>
      </x:c>
      <x:c r="S578" s="14" t="str">
        <x:f>IF(AND(C578="Докупка",I578="Есть цена"),G578,"")</x:f>
      </x:c>
    </x:row>
    <x:row r="579" ht="21" customHeight="1">
      <x:c r="A579" s="2" t="n">
        <x:v>58</x:v>
      </x:c>
      <x:c r="B579" s="2" t="n">
        <x:v>15</x:v>
      </x:c>
      <x:c r="C579" s="2" t="str">
        <x:f>'Покупки'!C65</x:f>
        <x:v>Докупка</x:v>
      </x:c>
      <x:c r="D579" s="9" t="n">
        <x:v>46281.67737268518</x:v>
      </x:c>
      <x:c r="E579" s="12"/>
      <x:c r="F579" s="12" t="n">
        <x:f>'Покупки'!H65</x:f>
        <x:v>0.1690264251056142</x:v>
      </x:c>
      <x:c r="G579" s="14" t="str">
        <x:f>IF(I579="Есть цена",IF(AND(ISNUMBER(E579),E579&gt;0,F579&gt;0),E579/F579-1,NA()),"")</x:f>
      </x:c>
      <x:c r="H579" s="14" t="str">
        <x:f>IF(AND(I579="Есть цена",I578="Есть цена"),IF(AND(E579&gt;0,E578&gt;0),E579/E578-1,NA()),"")</x:f>
      </x:c>
      <x:c r="I579" s="2" t="str">
        <x:v>RPC: данные не загружены</x:v>
      </x:c>
      <x:c r="J579" s="2"/>
      <x:c r="K579" s="9"/>
      <x:c r="L579" s="2"/>
      <x:c r="M579" s="2"/>
      <x:c r="N579" s="2"/>
      <x:c r="O579" s="2"/>
      <x:c r="P579" s="2" t="str">
        <x:v>not_cached:getSignaturesForAddress:history/141c8643e4ba7dab00917ce1</x:v>
      </x:c>
      <x:c r="Q579" s="2" t="str"/>
      <x:c r="R579" s="14" t="str">
        <x:f>IF(AND(C579="Нулевой остаток",I579="Есть цена"),G579,"")</x:f>
      </x:c>
      <x:c r="S579" s="14" t="str">
        <x:f>IF(AND(C579="Докупка",I579="Есть цена"),G579,"")</x:f>
      </x:c>
    </x:row>
    <x:row r="580" ht="21" customHeight="1">
      <x:c r="A580" s="2" t="n">
        <x:v>58</x:v>
      </x:c>
      <x:c r="B580" s="2" t="n">
        <x:v>30</x:v>
      </x:c>
      <x:c r="C580" s="2" t="str">
        <x:f>'Покупки'!C65</x:f>
        <x:v>Докупка</x:v>
      </x:c>
      <x:c r="D580" s="9" t="n">
        <x:v>46281.6775462963</x:v>
      </x:c>
      <x:c r="E580" s="12"/>
      <x:c r="F580" s="12" t="n">
        <x:f>'Покупки'!H65</x:f>
        <x:v>0.1690264251056142</x:v>
      </x:c>
      <x:c r="G580" s="14" t="str">
        <x:f>IF(I580="Есть цена",IF(AND(ISNUMBER(E580),E580&gt;0,F580&gt;0),E580/F580-1,NA()),"")</x:f>
      </x:c>
      <x:c r="H580" s="14" t="str">
        <x:f>IF(AND(I580="Есть цена",I578="Есть цена"),IF(AND(E580&gt;0,E578&gt;0),E580/E578-1,NA()),"")</x:f>
      </x:c>
      <x:c r="I580" s="2" t="str">
        <x:v>RPC: данные не загружены</x:v>
      </x:c>
      <x:c r="J580" s="2"/>
      <x:c r="K580" s="9"/>
      <x:c r="L580" s="2"/>
      <x:c r="M580" s="2"/>
      <x:c r="N580" s="2"/>
      <x:c r="O580" s="2"/>
      <x:c r="P580" s="2" t="str">
        <x:v>not_cached:getSignaturesForAddress:history/141c8643e4ba7dab00917ce1</x:v>
      </x:c>
      <x:c r="Q580" s="2" t="str"/>
      <x:c r="R580" s="14" t="str">
        <x:f>IF(AND(C580="Нулевой остаток",I580="Есть цена"),G580,"")</x:f>
      </x:c>
      <x:c r="S580" s="14" t="str">
        <x:f>IF(AND(C580="Докупка",I580="Есть цена"),G580,"")</x:f>
      </x:c>
    </x:row>
    <x:row r="581" ht="21" customHeight="1">
      <x:c r="A581" s="2" t="n">
        <x:v>58</x:v>
      </x:c>
      <x:c r="B581" s="2" t="n">
        <x:v>60</x:v>
      </x:c>
      <x:c r="C581" s="2" t="str">
        <x:f>'Покупки'!C65</x:f>
        <x:v>Докупка</x:v>
      </x:c>
      <x:c r="D581" s="9" t="n">
        <x:v>46281.67789351852</x:v>
      </x:c>
      <x:c r="E581" s="12"/>
      <x:c r="F581" s="12" t="n">
        <x:f>'Покупки'!H65</x:f>
        <x:v>0.1690264251056142</x:v>
      </x:c>
      <x:c r="G581" s="14" t="str">
        <x:f>IF(I581="Есть цена",IF(AND(ISNUMBER(E581),E581&gt;0,F581&gt;0),E581/F581-1,NA()),"")</x:f>
      </x:c>
      <x:c r="H581" s="14" t="str">
        <x:f>IF(AND(I581="Есть цена",I578="Есть цена"),IF(AND(E581&gt;0,E578&gt;0),E581/E578-1,NA()),"")</x:f>
      </x:c>
      <x:c r="I581" s="2" t="str">
        <x:v>RPC: данные не загружены</x:v>
      </x:c>
      <x:c r="J581" s="2"/>
      <x:c r="K581" s="9"/>
      <x:c r="L581" s="2"/>
      <x:c r="M581" s="2"/>
      <x:c r="N581" s="2"/>
      <x:c r="O581" s="2"/>
      <x:c r="P581" s="2" t="str">
        <x:v>not_cached:getSignaturesForAddress:history/e4f90ef187e3c344ab700205</x:v>
      </x:c>
      <x:c r="Q581" s="2" t="str"/>
      <x:c r="R581" s="14" t="str">
        <x:f>IF(AND(C581="Нулевой остаток",I581="Есть цена"),G581,"")</x:f>
      </x:c>
      <x:c r="S581" s="14" t="str">
        <x:f>IF(AND(C581="Докупка",I581="Есть цена"),G581,"")</x:f>
      </x:c>
    </x:row>
    <x:row r="582" ht="21" customHeight="1">
      <x:c r="A582" s="2" t="n">
        <x:v>58</x:v>
      </x:c>
      <x:c r="B582" s="2" t="n">
        <x:v>180</x:v>
      </x:c>
      <x:c r="C582" s="2" t="str">
        <x:f>'Покупки'!C65</x:f>
        <x:v>Докупка</x:v>
      </x:c>
      <x:c r="D582" s="9" t="n">
        <x:v>46281.67928240741</x:v>
      </x:c>
      <x:c r="E582" s="12"/>
      <x:c r="F582" s="12" t="n">
        <x:f>'Покупки'!H65</x:f>
        <x:v>0.1690264251056142</x:v>
      </x:c>
      <x:c r="G582" s="14" t="str">
        <x:f>IF(I582="Есть цена",IF(AND(ISNUMBER(E582),E582&gt;0,F582&gt;0),E582/F582-1,NA()),"")</x:f>
      </x:c>
      <x:c r="H582" s="14" t="str">
        <x:f>IF(AND(I582="Есть цена",I578="Есть цена"),IF(AND(E582&gt;0,E578&gt;0),E582/E578-1,NA()),"")</x:f>
      </x:c>
      <x:c r="I582" s="2" t="str">
        <x:v>RPC: данные не загружены</x:v>
      </x:c>
      <x:c r="J582" s="2"/>
      <x:c r="K582" s="9"/>
      <x:c r="L582" s="2"/>
      <x:c r="M582" s="2"/>
      <x:c r="N582" s="2"/>
      <x:c r="O582" s="2"/>
      <x:c r="P582" s="2" t="str">
        <x:v>not_cached:getSignaturesForAddress:history/4402b37f82e467c03c23f832</x:v>
      </x:c>
      <x:c r="Q582" s="2" t="str"/>
      <x:c r="R582" s="14" t="str">
        <x:f>IF(AND(C582="Нулевой остаток",I582="Есть цена"),G582,"")</x:f>
      </x:c>
      <x:c r="S582" s="14" t="str">
        <x:f>IF(AND(C582="Докупка",I582="Есть цена"),G582,"")</x:f>
      </x:c>
    </x:row>
    <x:row r="583" ht="21" customHeight="1">
      <x:c r="A583" s="2" t="n">
        <x:v>58</x:v>
      </x:c>
      <x:c r="B583" s="2" t="n">
        <x:v>300</x:v>
      </x:c>
      <x:c r="C583" s="2" t="str">
        <x:f>'Покупки'!C65</x:f>
        <x:v>Докупка</x:v>
      </x:c>
      <x:c r="D583" s="9" t="n">
        <x:v>46281.68067129629</x:v>
      </x:c>
      <x:c r="E583" s="12"/>
      <x:c r="F583" s="12" t="n">
        <x:f>'Покупки'!H65</x:f>
        <x:v>0.1690264251056142</x:v>
      </x:c>
      <x:c r="G583" s="14" t="str">
        <x:f>IF(I583="Есть цена",IF(AND(ISNUMBER(E583),E583&gt;0,F583&gt;0),E583/F583-1,NA()),"")</x:f>
      </x:c>
      <x:c r="H583" s="14" t="str">
        <x:f>IF(AND(I583="Есть цена",I578="Есть цена"),IF(AND(E583&gt;0,E578&gt;0),E583/E578-1,NA()),"")</x:f>
      </x:c>
      <x:c r="I583" s="2" t="str">
        <x:v>RPC: данные не загружены</x:v>
      </x:c>
      <x:c r="J583" s="2"/>
      <x:c r="K583" s="9"/>
      <x:c r="L583" s="2"/>
      <x:c r="M583" s="2"/>
      <x:c r="N583" s="2"/>
      <x:c r="O583" s="2"/>
      <x:c r="P583" s="2" t="str">
        <x:v>not_cached:getSignaturesForAddress:history/4402b37f82e467c03c23f832</x:v>
      </x:c>
      <x:c r="Q583" s="2" t="str"/>
      <x:c r="R583" s="14" t="str">
        <x:f>IF(AND(C583="Нулевой остаток",I583="Есть цена"),G583,"")</x:f>
      </x:c>
      <x:c r="S583" s="14" t="str">
        <x:f>IF(AND(C583="Докупка",I583="Есть цена"),G583,"")</x:f>
      </x:c>
    </x:row>
    <x:row r="584" ht="21" customHeight="1">
      <x:c r="A584" s="2" t="n">
        <x:v>58</x:v>
      </x:c>
      <x:c r="B584" s="2" t="n">
        <x:v>900</x:v>
      </x:c>
      <x:c r="C584" s="2" t="str">
        <x:f>'Покупки'!C65</x:f>
        <x:v>Докупка</x:v>
      </x:c>
      <x:c r="D584" s="9" t="n">
        <x:v>46281.68761574074</x:v>
      </x:c>
      <x:c r="E584" s="12"/>
      <x:c r="F584" s="12" t="n">
        <x:f>'Покупки'!H65</x:f>
        <x:v>0.1690264251056142</x:v>
      </x:c>
      <x:c r="G584" s="14" t="str">
        <x:f>IF(I584="Есть цена",IF(AND(ISNUMBER(E584),E584&gt;0,F584&gt;0),E584/F584-1,NA()),"")</x:f>
      </x:c>
      <x:c r="H584" s="14" t="str">
        <x:f>IF(AND(I584="Есть цена",I578="Есть цена"),IF(AND(E584&gt;0,E578&gt;0),E584/E578-1,NA()),"")</x:f>
      </x:c>
      <x:c r="I584" s="2" t="str">
        <x:v>RPC: данные не загружены</x:v>
      </x:c>
      <x:c r="J584" s="2"/>
      <x:c r="K584" s="9"/>
      <x:c r="L584" s="2"/>
      <x:c r="M584" s="2"/>
      <x:c r="N584" s="2"/>
      <x:c r="O584" s="2"/>
      <x:c r="P584" s="2" t="str">
        <x:v>not_cached:getSignaturesForAddress:history/b781757cff4060ebe84ee181</x:v>
      </x:c>
      <x:c r="Q584" s="2" t="str"/>
      <x:c r="R584" s="14" t="str">
        <x:f>IF(AND(C584="Нулевой остаток",I584="Есть цена"),G584,"")</x:f>
      </x:c>
      <x:c r="S584" s="14" t="str">
        <x:f>IF(AND(C584="Докупка",I584="Есть цена"),G584,"")</x:f>
      </x:c>
    </x:row>
    <x:row r="585" ht="21" customHeight="1">
      <x:c r="A585" s="2" t="n">
        <x:v>58</x:v>
      </x:c>
      <x:c r="B585" s="2" t="n">
        <x:v>3600</x:v>
      </x:c>
      <x:c r="C585" s="2" t="str">
        <x:f>'Покупки'!C65</x:f>
        <x:v>Докупка</x:v>
      </x:c>
      <x:c r="D585" s="9" t="n">
        <x:v>46281.71886574074</x:v>
      </x:c>
      <x:c r="E585" s="12"/>
      <x:c r="F585" s="12" t="n">
        <x:f>'Покупки'!H65</x:f>
        <x:v>0.1690264251056142</x:v>
      </x:c>
      <x:c r="G585" s="14" t="str">
        <x:f>IF(I585="Есть цена",IF(AND(ISNUMBER(E585),E585&gt;0,F585&gt;0),E585/F585-1,NA()),"")</x:f>
      </x:c>
      <x:c r="H585" s="14" t="str">
        <x:f>IF(AND(I585="Есть цена",I578="Есть цена"),IF(AND(E585&gt;0,E578&gt;0),E585/E578-1,NA()),"")</x:f>
      </x:c>
      <x:c r="I585" s="2" t="str">
        <x:v>RPC: данные не загружены</x:v>
      </x:c>
      <x:c r="J585" s="2"/>
      <x:c r="K585" s="9"/>
      <x:c r="L585" s="2"/>
      <x:c r="M585" s="2"/>
      <x:c r="N585" s="2"/>
      <x:c r="O585" s="2"/>
      <x:c r="P585" s="2" t="str">
        <x:v>not_cached:getSignaturesForAddress:history/b4191e164ad3c6191547c59b</x:v>
      </x:c>
      <x:c r="Q585" s="2" t="str"/>
      <x:c r="R585" s="14" t="str">
        <x:f>IF(AND(C585="Нулевой остаток",I585="Есть цена"),G585,"")</x:f>
      </x:c>
      <x:c r="S585" s="14" t="str">
        <x:f>IF(AND(C585="Докупка",I585="Есть цена"),G585,"")</x:f>
      </x:c>
    </x:row>
    <x:row r="586" ht="21" customHeight="1">
      <x:c r="A586" s="2" t="n">
        <x:v>58</x:v>
      </x:c>
      <x:c r="B586" s="2" t="n">
        <x:v>21600</x:v>
      </x:c>
      <x:c r="C586" s="2" t="str">
        <x:f>'Покупки'!C65</x:f>
        <x:v>Докупка</x:v>
      </x:c>
      <x:c r="D586" s="9" t="n">
        <x:v>46281.927199074074</x:v>
      </x:c>
      <x:c r="E586" s="12"/>
      <x:c r="F586" s="12" t="n">
        <x:f>'Покупки'!H65</x:f>
        <x:v>0.1690264251056142</x:v>
      </x:c>
      <x:c r="G586" s="14" t="str">
        <x:f>IF(I586="Есть цена",IF(AND(ISNUMBER(E586),E586&gt;0,F586&gt;0),E586/F586-1,NA()),"")</x:f>
      </x:c>
      <x:c r="H586" s="14" t="str">
        <x:f>IF(AND(I586="Есть цена",I578="Есть цена"),IF(AND(E586&gt;0,E578&gt;0),E586/E578-1,NA()),"")</x:f>
      </x:c>
      <x:c r="I586" s="2" t="str">
        <x:v>RPC: данные не загружены</x:v>
      </x:c>
      <x:c r="J586" s="2"/>
      <x:c r="K586" s="9"/>
      <x:c r="L586" s="2"/>
      <x:c r="M586" s="2"/>
      <x:c r="N586" s="2"/>
      <x:c r="O586" s="2"/>
      <x:c r="P586" s="2" t="str">
        <x:v>not_cached:getSignaturesForAddress:history/543c0da1eb74484b120567f7</x:v>
      </x:c>
      <x:c r="Q586" s="2" t="str"/>
      <x:c r="R586" s="14" t="str">
        <x:f>IF(AND(C586="Нулевой остаток",I586="Есть цена"),G586,"")</x:f>
      </x:c>
      <x:c r="S586" s="14" t="str">
        <x:f>IF(AND(C586="Докупка",I586="Есть цена"),G586,"")</x:f>
      </x:c>
    </x:row>
    <x:row r="587" ht="21" customHeight="1">
      <x:c r="A587" s="2" t="n">
        <x:v>58</x:v>
      </x:c>
      <x:c r="B587" s="2" t="n">
        <x:v>86400</x:v>
      </x:c>
      <x:c r="C587" s="2" t="str">
        <x:f>'Покупки'!C65</x:f>
        <x:v>Докупка</x:v>
      </x:c>
      <x:c r="D587" s="9" t="n">
        <x:v>46282.677199074074</x:v>
      </x:c>
      <x:c r="E587" s="12"/>
      <x:c r="F587" s="12" t="n">
        <x:f>'Покупки'!H65</x:f>
        <x:v>0.1690264251056142</x:v>
      </x:c>
      <x:c r="G587" s="14" t="str">
        <x:f>IF(I587="Есть цена",IF(AND(ISNUMBER(E587),E587&gt;0,F587&gt;0),E587/F587-1,NA()),"")</x:f>
      </x:c>
      <x:c r="H587" s="14" t="str">
        <x:f>IF(AND(I587="Есть цена",I578="Есть цена"),IF(AND(E587&gt;0,E578&gt;0),E587/E578-1,NA()),"")</x:f>
      </x:c>
      <x:c r="I587" s="2" t="str">
        <x:v>RPC: данные не загружены</x:v>
      </x:c>
      <x:c r="J587" s="2"/>
      <x:c r="K587" s="9"/>
      <x:c r="L587" s="2"/>
      <x:c r="M587" s="2"/>
      <x:c r="N587" s="2"/>
      <x:c r="O587" s="2"/>
      <x:c r="P587" s="2" t="str">
        <x:v>not_cached:getSignaturesForAddress:history/9dd28c727a132afe49bba949</x:v>
      </x:c>
      <x:c r="Q587" s="2" t="str"/>
      <x:c r="R587" s="14" t="str">
        <x:f>IF(AND(C587="Нулевой остаток",I587="Есть цена"),G587,"")</x:f>
      </x:c>
      <x:c r="S587" s="14" t="str">
        <x:f>IF(AND(C587="Докупка",I587="Есть цена"),G587,"")</x:f>
      </x:c>
    </x:row>
    <x:row r="588" ht="21" customHeight="1">
      <x:c r="A588" s="2" t="n">
        <x:v>59</x:v>
      </x:c>
      <x:c r="B588" s="2" t="n">
        <x:v>5</x:v>
      </x:c>
      <x:c r="C588" s="2" t="str">
        <x:f>'Покупки'!C66</x:f>
        <x:v>Докупка</x:v>
      </x:c>
      <x:c r="D588" s="9" t="n">
        <x:v>46281.675891203704</x:v>
      </x:c>
      <x:c r="E588" s="12"/>
      <x:c r="F588" s="12" t="n">
        <x:f>'Покупки'!H66</x:f>
        <x:v>0.1690744666462212</x:v>
      </x:c>
      <x:c r="G588" s="14" t="str">
        <x:f>IF(I588="Есть цена",IF(AND(ISNUMBER(E588),E588&gt;0,F588&gt;0),E588/F588-1,NA()),"")</x:f>
      </x:c>
      <x:c r="H588" s="14" t="str">
        <x:f>IF(AND(I588="Есть цена",I588="Есть цена"),IF(AND(E588&gt;0,E588&gt;0),E588/E588-1,NA()),"")</x:f>
      </x:c>
      <x:c r="I588" s="2" t="str">
        <x:v>RPC: данные не загружены</x:v>
      </x:c>
      <x:c r="J588" s="2"/>
      <x:c r="K588" s="9"/>
      <x:c r="L588" s="2"/>
      <x:c r="M588" s="2"/>
      <x:c r="N588" s="2"/>
      <x:c r="O588" s="2"/>
      <x:c r="P588" s="2" t="str">
        <x:v>not_cached:getSignaturesForAddress:history/be7923e991407c97d7ade89d</x:v>
      </x:c>
      <x:c r="Q588" s="2" t="str"/>
      <x:c r="R588" s="14" t="str">
        <x:f>IF(AND(C588="Нулевой остаток",I588="Есть цена"),G588,"")</x:f>
      </x:c>
      <x:c r="S588" s="14" t="str">
        <x:f>IF(AND(C588="Докупка",I588="Есть цена"),G588,"")</x:f>
      </x:c>
    </x:row>
    <x:row r="589" ht="21" customHeight="1">
      <x:c r="A589" s="2" t="n">
        <x:v>59</x:v>
      </x:c>
      <x:c r="B589" s="2" t="n">
        <x:v>15</x:v>
      </x:c>
      <x:c r="C589" s="2" t="str">
        <x:f>'Покупки'!C66</x:f>
        <x:v>Докупка</x:v>
      </x:c>
      <x:c r="D589" s="9" t="n">
        <x:v>46281.67600694444</x:v>
      </x:c>
      <x:c r="E589" s="12"/>
      <x:c r="F589" s="12" t="n">
        <x:f>'Покупки'!H66</x:f>
        <x:v>0.1690744666462212</x:v>
      </x:c>
      <x:c r="G589" s="14" t="str">
        <x:f>IF(I589="Есть цена",IF(AND(ISNUMBER(E589),E589&gt;0,F589&gt;0),E589/F589-1,NA()),"")</x:f>
      </x:c>
      <x:c r="H589" s="14" t="str">
        <x:f>IF(AND(I589="Есть цена",I588="Есть цена"),IF(AND(E589&gt;0,E588&gt;0),E589/E588-1,NA()),"")</x:f>
      </x:c>
      <x:c r="I589" s="2" t="str">
        <x:v>RPC: данные не загружены</x:v>
      </x:c>
      <x:c r="J589" s="2"/>
      <x:c r="K589" s="9"/>
      <x:c r="L589" s="2"/>
      <x:c r="M589" s="2"/>
      <x:c r="N589" s="2"/>
      <x:c r="O589" s="2"/>
      <x:c r="P589" s="2" t="str">
        <x:v>not_cached:getSignaturesForAddress:history/be7923e991407c97d7ade89d</x:v>
      </x:c>
      <x:c r="Q589" s="2" t="str"/>
      <x:c r="R589" s="14" t="str">
        <x:f>IF(AND(C589="Нулевой остаток",I589="Есть цена"),G589,"")</x:f>
      </x:c>
      <x:c r="S589" s="14" t="str">
        <x:f>IF(AND(C589="Докупка",I589="Есть цена"),G589,"")</x:f>
      </x:c>
    </x:row>
    <x:row r="590" ht="21" customHeight="1">
      <x:c r="A590" s="2" t="n">
        <x:v>59</x:v>
      </x:c>
      <x:c r="B590" s="2" t="n">
        <x:v>30</x:v>
      </x:c>
      <x:c r="C590" s="2" t="str">
        <x:f>'Покупки'!C66</x:f>
        <x:v>Докупка</x:v>
      </x:c>
      <x:c r="D590" s="9" t="n">
        <x:v>46281.67618055556</x:v>
      </x:c>
      <x:c r="E590" s="12"/>
      <x:c r="F590" s="12" t="n">
        <x:f>'Покупки'!H66</x:f>
        <x:v>0.1690744666462212</x:v>
      </x:c>
      <x:c r="G590" s="14" t="str">
        <x:f>IF(I590="Есть цена",IF(AND(ISNUMBER(E590),E590&gt;0,F590&gt;0),E590/F590-1,NA()),"")</x:f>
      </x:c>
      <x:c r="H590" s="14" t="str">
        <x:f>IF(AND(I590="Есть цена",I588="Есть цена"),IF(AND(E590&gt;0,E588&gt;0),E590/E588-1,NA()),"")</x:f>
      </x:c>
      <x:c r="I590" s="2" t="str">
        <x:v>RPC: данные не загружены</x:v>
      </x:c>
      <x:c r="J590" s="2"/>
      <x:c r="K590" s="9"/>
      <x:c r="L590" s="2"/>
      <x:c r="M590" s="2"/>
      <x:c r="N590" s="2"/>
      <x:c r="O590" s="2"/>
      <x:c r="P590" s="2" t="str">
        <x:v>not_cached:getSignaturesForAddress:history/be7923e991407c97d7ade89d</x:v>
      </x:c>
      <x:c r="Q590" s="2" t="str"/>
      <x:c r="R590" s="14" t="str">
        <x:f>IF(AND(C590="Нулевой остаток",I590="Есть цена"),G590,"")</x:f>
      </x:c>
      <x:c r="S590" s="14" t="str">
        <x:f>IF(AND(C590="Докупка",I590="Есть цена"),G590,"")</x:f>
      </x:c>
    </x:row>
    <x:row r="591" ht="21" customHeight="1">
      <x:c r="A591" s="2" t="n">
        <x:v>59</x:v>
      </x:c>
      <x:c r="B591" s="2" t="n">
        <x:v>60</x:v>
      </x:c>
      <x:c r="C591" s="2" t="str">
        <x:f>'Покупки'!C66</x:f>
        <x:v>Докупка</x:v>
      </x:c>
      <x:c r="D591" s="9" t="n">
        <x:v>46281.67652777778</x:v>
      </x:c>
      <x:c r="E591" s="12"/>
      <x:c r="F591" s="12" t="n">
        <x:f>'Покупки'!H66</x:f>
        <x:v>0.1690744666462212</x:v>
      </x:c>
      <x:c r="G591" s="14" t="str">
        <x:f>IF(I591="Есть цена",IF(AND(ISNUMBER(E591),E591&gt;0,F591&gt;0),E591/F591-1,NA()),"")</x:f>
      </x:c>
      <x:c r="H591" s="14" t="str">
        <x:f>IF(AND(I591="Есть цена",I588="Есть цена"),IF(AND(E591&gt;0,E588&gt;0),E591/E588-1,NA()),"")</x:f>
      </x:c>
      <x:c r="I591" s="2" t="str">
        <x:v>RPC: данные не загружены</x:v>
      </x:c>
      <x:c r="J591" s="2"/>
      <x:c r="K591" s="9"/>
      <x:c r="L591" s="2"/>
      <x:c r="M591" s="2"/>
      <x:c r="N591" s="2"/>
      <x:c r="O591" s="2"/>
      <x:c r="P591" s="2" t="str">
        <x:v>not_cached:getSignaturesForAddress:history/f3977c9aa77aa2e9e2eddfa3</x:v>
      </x:c>
      <x:c r="Q591" s="2" t="str"/>
      <x:c r="R591" s="14" t="str">
        <x:f>IF(AND(C591="Нулевой остаток",I591="Есть цена"),G591,"")</x:f>
      </x:c>
      <x:c r="S591" s="14" t="str">
        <x:f>IF(AND(C591="Докупка",I591="Есть цена"),G591,"")</x:f>
      </x:c>
    </x:row>
    <x:row r="592" ht="21" customHeight="1">
      <x:c r="A592" s="2" t="n">
        <x:v>59</x:v>
      </x:c>
      <x:c r="B592" s="2" t="n">
        <x:v>180</x:v>
      </x:c>
      <x:c r="C592" s="2" t="str">
        <x:f>'Покупки'!C66</x:f>
        <x:v>Докупка</x:v>
      </x:c>
      <x:c r="D592" s="9" t="n">
        <x:v>46281.67791666667</x:v>
      </x:c>
      <x:c r="E592" s="12"/>
      <x:c r="F592" s="12" t="n">
        <x:f>'Покупки'!H66</x:f>
        <x:v>0.1690744666462212</x:v>
      </x:c>
      <x:c r="G592" s="14" t="str">
        <x:f>IF(I592="Есть цена",IF(AND(ISNUMBER(E592),E592&gt;0,F592&gt;0),E592/F592-1,NA()),"")</x:f>
      </x:c>
      <x:c r="H592" s="14" t="str">
        <x:f>IF(AND(I592="Есть цена",I588="Есть цена"),IF(AND(E592&gt;0,E588&gt;0),E592/E588-1,NA()),"")</x:f>
      </x:c>
      <x:c r="I592" s="2" t="str">
        <x:v>RPC: данные не загружены</x:v>
      </x:c>
      <x:c r="J592" s="2"/>
      <x:c r="K592" s="9"/>
      <x:c r="L592" s="2"/>
      <x:c r="M592" s="2"/>
      <x:c r="N592" s="2"/>
      <x:c r="O592" s="2"/>
      <x:c r="P592" s="2" t="str">
        <x:v>not_cached:getSignaturesForAddress:history/9287e1e542493509b86eb994</x:v>
      </x:c>
      <x:c r="Q592" s="2" t="str"/>
      <x:c r="R592" s="14" t="str">
        <x:f>IF(AND(C592="Нулевой остаток",I592="Есть цена"),G592,"")</x:f>
      </x:c>
      <x:c r="S592" s="14" t="str">
        <x:f>IF(AND(C592="Докупка",I592="Есть цена"),G592,"")</x:f>
      </x:c>
    </x:row>
    <x:row r="593" ht="21" customHeight="1">
      <x:c r="A593" s="2" t="n">
        <x:v>59</x:v>
      </x:c>
      <x:c r="B593" s="2" t="n">
        <x:v>300</x:v>
      </x:c>
      <x:c r="C593" s="2" t="str">
        <x:f>'Покупки'!C66</x:f>
        <x:v>Докупка</x:v>
      </x:c>
      <x:c r="D593" s="9" t="n">
        <x:v>46281.67930555555</x:v>
      </x:c>
      <x:c r="E593" s="12"/>
      <x:c r="F593" s="12" t="n">
        <x:f>'Покупки'!H66</x:f>
        <x:v>0.1690744666462212</x:v>
      </x:c>
      <x:c r="G593" s="14" t="str">
        <x:f>IF(I593="Есть цена",IF(AND(ISNUMBER(E593),E593&gt;0,F593&gt;0),E593/F593-1,NA()),"")</x:f>
      </x:c>
      <x:c r="H593" s="14" t="str">
        <x:f>IF(AND(I593="Есть цена",I588="Есть цена"),IF(AND(E593&gt;0,E588&gt;0),E593/E588-1,NA()),"")</x:f>
      </x:c>
      <x:c r="I593" s="2" t="str">
        <x:v>RPC: данные не загружены</x:v>
      </x:c>
      <x:c r="J593" s="2"/>
      <x:c r="K593" s="9"/>
      <x:c r="L593" s="2"/>
      <x:c r="M593" s="2"/>
      <x:c r="N593" s="2"/>
      <x:c r="O593" s="2"/>
      <x:c r="P593" s="2" t="str">
        <x:v>not_cached:getSignaturesForAddress:history/fbb71f123f64835a7a77478f</x:v>
      </x:c>
      <x:c r="Q593" s="2" t="str"/>
      <x:c r="R593" s="14" t="str">
        <x:f>IF(AND(C593="Нулевой остаток",I593="Есть цена"),G593,"")</x:f>
      </x:c>
      <x:c r="S593" s="14" t="str">
        <x:f>IF(AND(C593="Докупка",I593="Есть цена"),G593,"")</x:f>
      </x:c>
    </x:row>
    <x:row r="594" ht="21" customHeight="1">
      <x:c r="A594" s="2" t="n">
        <x:v>59</x:v>
      </x:c>
      <x:c r="B594" s="2" t="n">
        <x:v>900</x:v>
      </x:c>
      <x:c r="C594" s="2" t="str">
        <x:f>'Покупки'!C66</x:f>
        <x:v>Докупка</x:v>
      </x:c>
      <x:c r="D594" s="9" t="n">
        <x:v>46281.68625</x:v>
      </x:c>
      <x:c r="E594" s="12"/>
      <x:c r="F594" s="12" t="n">
        <x:f>'Покупки'!H66</x:f>
        <x:v>0.1690744666462212</x:v>
      </x:c>
      <x:c r="G594" s="14" t="str">
        <x:f>IF(I594="Есть цена",IF(AND(ISNUMBER(E594),E594&gt;0,F594&gt;0),E594/F594-1,NA()),"")</x:f>
      </x:c>
      <x:c r="H594" s="14" t="str">
        <x:f>IF(AND(I594="Есть цена",I588="Есть цена"),IF(AND(E594&gt;0,E588&gt;0),E594/E588-1,NA()),"")</x:f>
      </x:c>
      <x:c r="I594" s="2" t="str">
        <x:v>RPC: данные не загружены</x:v>
      </x:c>
      <x:c r="J594" s="2"/>
      <x:c r="K594" s="9"/>
      <x:c r="L594" s="2"/>
      <x:c r="M594" s="2"/>
      <x:c r="N594" s="2"/>
      <x:c r="O594" s="2"/>
      <x:c r="P594" s="2" t="str">
        <x:v>not_cached:getSignaturesForAddress:history/7764868682e6d5b543eb53fd</x:v>
      </x:c>
      <x:c r="Q594" s="2" t="str"/>
      <x:c r="R594" s="14" t="str">
        <x:f>IF(AND(C594="Нулевой остаток",I594="Есть цена"),G594,"")</x:f>
      </x:c>
      <x:c r="S594" s="14" t="str">
        <x:f>IF(AND(C594="Докупка",I594="Есть цена"),G594,"")</x:f>
      </x:c>
    </x:row>
    <x:row r="595" ht="21" customHeight="1">
      <x:c r="A595" s="2" t="n">
        <x:v>59</x:v>
      </x:c>
      <x:c r="B595" s="2" t="n">
        <x:v>3600</x:v>
      </x:c>
      <x:c r="C595" s="2" t="str">
        <x:f>'Покупки'!C66</x:f>
        <x:v>Докупка</x:v>
      </x:c>
      <x:c r="D595" s="9" t="n">
        <x:v>46281.7175</x:v>
      </x:c>
      <x:c r="E595" s="12"/>
      <x:c r="F595" s="12" t="n">
        <x:f>'Покупки'!H66</x:f>
        <x:v>0.1690744666462212</x:v>
      </x:c>
      <x:c r="G595" s="14" t="str">
        <x:f>IF(I595="Есть цена",IF(AND(ISNUMBER(E595),E595&gt;0,F595&gt;0),E595/F595-1,NA()),"")</x:f>
      </x:c>
      <x:c r="H595" s="14" t="str">
        <x:f>IF(AND(I595="Есть цена",I588="Есть цена"),IF(AND(E595&gt;0,E588&gt;0),E595/E588-1,NA()),"")</x:f>
      </x:c>
      <x:c r="I595" s="2" t="str">
        <x:v>RPC: данные не загружены</x:v>
      </x:c>
      <x:c r="J595" s="2"/>
      <x:c r="K595" s="9"/>
      <x:c r="L595" s="2"/>
      <x:c r="M595" s="2"/>
      <x:c r="N595" s="2"/>
      <x:c r="O595" s="2"/>
      <x:c r="P595" s="2" t="str">
        <x:v>not_cached:getSignaturesForAddress:history/18608a74b9d09e48dbe69049</x:v>
      </x:c>
      <x:c r="Q595" s="2" t="str"/>
      <x:c r="R595" s="14" t="str">
        <x:f>IF(AND(C595="Нулевой остаток",I595="Есть цена"),G595,"")</x:f>
      </x:c>
      <x:c r="S595" s="14" t="str">
        <x:f>IF(AND(C595="Докупка",I595="Есть цена"),G595,"")</x:f>
      </x:c>
    </x:row>
    <x:row r="596" ht="21" customHeight="1">
      <x:c r="A596" s="2" t="n">
        <x:v>59</x:v>
      </x:c>
      <x:c r="B596" s="2" t="n">
        <x:v>21600</x:v>
      </x:c>
      <x:c r="C596" s="2" t="str">
        <x:f>'Покупки'!C66</x:f>
        <x:v>Докупка</x:v>
      </x:c>
      <x:c r="D596" s="9" t="n">
        <x:v>46281.925833333335</x:v>
      </x:c>
      <x:c r="E596" s="12"/>
      <x:c r="F596" s="12" t="n">
        <x:f>'Покупки'!H66</x:f>
        <x:v>0.1690744666462212</x:v>
      </x:c>
      <x:c r="G596" s="14" t="str">
        <x:f>IF(I596="Есть цена",IF(AND(ISNUMBER(E596),E596&gt;0,F596&gt;0),E596/F596-1,NA()),"")</x:f>
      </x:c>
      <x:c r="H596" s="14" t="str">
        <x:f>IF(AND(I596="Есть цена",I588="Есть цена"),IF(AND(E596&gt;0,E588&gt;0),E596/E588-1,NA()),"")</x:f>
      </x:c>
      <x:c r="I596" s="2" t="str">
        <x:v>RPC: данные не загружены</x:v>
      </x:c>
      <x:c r="J596" s="2"/>
      <x:c r="K596" s="9"/>
      <x:c r="L596" s="2"/>
      <x:c r="M596" s="2"/>
      <x:c r="N596" s="2"/>
      <x:c r="O596" s="2"/>
      <x:c r="P596" s="2" t="str">
        <x:v>not_cached:getSignaturesForAddress:history/81a9b04cd571731d8629b971</x:v>
      </x:c>
      <x:c r="Q596" s="2" t="str"/>
      <x:c r="R596" s="14" t="str">
        <x:f>IF(AND(C596="Нулевой остаток",I596="Есть цена"),G596,"")</x:f>
      </x:c>
      <x:c r="S596" s="14" t="str">
        <x:f>IF(AND(C596="Докупка",I596="Есть цена"),G596,"")</x:f>
      </x:c>
    </x:row>
    <x:row r="597" ht="21" customHeight="1">
      <x:c r="A597" s="2" t="n">
        <x:v>59</x:v>
      </x:c>
      <x:c r="B597" s="2" t="n">
        <x:v>86400</x:v>
      </x:c>
      <x:c r="C597" s="2" t="str">
        <x:f>'Покупки'!C66</x:f>
        <x:v>Докупка</x:v>
      </x:c>
      <x:c r="D597" s="9" t="n">
        <x:v>46282.675833333335</x:v>
      </x:c>
      <x:c r="E597" s="12"/>
      <x:c r="F597" s="12" t="n">
        <x:f>'Покупки'!H66</x:f>
        <x:v>0.1690744666462212</x:v>
      </x:c>
      <x:c r="G597" s="14" t="str">
        <x:f>IF(I597="Есть цена",IF(AND(ISNUMBER(E597),E597&gt;0,F597&gt;0),E597/F597-1,NA()),"")</x:f>
      </x:c>
      <x:c r="H597" s="14" t="str">
        <x:f>IF(AND(I597="Есть цена",I588="Есть цена"),IF(AND(E597&gt;0,E588&gt;0),E597/E588-1,NA()),"")</x:f>
      </x:c>
      <x:c r="I597" s="2" t="str">
        <x:v>RPC: данные не загружены</x:v>
      </x:c>
      <x:c r="J597" s="2"/>
      <x:c r="K597" s="9"/>
      <x:c r="L597" s="2"/>
      <x:c r="M597" s="2"/>
      <x:c r="N597" s="2"/>
      <x:c r="O597" s="2"/>
      <x:c r="P597" s="2" t="str">
        <x:v>not_cached:getSignaturesForAddress:history/27f1a79b7b3e8e224dcc674c</x:v>
      </x:c>
      <x:c r="Q597" s="2" t="str"/>
      <x:c r="R597" s="14" t="str">
        <x:f>IF(AND(C597="Нулевой остаток",I597="Есть цена"),G597,"")</x:f>
      </x:c>
      <x:c r="S597" s="14" t="str">
        <x:f>IF(AND(C597="Докупка",I597="Есть цена"),G597,"")</x:f>
      </x:c>
    </x:row>
    <x:row r="598" ht="21" customHeight="1">
      <x:c r="A598" s="2" t="n">
        <x:v>60</x:v>
      </x:c>
      <x:c r="B598" s="2" t="n">
        <x:v>5</x:v>
      </x:c>
      <x:c r="C598" s="2" t="str">
        <x:f>'Покупки'!C67</x:f>
        <x:v>Докупка</x:v>
      </x:c>
      <x:c r="D598" s="9" t="n">
        <x:v>46281.67201388889</x:v>
      </x:c>
      <x:c r="E598" s="12"/>
      <x:c r="F598" s="12" t="n">
        <x:f>'Покупки'!H67</x:f>
        <x:v>0.16941888139308936</x:v>
      </x:c>
      <x:c r="G598" s="14" t="str">
        <x:f>IF(I598="Есть цена",IF(AND(ISNUMBER(E598),E598&gt;0,F598&gt;0),E598/F598-1,NA()),"")</x:f>
      </x:c>
      <x:c r="H598" s="14" t="str">
        <x:f>IF(AND(I598="Есть цена",I598="Есть цена"),IF(AND(E598&gt;0,E598&gt;0),E598/E598-1,NA()),"")</x:f>
      </x:c>
      <x:c r="I598" s="2" t="str">
        <x:v>RPC: данные не загружены</x:v>
      </x:c>
      <x:c r="J598" s="2"/>
      <x:c r="K598" s="9"/>
      <x:c r="L598" s="2"/>
      <x:c r="M598" s="2"/>
      <x:c r="N598" s="2"/>
      <x:c r="O598" s="2"/>
      <x:c r="P598" s="2" t="str">
        <x:v>not_cached:getSignaturesForAddress:history/70fae843b371a627c22c1fc7</x:v>
      </x:c>
      <x:c r="Q598" s="2" t="str"/>
      <x:c r="R598" s="14" t="str">
        <x:f>IF(AND(C598="Нулевой остаток",I598="Есть цена"),G598,"")</x:f>
      </x:c>
      <x:c r="S598" s="14" t="str">
        <x:f>IF(AND(C598="Докупка",I598="Есть цена"),G598,"")</x:f>
      </x:c>
    </x:row>
    <x:row r="599" ht="21" customHeight="1">
      <x:c r="A599" s="2" t="n">
        <x:v>60</x:v>
      </x:c>
      <x:c r="B599" s="2" t="n">
        <x:v>15</x:v>
      </x:c>
      <x:c r="C599" s="2" t="str">
        <x:f>'Покупки'!C67</x:f>
        <x:v>Докупка</x:v>
      </x:c>
      <x:c r="D599" s="9" t="n">
        <x:v>46281.67212962963</x:v>
      </x:c>
      <x:c r="E599" s="12"/>
      <x:c r="F599" s="12" t="n">
        <x:f>'Покупки'!H67</x:f>
        <x:v>0.16941888139308936</x:v>
      </x:c>
      <x:c r="G599" s="14" t="str">
        <x:f>IF(I599="Есть цена",IF(AND(ISNUMBER(E599),E599&gt;0,F599&gt;0),E599/F599-1,NA()),"")</x:f>
      </x:c>
      <x:c r="H599" s="14" t="str">
        <x:f>IF(AND(I599="Есть цена",I598="Есть цена"),IF(AND(E599&gt;0,E598&gt;0),E599/E598-1,NA()),"")</x:f>
      </x:c>
      <x:c r="I599" s="2" t="str">
        <x:v>RPC: данные не загружены</x:v>
      </x:c>
      <x:c r="J599" s="2"/>
      <x:c r="K599" s="9"/>
      <x:c r="L599" s="2"/>
      <x:c r="M599" s="2"/>
      <x:c r="N599" s="2"/>
      <x:c r="O599" s="2"/>
      <x:c r="P599" s="2" t="str">
        <x:v>not_cached:getSignaturesForAddress:history/70fae843b371a627c22c1fc7</x:v>
      </x:c>
      <x:c r="Q599" s="2" t="str"/>
      <x:c r="R599" s="14" t="str">
        <x:f>IF(AND(C599="Нулевой остаток",I599="Есть цена"),G599,"")</x:f>
      </x:c>
      <x:c r="S599" s="14" t="str">
        <x:f>IF(AND(C599="Докупка",I599="Есть цена"),G599,"")</x:f>
      </x:c>
    </x:row>
    <x:row r="600" ht="21" customHeight="1">
      <x:c r="A600" s="2" t="n">
        <x:v>60</x:v>
      </x:c>
      <x:c r="B600" s="2" t="n">
        <x:v>30</x:v>
      </x:c>
      <x:c r="C600" s="2" t="str">
        <x:f>'Покупки'!C67</x:f>
        <x:v>Докупка</x:v>
      </x:c>
      <x:c r="D600" s="9" t="n">
        <x:v>46281.67230324074</x:v>
      </x:c>
      <x:c r="E600" s="12"/>
      <x:c r="F600" s="12" t="n">
        <x:f>'Покупки'!H67</x:f>
        <x:v>0.16941888139308936</x:v>
      </x:c>
      <x:c r="G600" s="14" t="str">
        <x:f>IF(I600="Есть цена",IF(AND(ISNUMBER(E600),E600&gt;0,F600&gt;0),E600/F600-1,NA()),"")</x:f>
      </x:c>
      <x:c r="H600" s="14" t="str">
        <x:f>IF(AND(I600="Есть цена",I598="Есть цена"),IF(AND(E600&gt;0,E598&gt;0),E600/E598-1,NA()),"")</x:f>
      </x:c>
      <x:c r="I600" s="2" t="str">
        <x:v>RPC: данные не загружены</x:v>
      </x:c>
      <x:c r="J600" s="2"/>
      <x:c r="K600" s="9"/>
      <x:c r="L600" s="2"/>
      <x:c r="M600" s="2"/>
      <x:c r="N600" s="2"/>
      <x:c r="O600" s="2"/>
      <x:c r="P600" s="2" t="str">
        <x:v>not_cached:getSignaturesForAddress:history/70fae843b371a627c22c1fc7</x:v>
      </x:c>
      <x:c r="Q600" s="2" t="str"/>
      <x:c r="R600" s="14" t="str">
        <x:f>IF(AND(C600="Нулевой остаток",I600="Есть цена"),G600,"")</x:f>
      </x:c>
      <x:c r="S600" s="14" t="str">
        <x:f>IF(AND(C600="Докупка",I600="Есть цена"),G600,"")</x:f>
      </x:c>
    </x:row>
    <x:row r="601" ht="21" customHeight="1">
      <x:c r="A601" s="2" t="n">
        <x:v>60</x:v>
      </x:c>
      <x:c r="B601" s="2" t="n">
        <x:v>60</x:v>
      </x:c>
      <x:c r="C601" s="2" t="str">
        <x:f>'Покупки'!C67</x:f>
        <x:v>Докупка</x:v>
      </x:c>
      <x:c r="D601" s="9" t="n">
        <x:v>46281.67265046296</x:v>
      </x:c>
      <x:c r="E601" s="12"/>
      <x:c r="F601" s="12" t="n">
        <x:f>'Покупки'!H67</x:f>
        <x:v>0.16941888139308936</x:v>
      </x:c>
      <x:c r="G601" s="14" t="str">
        <x:f>IF(I601="Есть цена",IF(AND(ISNUMBER(E601),E601&gt;0,F601&gt;0),E601/F601-1,NA()),"")</x:f>
      </x:c>
      <x:c r="H601" s="14" t="str">
        <x:f>IF(AND(I601="Есть цена",I598="Есть цена"),IF(AND(E601&gt;0,E598&gt;0),E601/E598-1,NA()),"")</x:f>
      </x:c>
      <x:c r="I601" s="2" t="str">
        <x:v>RPC: данные не загружены</x:v>
      </x:c>
      <x:c r="J601" s="2"/>
      <x:c r="K601" s="9"/>
      <x:c r="L601" s="2"/>
      <x:c r="M601" s="2"/>
      <x:c r="N601" s="2"/>
      <x:c r="O601" s="2"/>
      <x:c r="P601" s="2" t="str">
        <x:v>not_cached:getSignaturesForAddress:history/70fae843b371a627c22c1fc7</x:v>
      </x:c>
      <x:c r="Q601" s="2" t="str"/>
      <x:c r="R601" s="14" t="str">
        <x:f>IF(AND(C601="Нулевой остаток",I601="Есть цена"),G601,"")</x:f>
      </x:c>
      <x:c r="S601" s="14" t="str">
        <x:f>IF(AND(C601="Докупка",I601="Есть цена"),G601,"")</x:f>
      </x:c>
    </x:row>
    <x:row r="602" ht="21" customHeight="1">
      <x:c r="A602" s="2" t="n">
        <x:v>60</x:v>
      </x:c>
      <x:c r="B602" s="2" t="n">
        <x:v>180</x:v>
      </x:c>
      <x:c r="C602" s="2" t="str">
        <x:f>'Покупки'!C67</x:f>
        <x:v>Докупка</x:v>
      </x:c>
      <x:c r="D602" s="9" t="n">
        <x:v>46281.67403935185</x:v>
      </x:c>
      <x:c r="E602" s="12"/>
      <x:c r="F602" s="12" t="n">
        <x:f>'Покупки'!H67</x:f>
        <x:v>0.16941888139308936</x:v>
      </x:c>
      <x:c r="G602" s="14" t="str">
        <x:f>IF(I602="Есть цена",IF(AND(ISNUMBER(E602),E602&gt;0,F602&gt;0),E602/F602-1,NA()),"")</x:f>
      </x:c>
      <x:c r="H602" s="14" t="str">
        <x:f>IF(AND(I602="Есть цена",I598="Есть цена"),IF(AND(E602&gt;0,E598&gt;0),E602/E598-1,NA()),"")</x:f>
      </x:c>
      <x:c r="I602" s="2" t="str">
        <x:v>RPC: данные не загружены</x:v>
      </x:c>
      <x:c r="J602" s="2"/>
      <x:c r="K602" s="9"/>
      <x:c r="L602" s="2"/>
      <x:c r="M602" s="2"/>
      <x:c r="N602" s="2"/>
      <x:c r="O602" s="2"/>
      <x:c r="P602" s="2" t="str">
        <x:v>not_cached:getSignaturesForAddress:history/02701f7a82d265a32d0b0112</x:v>
      </x:c>
      <x:c r="Q602" s="2" t="str"/>
      <x:c r="R602" s="14" t="str">
        <x:f>IF(AND(C602="Нулевой остаток",I602="Есть цена"),G602,"")</x:f>
      </x:c>
      <x:c r="S602" s="14" t="str">
        <x:f>IF(AND(C602="Докупка",I602="Есть цена"),G602,"")</x:f>
      </x:c>
    </x:row>
    <x:row r="603" ht="21" customHeight="1">
      <x:c r="A603" s="2" t="n">
        <x:v>60</x:v>
      </x:c>
      <x:c r="B603" s="2" t="n">
        <x:v>300</x:v>
      </x:c>
      <x:c r="C603" s="2" t="str">
        <x:f>'Покупки'!C67</x:f>
        <x:v>Докупка</x:v>
      </x:c>
      <x:c r="D603" s="9" t="n">
        <x:v>46281.67542824074</x:v>
      </x:c>
      <x:c r="E603" s="12"/>
      <x:c r="F603" s="12" t="n">
        <x:f>'Покупки'!H67</x:f>
        <x:v>0.16941888139308936</x:v>
      </x:c>
      <x:c r="G603" s="14" t="str">
        <x:f>IF(I603="Есть цена",IF(AND(ISNUMBER(E603),E603&gt;0,F603&gt;0),E603/F603-1,NA()),"")</x:f>
      </x:c>
      <x:c r="H603" s="14" t="str">
        <x:f>IF(AND(I603="Есть цена",I598="Есть цена"),IF(AND(E603&gt;0,E598&gt;0),E603/E598-1,NA()),"")</x:f>
      </x:c>
      <x:c r="I603" s="2" t="str">
        <x:v>RPC: данные не загружены</x:v>
      </x:c>
      <x:c r="J603" s="2"/>
      <x:c r="K603" s="9"/>
      <x:c r="L603" s="2"/>
      <x:c r="M603" s="2"/>
      <x:c r="N603" s="2"/>
      <x:c r="O603" s="2"/>
      <x:c r="P603" s="2" t="str">
        <x:v>not_cached:getSignaturesForAddress:history/02701f7a82d265a32d0b0112</x:v>
      </x:c>
      <x:c r="Q603" s="2" t="str"/>
      <x:c r="R603" s="14" t="str">
        <x:f>IF(AND(C603="Нулевой остаток",I603="Есть цена"),G603,"")</x:f>
      </x:c>
      <x:c r="S603" s="14" t="str">
        <x:f>IF(AND(C603="Докупка",I603="Есть цена"),G603,"")</x:f>
      </x:c>
    </x:row>
    <x:row r="604" ht="21" customHeight="1">
      <x:c r="A604" s="2" t="n">
        <x:v>60</x:v>
      </x:c>
      <x:c r="B604" s="2" t="n">
        <x:v>900</x:v>
      </x:c>
      <x:c r="C604" s="2" t="str">
        <x:f>'Покупки'!C67</x:f>
        <x:v>Докупка</x:v>
      </x:c>
      <x:c r="D604" s="9" t="n">
        <x:v>46281.68237268519</x:v>
      </x:c>
      <x:c r="E604" s="12"/>
      <x:c r="F604" s="12" t="n">
        <x:f>'Покупки'!H67</x:f>
        <x:v>0.16941888139308936</x:v>
      </x:c>
      <x:c r="G604" s="14" t="str">
        <x:f>IF(I604="Есть цена",IF(AND(ISNUMBER(E604),E604&gt;0,F604&gt;0),E604/F604-1,NA()),"")</x:f>
      </x:c>
      <x:c r="H604" s="14" t="str">
        <x:f>IF(AND(I604="Есть цена",I598="Есть цена"),IF(AND(E604&gt;0,E598&gt;0),E604/E598-1,NA()),"")</x:f>
      </x:c>
      <x:c r="I604" s="2" t="str">
        <x:v>RPC: данные не загружены</x:v>
      </x:c>
      <x:c r="J604" s="2"/>
      <x:c r="K604" s="9"/>
      <x:c r="L604" s="2"/>
      <x:c r="M604" s="2"/>
      <x:c r="N604" s="2"/>
      <x:c r="O604" s="2"/>
      <x:c r="P604" s="2" t="str">
        <x:v>not_cached:getSignaturesForAddress:history/fbb71f123f64835a7a77478f</x:v>
      </x:c>
      <x:c r="Q604" s="2" t="str"/>
      <x:c r="R604" s="14" t="str">
        <x:f>IF(AND(C604="Нулевой остаток",I604="Есть цена"),G604,"")</x:f>
      </x:c>
      <x:c r="S604" s="14" t="str">
        <x:f>IF(AND(C604="Докупка",I604="Есть цена"),G604,"")</x:f>
      </x:c>
    </x:row>
    <x:row r="605" ht="21" customHeight="1">
      <x:c r="A605" s="2" t="n">
        <x:v>60</x:v>
      </x:c>
      <x:c r="B605" s="2" t="n">
        <x:v>3600</x:v>
      </x:c>
      <x:c r="C605" s="2" t="str">
        <x:f>'Покупки'!C67</x:f>
        <x:v>Докупка</x:v>
      </x:c>
      <x:c r="D605" s="9" t="n">
        <x:v>46281.71362268519</x:v>
      </x:c>
      <x:c r="E605" s="12"/>
      <x:c r="F605" s="12" t="n">
        <x:f>'Покупки'!H67</x:f>
        <x:v>0.16941888139308936</x:v>
      </x:c>
      <x:c r="G605" s="14" t="str">
        <x:f>IF(I605="Есть цена",IF(AND(ISNUMBER(E605),E605&gt;0,F605&gt;0),E605/F605-1,NA()),"")</x:f>
      </x:c>
      <x:c r="H605" s="14" t="str">
        <x:f>IF(AND(I605="Есть цена",I598="Есть цена"),IF(AND(E605&gt;0,E598&gt;0),E605/E598-1,NA()),"")</x:f>
      </x:c>
      <x:c r="I605" s="2" t="str">
        <x:v>RPC: данные не загружены</x:v>
      </x:c>
      <x:c r="J605" s="2"/>
      <x:c r="K605" s="9"/>
      <x:c r="L605" s="2"/>
      <x:c r="M605" s="2"/>
      <x:c r="N605" s="2"/>
      <x:c r="O605" s="2"/>
      <x:c r="P605" s="2" t="str">
        <x:v>not_cached:getSignaturesForAddress:history/a351c31d0d2688ae68902049</x:v>
      </x:c>
      <x:c r="Q605" s="2" t="str"/>
      <x:c r="R605" s="14" t="str">
        <x:f>IF(AND(C605="Нулевой остаток",I605="Есть цена"),G605,"")</x:f>
      </x:c>
      <x:c r="S605" s="14" t="str">
        <x:f>IF(AND(C605="Докупка",I605="Есть цена"),G605,"")</x:f>
      </x:c>
    </x:row>
    <x:row r="606" ht="21" customHeight="1">
      <x:c r="A606" s="2" t="n">
        <x:v>60</x:v>
      </x:c>
      <x:c r="B606" s="2" t="n">
        <x:v>21600</x:v>
      </x:c>
      <x:c r="C606" s="2" t="str">
        <x:f>'Покупки'!C67</x:f>
        <x:v>Докупка</x:v>
      </x:c>
      <x:c r="D606" s="9" t="n">
        <x:v>46281.921956018516</x:v>
      </x:c>
      <x:c r="E606" s="12"/>
      <x:c r="F606" s="12" t="n">
        <x:f>'Покупки'!H67</x:f>
        <x:v>0.16941888139308936</x:v>
      </x:c>
      <x:c r="G606" s="14" t="str">
        <x:f>IF(I606="Есть цена",IF(AND(ISNUMBER(E606),E606&gt;0,F606&gt;0),E606/F606-1,NA()),"")</x:f>
      </x:c>
      <x:c r="H606" s="14" t="str">
        <x:f>IF(AND(I606="Есть цена",I598="Есть цена"),IF(AND(E606&gt;0,E598&gt;0),E606/E598-1,NA()),"")</x:f>
      </x:c>
      <x:c r="I606" s="2" t="str">
        <x:v>RPC: данные не загружены</x:v>
      </x:c>
      <x:c r="J606" s="2"/>
      <x:c r="K606" s="9"/>
      <x:c r="L606" s="2"/>
      <x:c r="M606" s="2"/>
      <x:c r="N606" s="2"/>
      <x:c r="O606" s="2"/>
      <x:c r="P606" s="2" t="str">
        <x:v>not_cached:getSignaturesForAddress:history/78acb1ed0f3bf0a10460973f</x:v>
      </x:c>
      <x:c r="Q606" s="2" t="str"/>
      <x:c r="R606" s="14" t="str">
        <x:f>IF(AND(C606="Нулевой остаток",I606="Есть цена"),G606,"")</x:f>
      </x:c>
      <x:c r="S606" s="14" t="str">
        <x:f>IF(AND(C606="Докупка",I606="Есть цена"),G606,"")</x:f>
      </x:c>
    </x:row>
    <x:row r="607" ht="21" customHeight="1">
      <x:c r="A607" s="2" t="n">
        <x:v>60</x:v>
      </x:c>
      <x:c r="B607" s="2" t="n">
        <x:v>86400</x:v>
      </x:c>
      <x:c r="C607" s="2" t="str">
        <x:f>'Покупки'!C67</x:f>
        <x:v>Докупка</x:v>
      </x:c>
      <x:c r="D607" s="9" t="n">
        <x:v>46282.671956018516</x:v>
      </x:c>
      <x:c r="E607" s="12"/>
      <x:c r="F607" s="12" t="n">
        <x:f>'Покупки'!H67</x:f>
        <x:v>0.16941888139308936</x:v>
      </x:c>
      <x:c r="G607" s="14" t="str">
        <x:f>IF(I607="Есть цена",IF(AND(ISNUMBER(E607),E607&gt;0,F607&gt;0),E607/F607-1,NA()),"")</x:f>
      </x:c>
      <x:c r="H607" s="14" t="str">
        <x:f>IF(AND(I607="Есть цена",I598="Есть цена"),IF(AND(E607&gt;0,E598&gt;0),E607/E598-1,NA()),"")</x:f>
      </x:c>
      <x:c r="I607" s="2" t="str">
        <x:v>RPC: данные не загружены</x:v>
      </x:c>
      <x:c r="J607" s="2"/>
      <x:c r="K607" s="9"/>
      <x:c r="L607" s="2"/>
      <x:c r="M607" s="2"/>
      <x:c r="N607" s="2"/>
      <x:c r="O607" s="2"/>
      <x:c r="P607" s="2" t="str">
        <x:v>not_cached:getSignaturesForAddress:history/8aaff79e86df43bd4301a292</x:v>
      </x:c>
      <x:c r="Q607" s="2" t="str"/>
      <x:c r="R607" s="14" t="str">
        <x:f>IF(AND(C607="Нулевой остаток",I607="Есть цена"),G607,"")</x:f>
      </x:c>
      <x:c r="S607" s="14" t="str">
        <x:f>IF(AND(C607="Докупка",I607="Есть цена"),G607,"")</x:f>
      </x:c>
    </x:row>
    <x:row r="608" ht="21" customHeight="1">
      <x:c r="A608" s="2" t="n">
        <x:v>61</x:v>
      </x:c>
      <x:c r="B608" s="2" t="n">
        <x:v>5</x:v>
      </x:c>
      <x:c r="C608" s="2" t="str">
        <x:f>'Покупки'!C68</x:f>
        <x:v>Нулевой остаток</x:v>
      </x:c>
      <x:c r="D608" s="9" t="n">
        <x:v>46281.65520833333</x:v>
      </x:c>
      <x:c r="E608" s="12"/>
      <x:c r="F608" s="12" t="n">
        <x:f>'Покупки'!H68</x:f>
        <x:v>0.00012447069405309473</x:v>
      </x:c>
      <x:c r="G608" s="14" t="str">
        <x:f>IF(I608="Есть цена",IF(AND(ISNUMBER(E608),E608&gt;0,F608&gt;0),E608/F608-1,NA()),"")</x:f>
      </x:c>
      <x:c r="H608" s="14" t="str">
        <x:f>IF(AND(I608="Есть цена",I608="Есть цена"),IF(AND(E608&gt;0,E608&gt;0),E608/E608-1,NA()),"")</x:f>
      </x:c>
      <x:c r="I608" s="2" t="str">
        <x:v>RPC: данные не загружены</x:v>
      </x:c>
      <x:c r="J608" s="2"/>
      <x:c r="K608" s="9"/>
      <x:c r="L608" s="2"/>
      <x:c r="M608" s="2"/>
      <x:c r="N608" s="2"/>
      <x:c r="O608" s="2"/>
      <x:c r="P608" s="2" t="str">
        <x:v>not_cached:getSignaturesForAddress:history/37cb949ec55a40a95c983e94</x:v>
      </x:c>
      <x:c r="Q608" s="2" t="str"/>
      <x:c r="R608" s="14" t="str">
        <x:f>IF(AND(C608="Нулевой остаток",I608="Есть цена"),G608,"")</x:f>
      </x:c>
      <x:c r="S608" s="14" t="str">
        <x:f>IF(AND(C608="Докупка",I608="Есть цена"),G608,"")</x:f>
      </x:c>
    </x:row>
    <x:row r="609" ht="21" customHeight="1">
      <x:c r="A609" s="2" t="n">
        <x:v>61</x:v>
      </x:c>
      <x:c r="B609" s="2" t="n">
        <x:v>15</x:v>
      </x:c>
      <x:c r="C609" s="2" t="str">
        <x:f>'Покупки'!C68</x:f>
        <x:v>Нулевой остаток</x:v>
      </x:c>
      <x:c r="D609" s="9" t="n">
        <x:v>46281.655324074076</x:v>
      </x:c>
      <x:c r="E609" s="12"/>
      <x:c r="F609" s="12" t="n">
        <x:f>'Покупки'!H68</x:f>
        <x:v>0.00012447069405309473</x:v>
      </x:c>
      <x:c r="G609" s="14" t="str">
        <x:f>IF(I609="Есть цена",IF(AND(ISNUMBER(E609),E609&gt;0,F609&gt;0),E609/F609-1,NA()),"")</x:f>
      </x:c>
      <x:c r="H609" s="14" t="str">
        <x:f>IF(AND(I609="Есть цена",I608="Есть цена"),IF(AND(E609&gt;0,E608&gt;0),E609/E608-1,NA()),"")</x:f>
      </x:c>
      <x:c r="I609" s="2" t="str">
        <x:v>RPC: данные не загружены</x:v>
      </x:c>
      <x:c r="J609" s="2"/>
      <x:c r="K609" s="9"/>
      <x:c r="L609" s="2"/>
      <x:c r="M609" s="2"/>
      <x:c r="N609" s="2"/>
      <x:c r="O609" s="2"/>
      <x:c r="P609" s="2" t="str">
        <x:v>not_cached:getSignaturesForAddress:history/37cb949ec55a40a95c983e94</x:v>
      </x:c>
      <x:c r="Q609" s="2" t="str"/>
      <x:c r="R609" s="14" t="str">
        <x:f>IF(AND(C609="Нулевой остаток",I609="Есть цена"),G609,"")</x:f>
      </x:c>
      <x:c r="S609" s="14" t="str">
        <x:f>IF(AND(C609="Докупка",I609="Есть цена"),G609,"")</x:f>
      </x:c>
    </x:row>
    <x:row r="610" ht="21" customHeight="1">
      <x:c r="A610" s="2" t="n">
        <x:v>61</x:v>
      </x:c>
      <x:c r="B610" s="2" t="n">
        <x:v>30</x:v>
      </x:c>
      <x:c r="C610" s="2" t="str">
        <x:f>'Покупки'!C68</x:f>
        <x:v>Нулевой остаток</x:v>
      </x:c>
      <x:c r="D610" s="9" t="n">
        <x:v>46281.655497685184</x:v>
      </x:c>
      <x:c r="E610" s="12"/>
      <x:c r="F610" s="12" t="n">
        <x:f>'Покупки'!H68</x:f>
        <x:v>0.00012447069405309473</x:v>
      </x:c>
      <x:c r="G610" s="14" t="str">
        <x:f>IF(I610="Есть цена",IF(AND(ISNUMBER(E610),E610&gt;0,F610&gt;0),E610/F610-1,NA()),"")</x:f>
      </x:c>
      <x:c r="H610" s="14" t="str">
        <x:f>IF(AND(I610="Есть цена",I608="Есть цена"),IF(AND(E610&gt;0,E608&gt;0),E610/E608-1,NA()),"")</x:f>
      </x:c>
      <x:c r="I610" s="2" t="str">
        <x:v>RPC: данные не загружены</x:v>
      </x:c>
      <x:c r="J610" s="2"/>
      <x:c r="K610" s="9"/>
      <x:c r="L610" s="2"/>
      <x:c r="M610" s="2"/>
      <x:c r="N610" s="2"/>
      <x:c r="O610" s="2"/>
      <x:c r="P610" s="2" t="str">
        <x:v>not_cached:getSignaturesForAddress:history/37cb949ec55a40a95c983e94</x:v>
      </x:c>
      <x:c r="Q610" s="2" t="str"/>
      <x:c r="R610" s="14" t="str">
        <x:f>IF(AND(C610="Нулевой остаток",I610="Есть цена"),G610,"")</x:f>
      </x:c>
      <x:c r="S610" s="14" t="str">
        <x:f>IF(AND(C610="Докупка",I610="Есть цена"),G610,"")</x:f>
      </x:c>
    </x:row>
    <x:row r="611" ht="21" customHeight="1">
      <x:c r="A611" s="2" t="n">
        <x:v>61</x:v>
      </x:c>
      <x:c r="B611" s="2" t="n">
        <x:v>60</x:v>
      </x:c>
      <x:c r="C611" s="2" t="str">
        <x:f>'Покупки'!C68</x:f>
        <x:v>Нулевой остаток</x:v>
      </x:c>
      <x:c r="D611" s="9" t="n">
        <x:v>46281.65584490741</x:v>
      </x:c>
      <x:c r="E611" s="12"/>
      <x:c r="F611" s="12" t="n">
        <x:f>'Покупки'!H68</x:f>
        <x:v>0.00012447069405309473</x:v>
      </x:c>
      <x:c r="G611" s="14" t="str">
        <x:f>IF(I611="Есть цена",IF(AND(ISNUMBER(E611),E611&gt;0,F611&gt;0),E611/F611-1,NA()),"")</x:f>
      </x:c>
      <x:c r="H611" s="14" t="str">
        <x:f>IF(AND(I611="Есть цена",I608="Есть цена"),IF(AND(E611&gt;0,E608&gt;0),E611/E608-1,NA()),"")</x:f>
      </x:c>
      <x:c r="I611" s="2" t="str">
        <x:v>RPC: данные не загружены</x:v>
      </x:c>
      <x:c r="J611" s="2"/>
      <x:c r="K611" s="9"/>
      <x:c r="L611" s="2"/>
      <x:c r="M611" s="2"/>
      <x:c r="N611" s="2"/>
      <x:c r="O611" s="2"/>
      <x:c r="P611" s="2" t="str">
        <x:v>not_cached:getSignaturesForAddress:history/37cb949ec55a40a95c983e94</x:v>
      </x:c>
      <x:c r="Q611" s="2" t="str"/>
      <x:c r="R611" s="14" t="str">
        <x:f>IF(AND(C611="Нулевой остаток",I611="Есть цена"),G611,"")</x:f>
      </x:c>
      <x:c r="S611" s="14" t="str">
        <x:f>IF(AND(C611="Докупка",I611="Есть цена"),G611,"")</x:f>
      </x:c>
    </x:row>
    <x:row r="612" ht="21" customHeight="1">
      <x:c r="A612" s="2" t="n">
        <x:v>61</x:v>
      </x:c>
      <x:c r="B612" s="2" t="n">
        <x:v>180</x:v>
      </x:c>
      <x:c r="C612" s="2" t="str">
        <x:f>'Покупки'!C68</x:f>
        <x:v>Нулевой остаток</x:v>
      </x:c>
      <x:c r="D612" s="9" t="n">
        <x:v>46281.65723379629</x:v>
      </x:c>
      <x:c r="E612" s="12"/>
      <x:c r="F612" s="12" t="n">
        <x:f>'Покупки'!H68</x:f>
        <x:v>0.00012447069405309473</x:v>
      </x:c>
      <x:c r="G612" s="14" t="str">
        <x:f>IF(I612="Есть цена",IF(AND(ISNUMBER(E612),E612&gt;0,F612&gt;0),E612/F612-1,NA()),"")</x:f>
      </x:c>
      <x:c r="H612" s="14" t="str">
        <x:f>IF(AND(I612="Есть цена",I608="Есть цена"),IF(AND(E612&gt;0,E608&gt;0),E612/E608-1,NA()),"")</x:f>
      </x:c>
      <x:c r="I612" s="2" t="str">
        <x:v>RPC: данные не загружены</x:v>
      </x:c>
      <x:c r="J612" s="2"/>
      <x:c r="K612" s="9"/>
      <x:c r="L612" s="2"/>
      <x:c r="M612" s="2"/>
      <x:c r="N612" s="2"/>
      <x:c r="O612" s="2"/>
      <x:c r="P612" s="2" t="str">
        <x:v>not_cached:getSignaturesForAddress:history/37cb949ec55a40a95c983e94</x:v>
      </x:c>
      <x:c r="Q612" s="2" t="str"/>
      <x:c r="R612" s="14" t="str">
        <x:f>IF(AND(C612="Нулевой остаток",I612="Есть цена"),G612,"")</x:f>
      </x:c>
      <x:c r="S612" s="14" t="str">
        <x:f>IF(AND(C612="Докупка",I612="Есть цена"),G612,"")</x:f>
      </x:c>
    </x:row>
    <x:row r="613" ht="21" customHeight="1">
      <x:c r="A613" s="2" t="n">
        <x:v>61</x:v>
      </x:c>
      <x:c r="B613" s="2" t="n">
        <x:v>300</x:v>
      </x:c>
      <x:c r="C613" s="2" t="str">
        <x:f>'Покупки'!C68</x:f>
        <x:v>Нулевой остаток</x:v>
      </x:c>
      <x:c r="D613" s="9" t="n">
        <x:v>46281.65862268519</x:v>
      </x:c>
      <x:c r="E613" s="12"/>
      <x:c r="F613" s="12" t="n">
        <x:f>'Покупки'!H68</x:f>
        <x:v>0.00012447069405309473</x:v>
      </x:c>
      <x:c r="G613" s="14" t="str">
        <x:f>IF(I613="Есть цена",IF(AND(ISNUMBER(E613),E613&gt;0,F613&gt;0),E613/F613-1,NA()),"")</x:f>
      </x:c>
      <x:c r="H613" s="14" t="str">
        <x:f>IF(AND(I613="Есть цена",I608="Есть цена"),IF(AND(E613&gt;0,E608&gt;0),E613/E608-1,NA()),"")</x:f>
      </x:c>
      <x:c r="I613" s="2" t="str">
        <x:v>RPC: данные не загружены</x:v>
      </x:c>
      <x:c r="J613" s="2"/>
      <x:c r="K613" s="9"/>
      <x:c r="L613" s="2"/>
      <x:c r="M613" s="2"/>
      <x:c r="N613" s="2"/>
      <x:c r="O613" s="2"/>
      <x:c r="P613" s="2" t="str">
        <x:v>not_cached:getSignaturesForAddress:history/07fa2c51a6219cdb9c85bd14</x:v>
      </x:c>
      <x:c r="Q613" s="2" t="str"/>
      <x:c r="R613" s="14" t="str">
        <x:f>IF(AND(C613="Нулевой остаток",I613="Есть цена"),G613,"")</x:f>
      </x:c>
      <x:c r="S613" s="14" t="str">
        <x:f>IF(AND(C613="Докупка",I613="Есть цена"),G613,"")</x:f>
      </x:c>
    </x:row>
    <x:row r="614" ht="21" customHeight="1">
      <x:c r="A614" s="2" t="n">
        <x:v>61</x:v>
      </x:c>
      <x:c r="B614" s="2" t="n">
        <x:v>900</x:v>
      </x:c>
      <x:c r="C614" s="2" t="str">
        <x:f>'Покупки'!C68</x:f>
        <x:v>Нулевой остаток</x:v>
      </x:c>
      <x:c r="D614" s="9" t="n">
        <x:v>46281.66556712963</x:v>
      </x:c>
      <x:c r="E614" s="12"/>
      <x:c r="F614" s="12" t="n">
        <x:f>'Покупки'!H68</x:f>
        <x:v>0.00012447069405309473</x:v>
      </x:c>
      <x:c r="G614" s="14" t="str">
        <x:f>IF(I614="Есть цена",IF(AND(ISNUMBER(E614),E614&gt;0,F614&gt;0),E614/F614-1,NA()),"")</x:f>
      </x:c>
      <x:c r="H614" s="14" t="str">
        <x:f>IF(AND(I614="Есть цена",I608="Есть цена"),IF(AND(E614&gt;0,E608&gt;0),E614/E608-1,NA()),"")</x:f>
      </x:c>
      <x:c r="I614" s="2" t="str">
        <x:v>RPC: данные не загружены</x:v>
      </x:c>
      <x:c r="J614" s="2"/>
      <x:c r="K614" s="9"/>
      <x:c r="L614" s="2"/>
      <x:c r="M614" s="2"/>
      <x:c r="N614" s="2"/>
      <x:c r="O614" s="2"/>
      <x:c r="P614" s="2" t="str">
        <x:v>not_cached:getSignaturesForAddress:history/7fb396d03d20199d87d31d96</x:v>
      </x:c>
      <x:c r="Q614" s="2" t="str"/>
      <x:c r="R614" s="14" t="str">
        <x:f>IF(AND(C614="Нулевой остаток",I614="Есть цена"),G614,"")</x:f>
      </x:c>
      <x:c r="S614" s="14" t="str">
        <x:f>IF(AND(C614="Докупка",I614="Есть цена"),G614,"")</x:f>
      </x:c>
    </x:row>
    <x:row r="615" ht="21" customHeight="1">
      <x:c r="A615" s="2" t="n">
        <x:v>61</x:v>
      </x:c>
      <x:c r="B615" s="2" t="n">
        <x:v>3600</x:v>
      </x:c>
      <x:c r="C615" s="2" t="str">
        <x:f>'Покупки'!C68</x:f>
        <x:v>Нулевой остаток</x:v>
      </x:c>
      <x:c r="D615" s="9" t="n">
        <x:v>46281.69681712963</x:v>
      </x:c>
      <x:c r="E615" s="12"/>
      <x:c r="F615" s="12" t="n">
        <x:f>'Покупки'!H68</x:f>
        <x:v>0.00012447069405309473</x:v>
      </x:c>
      <x:c r="G615" s="14" t="str">
        <x:f>IF(I615="Есть цена",IF(AND(ISNUMBER(E615),E615&gt;0,F615&gt;0),E615/F615-1,NA()),"")</x:f>
      </x:c>
      <x:c r="H615" s="14" t="str">
        <x:f>IF(AND(I615="Есть цена",I608="Есть цена"),IF(AND(E615&gt;0,E608&gt;0),E615/E608-1,NA()),"")</x:f>
      </x:c>
      <x:c r="I615" s="2" t="str">
        <x:v>RPC: данные не загружены</x:v>
      </x:c>
      <x:c r="J615" s="2"/>
      <x:c r="K615" s="9"/>
      <x:c r="L615" s="2"/>
      <x:c r="M615" s="2"/>
      <x:c r="N615" s="2"/>
      <x:c r="O615" s="2"/>
      <x:c r="P615" s="2" t="str">
        <x:v>not_cached:getSignaturesForAddress:history/7e1f8d60b6b49ecfc2fac1a5</x:v>
      </x:c>
      <x:c r="Q615" s="2" t="str"/>
      <x:c r="R615" s="14" t="str">
        <x:f>IF(AND(C615="Нулевой остаток",I615="Есть цена"),G615,"")</x:f>
      </x:c>
      <x:c r="S615" s="14" t="str">
        <x:f>IF(AND(C615="Докупка",I615="Есть цена"),G615,"")</x:f>
      </x:c>
    </x:row>
    <x:row r="616" ht="21" customHeight="1">
      <x:c r="A616" s="2" t="n">
        <x:v>61</x:v>
      </x:c>
      <x:c r="B616" s="2" t="n">
        <x:v>21600</x:v>
      </x:c>
      <x:c r="C616" s="2" t="str">
        <x:f>'Покупки'!C68</x:f>
        <x:v>Нулевой остаток</x:v>
      </x:c>
      <x:c r="D616" s="9" t="n">
        <x:v>46281.90515046296</x:v>
      </x:c>
      <x:c r="E616" s="12"/>
      <x:c r="F616" s="12" t="n">
        <x:f>'Покупки'!H68</x:f>
        <x:v>0.00012447069405309473</x:v>
      </x:c>
      <x:c r="G616" s="14" t="str">
        <x:f>IF(I616="Есть цена",IF(AND(ISNUMBER(E616),E616&gt;0,F616&gt;0),E616/F616-1,NA()),"")</x:f>
      </x:c>
      <x:c r="H616" s="14" t="str">
        <x:f>IF(AND(I616="Есть цена",I608="Есть цена"),IF(AND(E616&gt;0,E608&gt;0),E616/E608-1,NA()),"")</x:f>
      </x:c>
      <x:c r="I616" s="2" t="str">
        <x:v>RPC: данные не загружены</x:v>
      </x:c>
      <x:c r="J616" s="2"/>
      <x:c r="K616" s="9"/>
      <x:c r="L616" s="2"/>
      <x:c r="M616" s="2"/>
      <x:c r="N616" s="2"/>
      <x:c r="O616" s="2"/>
      <x:c r="P616" s="2" t="str">
        <x:v>not_cached:getSignaturesForAddress:history/6de2b52a657aeda78203a9c6</x:v>
      </x:c>
      <x:c r="Q616" s="2" t="str"/>
      <x:c r="R616" s="14" t="str">
        <x:f>IF(AND(C616="Нулевой остаток",I616="Есть цена"),G616,"")</x:f>
      </x:c>
      <x:c r="S616" s="14" t="str">
        <x:f>IF(AND(C616="Докупка",I616="Есть цена"),G616,"")</x:f>
      </x:c>
    </x:row>
    <x:row r="617" ht="21" customHeight="1">
      <x:c r="A617" s="2" t="n">
        <x:v>61</x:v>
      </x:c>
      <x:c r="B617" s="2" t="n">
        <x:v>86400</x:v>
      </x:c>
      <x:c r="C617" s="2" t="str">
        <x:f>'Покупки'!C68</x:f>
        <x:v>Нулевой остаток</x:v>
      </x:c>
      <x:c r="D617" s="9" t="n">
        <x:v>46282.65515046296</x:v>
      </x:c>
      <x:c r="E617" s="12"/>
      <x:c r="F617" s="12" t="n">
        <x:f>'Покупки'!H68</x:f>
        <x:v>0.00012447069405309473</x:v>
      </x:c>
      <x:c r="G617" s="14" t="str">
        <x:f>IF(I617="Есть цена",IF(AND(ISNUMBER(E617),E617&gt;0,F617&gt;0),E617/F617-1,NA()),"")</x:f>
      </x:c>
      <x:c r="H617" s="14" t="str">
        <x:f>IF(AND(I617="Есть цена",I608="Есть цена"),IF(AND(E617&gt;0,E608&gt;0),E617/E608-1,NA()),"")</x:f>
      </x:c>
      <x:c r="I617" s="2" t="str">
        <x:v>RPC: данные не загружены</x:v>
      </x:c>
      <x:c r="J617" s="2"/>
      <x:c r="K617" s="9"/>
      <x:c r="L617" s="2"/>
      <x:c r="M617" s="2"/>
      <x:c r="N617" s="2"/>
      <x:c r="O617" s="2"/>
      <x:c r="P617" s="2" t="str">
        <x:v>not_cached:getSignaturesForAddress:history/d8694d787e245253eab29d19</x:v>
      </x:c>
      <x:c r="Q617" s="2" t="str"/>
      <x:c r="R617" s="14" t="str">
        <x:f>IF(AND(C617="Нулевой остаток",I617="Есть цена"),G617,"")</x:f>
      </x:c>
      <x:c r="S617" s="14" t="str">
        <x:f>IF(AND(C617="Докупка",I617="Есть цена"),G617,"")</x:f>
      </x:c>
    </x:row>
    <x:row r="618" ht="21" customHeight="1">
      <x:c r="A618" s="2" t="n">
        <x:v>62</x:v>
      </x:c>
      <x:c r="B618" s="2" t="n">
        <x:v>5</x:v>
      </x:c>
      <x:c r="C618" s="2" t="str">
        <x:f>'Покупки'!C69</x:f>
        <x:v>Докупка</x:v>
      </x:c>
      <x:c r="D618" s="9" t="n">
        <x:v>46281.65163194444</x:v>
      </x:c>
      <x:c r="E618" s="12"/>
      <x:c r="F618" s="12" t="n">
        <x:f>'Покупки'!H69</x:f>
        <x:v>0.1663808510324831</x:v>
      </x:c>
      <x:c r="G618" s="14" t="str">
        <x:f>IF(I618="Есть цена",IF(AND(ISNUMBER(E618),E618&gt;0,F618&gt;0),E618/F618-1,NA()),"")</x:f>
      </x:c>
      <x:c r="H618" s="14" t="str">
        <x:f>IF(AND(I618="Есть цена",I618="Есть цена"),IF(AND(E618&gt;0,E618&gt;0),E618/E618-1,NA()),"")</x:f>
      </x:c>
      <x:c r="I618" s="2" t="str">
        <x:v>RPC: данные не загружены</x:v>
      </x:c>
      <x:c r="J618" s="2"/>
      <x:c r="K618" s="9"/>
      <x:c r="L618" s="2"/>
      <x:c r="M618" s="2"/>
      <x:c r="N618" s="2"/>
      <x:c r="O618" s="2"/>
      <x:c r="P618" s="2" t="str">
        <x:v>not_cached:getSignaturesForAddress:history/e5dff0f9f889584122c7f68d</x:v>
      </x:c>
      <x:c r="Q618" s="2" t="str"/>
      <x:c r="R618" s="14" t="str">
        <x:f>IF(AND(C618="Нулевой остаток",I618="Есть цена"),G618,"")</x:f>
      </x:c>
      <x:c r="S618" s="14" t="str">
        <x:f>IF(AND(C618="Докупка",I618="Есть цена"),G618,"")</x:f>
      </x:c>
    </x:row>
    <x:row r="619" ht="21" customHeight="1">
      <x:c r="A619" s="2" t="n">
        <x:v>62</x:v>
      </x:c>
      <x:c r="B619" s="2" t="n">
        <x:v>15</x:v>
      </x:c>
      <x:c r="C619" s="2" t="str">
        <x:f>'Покупки'!C69</x:f>
        <x:v>Докупка</x:v>
      </x:c>
      <x:c r="D619" s="9" t="n">
        <x:v>46281.65174768519</x:v>
      </x:c>
      <x:c r="E619" s="12"/>
      <x:c r="F619" s="12" t="n">
        <x:f>'Покупки'!H69</x:f>
        <x:v>0.1663808510324831</x:v>
      </x:c>
      <x:c r="G619" s="14" t="str">
        <x:f>IF(I619="Есть цена",IF(AND(ISNUMBER(E619),E619&gt;0,F619&gt;0),E619/F619-1,NA()),"")</x:f>
      </x:c>
      <x:c r="H619" s="14" t="str">
        <x:f>IF(AND(I619="Есть цена",I618="Есть цена"),IF(AND(E619&gt;0,E618&gt;0),E619/E618-1,NA()),"")</x:f>
      </x:c>
      <x:c r="I619" s="2" t="str">
        <x:v>RPC: данные не загружены</x:v>
      </x:c>
      <x:c r="J619" s="2"/>
      <x:c r="K619" s="9"/>
      <x:c r="L619" s="2"/>
      <x:c r="M619" s="2"/>
      <x:c r="N619" s="2"/>
      <x:c r="O619" s="2"/>
      <x:c r="P619" s="2" t="str">
        <x:v>not_cached:getSignaturesForAddress:history/0e340d921b4921d6a62c752b</x:v>
      </x:c>
      <x:c r="Q619" s="2" t="str"/>
      <x:c r="R619" s="14" t="str">
        <x:f>IF(AND(C619="Нулевой остаток",I619="Есть цена"),G619,"")</x:f>
      </x:c>
      <x:c r="S619" s="14" t="str">
        <x:f>IF(AND(C619="Докупка",I619="Есть цена"),G619,"")</x:f>
      </x:c>
    </x:row>
    <x:row r="620" ht="21" customHeight="1">
      <x:c r="A620" s="2" t="n">
        <x:v>62</x:v>
      </x:c>
      <x:c r="B620" s="2" t="n">
        <x:v>30</x:v>
      </x:c>
      <x:c r="C620" s="2" t="str">
        <x:f>'Покупки'!C69</x:f>
        <x:v>Докупка</x:v>
      </x:c>
      <x:c r="D620" s="9" t="n">
        <x:v>46281.651921296296</x:v>
      </x:c>
      <x:c r="E620" s="12"/>
      <x:c r="F620" s="12" t="n">
        <x:f>'Покупки'!H69</x:f>
        <x:v>0.1663808510324831</x:v>
      </x:c>
      <x:c r="G620" s="14" t="str">
        <x:f>IF(I620="Есть цена",IF(AND(ISNUMBER(E620),E620&gt;0,F620&gt;0),E620/F620-1,NA()),"")</x:f>
      </x:c>
      <x:c r="H620" s="14" t="str">
        <x:f>IF(AND(I620="Есть цена",I618="Есть цена"),IF(AND(E620&gt;0,E618&gt;0),E620/E618-1,NA()),"")</x:f>
      </x:c>
      <x:c r="I620" s="2" t="str">
        <x:v>RPC: данные не загружены</x:v>
      </x:c>
      <x:c r="J620" s="2"/>
      <x:c r="K620" s="9"/>
      <x:c r="L620" s="2"/>
      <x:c r="M620" s="2"/>
      <x:c r="N620" s="2"/>
      <x:c r="O620" s="2"/>
      <x:c r="P620" s="2" t="str">
        <x:v>not_cached:getSignaturesForAddress:history/0e340d921b4921d6a62c752b</x:v>
      </x:c>
      <x:c r="Q620" s="2" t="str"/>
      <x:c r="R620" s="14" t="str">
        <x:f>IF(AND(C620="Нулевой остаток",I620="Есть цена"),G620,"")</x:f>
      </x:c>
      <x:c r="S620" s="14" t="str">
        <x:f>IF(AND(C620="Докупка",I620="Есть цена"),G620,"")</x:f>
      </x:c>
    </x:row>
    <x:row r="621" ht="21" customHeight="1">
      <x:c r="A621" s="2" t="n">
        <x:v>62</x:v>
      </x:c>
      <x:c r="B621" s="2" t="n">
        <x:v>60</x:v>
      </x:c>
      <x:c r="C621" s="2" t="str">
        <x:f>'Покупки'!C69</x:f>
        <x:v>Докупка</x:v>
      </x:c>
      <x:c r="D621" s="9" t="n">
        <x:v>46281.65226851852</x:v>
      </x:c>
      <x:c r="E621" s="12"/>
      <x:c r="F621" s="12" t="n">
        <x:f>'Покупки'!H69</x:f>
        <x:v>0.1663808510324831</x:v>
      </x:c>
      <x:c r="G621" s="14" t="str">
        <x:f>IF(I621="Есть цена",IF(AND(ISNUMBER(E621),E621&gt;0,F621&gt;0),E621/F621-1,NA()),"")</x:f>
      </x:c>
      <x:c r="H621" s="14" t="str">
        <x:f>IF(AND(I621="Есть цена",I618="Есть цена"),IF(AND(E621&gt;0,E618&gt;0),E621/E618-1,NA()),"")</x:f>
      </x:c>
      <x:c r="I621" s="2" t="str">
        <x:v>RPC: данные не загружены</x:v>
      </x:c>
      <x:c r="J621" s="2"/>
      <x:c r="K621" s="9"/>
      <x:c r="L621" s="2"/>
      <x:c r="M621" s="2"/>
      <x:c r="N621" s="2"/>
      <x:c r="O621" s="2"/>
      <x:c r="P621" s="2" t="str">
        <x:v>not_cached:getSignaturesForAddress:history/0e340d921b4921d6a62c752b</x:v>
      </x:c>
      <x:c r="Q621" s="2" t="str"/>
      <x:c r="R621" s="14" t="str">
        <x:f>IF(AND(C621="Нулевой остаток",I621="Есть цена"),G621,"")</x:f>
      </x:c>
      <x:c r="S621" s="14" t="str">
        <x:f>IF(AND(C621="Докупка",I621="Есть цена"),G621,"")</x:f>
      </x:c>
    </x:row>
    <x:row r="622" ht="21" customHeight="1">
      <x:c r="A622" s="2" t="n">
        <x:v>62</x:v>
      </x:c>
      <x:c r="B622" s="2" t="n">
        <x:v>180</x:v>
      </x:c>
      <x:c r="C622" s="2" t="str">
        <x:f>'Покупки'!C69</x:f>
        <x:v>Докупка</x:v>
      </x:c>
      <x:c r="D622" s="9" t="n">
        <x:v>46281.653657407405</x:v>
      </x:c>
      <x:c r="E622" s="12"/>
      <x:c r="F622" s="12" t="n">
        <x:f>'Покупки'!H69</x:f>
        <x:v>0.1663808510324831</x:v>
      </x:c>
      <x:c r="G622" s="14" t="str">
        <x:f>IF(I622="Есть цена",IF(AND(ISNUMBER(E622),E622&gt;0,F622&gt;0),E622/F622-1,NA()),"")</x:f>
      </x:c>
      <x:c r="H622" s="14" t="str">
        <x:f>IF(AND(I622="Есть цена",I618="Есть цена"),IF(AND(E622&gt;0,E618&gt;0),E622/E618-1,NA()),"")</x:f>
      </x:c>
      <x:c r="I622" s="2" t="str">
        <x:v>RPC: данные не загружены</x:v>
      </x:c>
      <x:c r="J622" s="2"/>
      <x:c r="K622" s="9"/>
      <x:c r="L622" s="2"/>
      <x:c r="M622" s="2"/>
      <x:c r="N622" s="2"/>
      <x:c r="O622" s="2"/>
      <x:c r="P622" s="2" t="str">
        <x:v>not_cached:getSignaturesForAddress:history/0e340d921b4921d6a62c752b</x:v>
      </x:c>
      <x:c r="Q622" s="2" t="str"/>
      <x:c r="R622" s="14" t="str">
        <x:f>IF(AND(C622="Нулевой остаток",I622="Есть цена"),G622,"")</x:f>
      </x:c>
      <x:c r="S622" s="14" t="str">
        <x:f>IF(AND(C622="Докупка",I622="Есть цена"),G622,"")</x:f>
      </x:c>
    </x:row>
    <x:row r="623" ht="21" customHeight="1">
      <x:c r="A623" s="2" t="n">
        <x:v>62</x:v>
      </x:c>
      <x:c r="B623" s="2" t="n">
        <x:v>300</x:v>
      </x:c>
      <x:c r="C623" s="2" t="str">
        <x:f>'Покупки'!C69</x:f>
        <x:v>Докупка</x:v>
      </x:c>
      <x:c r="D623" s="9" t="n">
        <x:v>46281.6550462963</x:v>
      </x:c>
      <x:c r="E623" s="12"/>
      <x:c r="F623" s="12" t="n">
        <x:f>'Покупки'!H69</x:f>
        <x:v>0.1663808510324831</x:v>
      </x:c>
      <x:c r="G623" s="14" t="str">
        <x:f>IF(I623="Есть цена",IF(AND(ISNUMBER(E623),E623&gt;0,F623&gt;0),E623/F623-1,NA()),"")</x:f>
      </x:c>
      <x:c r="H623" s="14" t="str">
        <x:f>IF(AND(I623="Есть цена",I618="Есть цена"),IF(AND(E623&gt;0,E618&gt;0),E623/E618-1,NA()),"")</x:f>
      </x:c>
      <x:c r="I623" s="2" t="str">
        <x:v>RPC: данные не загружены</x:v>
      </x:c>
      <x:c r="J623" s="2"/>
      <x:c r="K623" s="9"/>
      <x:c r="L623" s="2"/>
      <x:c r="M623" s="2"/>
      <x:c r="N623" s="2"/>
      <x:c r="O623" s="2"/>
      <x:c r="P623" s="2" t="str">
        <x:v>not_cached:getSignaturesForAddress:history/2a8f59cd60845eed1db8248e</x:v>
      </x:c>
      <x:c r="Q623" s="2" t="str"/>
      <x:c r="R623" s="14" t="str">
        <x:f>IF(AND(C623="Нулевой остаток",I623="Есть цена"),G623,"")</x:f>
      </x:c>
      <x:c r="S623" s="14" t="str">
        <x:f>IF(AND(C623="Докупка",I623="Есть цена"),G623,"")</x:f>
      </x:c>
    </x:row>
    <x:row r="624" ht="21" customHeight="1">
      <x:c r="A624" s="2" t="n">
        <x:v>62</x:v>
      </x:c>
      <x:c r="B624" s="2" t="n">
        <x:v>900</x:v>
      </x:c>
      <x:c r="C624" s="2" t="str">
        <x:f>'Покупки'!C69</x:f>
        <x:v>Докупка</x:v>
      </x:c>
      <x:c r="D624" s="9" t="n">
        <x:v>46281.661990740744</x:v>
      </x:c>
      <x:c r="E624" s="12"/>
      <x:c r="F624" s="12" t="n">
        <x:f>'Покупки'!H69</x:f>
        <x:v>0.1663808510324831</x:v>
      </x:c>
      <x:c r="G624" s="14" t="str">
        <x:f>IF(I624="Есть цена",IF(AND(ISNUMBER(E624),E624&gt;0,F624&gt;0),E624/F624-1,NA()),"")</x:f>
      </x:c>
      <x:c r="H624" s="14" t="str">
        <x:f>IF(AND(I624="Есть цена",I618="Есть цена"),IF(AND(E624&gt;0,E618&gt;0),E624/E618-1,NA()),"")</x:f>
      </x:c>
      <x:c r="I624" s="2" t="str">
        <x:v>RPC: данные не загружены</x:v>
      </x:c>
      <x:c r="J624" s="2"/>
      <x:c r="K624" s="9"/>
      <x:c r="L624" s="2"/>
      <x:c r="M624" s="2"/>
      <x:c r="N624" s="2"/>
      <x:c r="O624" s="2"/>
      <x:c r="P624" s="2" t="str">
        <x:v>not_cached:getSignaturesForAddress:history/1d1a590e7978b75e1fd20975</x:v>
      </x:c>
      <x:c r="Q624" s="2" t="str"/>
      <x:c r="R624" s="14" t="str">
        <x:f>IF(AND(C624="Нулевой остаток",I624="Есть цена"),G624,"")</x:f>
      </x:c>
      <x:c r="S624" s="14" t="str">
        <x:f>IF(AND(C624="Докупка",I624="Есть цена"),G624,"")</x:f>
      </x:c>
    </x:row>
    <x:row r="625" ht="21" customHeight="1">
      <x:c r="A625" s="2" t="n">
        <x:v>62</x:v>
      </x:c>
      <x:c r="B625" s="2" t="n">
        <x:v>3600</x:v>
      </x:c>
      <x:c r="C625" s="2" t="str">
        <x:f>'Покупки'!C69</x:f>
        <x:v>Докупка</x:v>
      </x:c>
      <x:c r="D625" s="9" t="n">
        <x:v>46281.693240740744</x:v>
      </x:c>
      <x:c r="E625" s="12"/>
      <x:c r="F625" s="12" t="n">
        <x:f>'Покупки'!H69</x:f>
        <x:v>0.1663808510324831</x:v>
      </x:c>
      <x:c r="G625" s="14" t="str">
        <x:f>IF(I625="Есть цена",IF(AND(ISNUMBER(E625),E625&gt;0,F625&gt;0),E625/F625-1,NA()),"")</x:f>
      </x:c>
      <x:c r="H625" s="14" t="str">
        <x:f>IF(AND(I625="Есть цена",I618="Есть цена"),IF(AND(E625&gt;0,E618&gt;0),E625/E618-1,NA()),"")</x:f>
      </x:c>
      <x:c r="I625" s="2" t="str">
        <x:v>RPC: данные не загружены</x:v>
      </x:c>
      <x:c r="J625" s="2"/>
      <x:c r="K625" s="9"/>
      <x:c r="L625" s="2"/>
      <x:c r="M625" s="2"/>
      <x:c r="N625" s="2"/>
      <x:c r="O625" s="2"/>
      <x:c r="P625" s="2" t="str">
        <x:v>not_cached:getSignaturesForAddress:history/7026e41cee76dfd01b83d8a7</x:v>
      </x:c>
      <x:c r="Q625" s="2" t="str"/>
      <x:c r="R625" s="14" t="str">
        <x:f>IF(AND(C625="Нулевой остаток",I625="Есть цена"),G625,"")</x:f>
      </x:c>
      <x:c r="S625" s="14" t="str">
        <x:f>IF(AND(C625="Докупка",I625="Есть цена"),G625,"")</x:f>
      </x:c>
    </x:row>
    <x:row r="626" ht="21" customHeight="1">
      <x:c r="A626" s="2" t="n">
        <x:v>62</x:v>
      </x:c>
      <x:c r="B626" s="2" t="n">
        <x:v>21600</x:v>
      </x:c>
      <x:c r="C626" s="2" t="str">
        <x:f>'Покупки'!C69</x:f>
        <x:v>Докупка</x:v>
      </x:c>
      <x:c r="D626" s="9" t="n">
        <x:v>46281.90157407407</x:v>
      </x:c>
      <x:c r="E626" s="12"/>
      <x:c r="F626" s="12" t="n">
        <x:f>'Покупки'!H69</x:f>
        <x:v>0.1663808510324831</x:v>
      </x:c>
      <x:c r="G626" s="14" t="str">
        <x:f>IF(I626="Есть цена",IF(AND(ISNUMBER(E626),E626&gt;0,F626&gt;0),E626/F626-1,NA()),"")</x:f>
      </x:c>
      <x:c r="H626" s="14" t="str">
        <x:f>IF(AND(I626="Есть цена",I618="Есть цена"),IF(AND(E626&gt;0,E618&gt;0),E626/E618-1,NA()),"")</x:f>
      </x:c>
      <x:c r="I626" s="2" t="str">
        <x:v>RPC: данные не загружены</x:v>
      </x:c>
      <x:c r="J626" s="2"/>
      <x:c r="K626" s="9"/>
      <x:c r="L626" s="2"/>
      <x:c r="M626" s="2"/>
      <x:c r="N626" s="2"/>
      <x:c r="O626" s="2"/>
      <x:c r="P626" s="2" t="str">
        <x:v>not_cached:getSignaturesForAddress:history/611c8b8bba1b470e55350300</x:v>
      </x:c>
      <x:c r="Q626" s="2" t="str"/>
      <x:c r="R626" s="14" t="str">
        <x:f>IF(AND(C626="Нулевой остаток",I626="Есть цена"),G626,"")</x:f>
      </x:c>
      <x:c r="S626" s="14" t="str">
        <x:f>IF(AND(C626="Докупка",I626="Есть цена"),G626,"")</x:f>
      </x:c>
    </x:row>
    <x:row r="627" ht="21" customHeight="1">
      <x:c r="A627" s="2" t="n">
        <x:v>62</x:v>
      </x:c>
      <x:c r="B627" s="2" t="n">
        <x:v>86400</x:v>
      </x:c>
      <x:c r="C627" s="2" t="str">
        <x:f>'Покупки'!C69</x:f>
        <x:v>Докупка</x:v>
      </x:c>
      <x:c r="D627" s="9" t="n">
        <x:v>46282.65157407407</x:v>
      </x:c>
      <x:c r="E627" s="12"/>
      <x:c r="F627" s="12" t="n">
        <x:f>'Покупки'!H69</x:f>
        <x:v>0.1663808510324831</x:v>
      </x:c>
      <x:c r="G627" s="14" t="str">
        <x:f>IF(I627="Есть цена",IF(AND(ISNUMBER(E627),E627&gt;0,F627&gt;0),E627/F627-1,NA()),"")</x:f>
      </x:c>
      <x:c r="H627" s="14" t="str">
        <x:f>IF(AND(I627="Есть цена",I618="Есть цена"),IF(AND(E627&gt;0,E618&gt;0),E627/E618-1,NA()),"")</x:f>
      </x:c>
      <x:c r="I627" s="2" t="str">
        <x:v>RPC: данные не загружены</x:v>
      </x:c>
      <x:c r="J627" s="2"/>
      <x:c r="K627" s="9"/>
      <x:c r="L627" s="2"/>
      <x:c r="M627" s="2"/>
      <x:c r="N627" s="2"/>
      <x:c r="O627" s="2"/>
      <x:c r="P627" s="2" t="str">
        <x:v>not_cached:getSignaturesForAddress:history/ef74d0ae0bfc0210e42799c0</x:v>
      </x:c>
      <x:c r="Q627" s="2" t="str"/>
      <x:c r="R627" s="14" t="str">
        <x:f>IF(AND(C627="Нулевой остаток",I627="Есть цена"),G627,"")</x:f>
      </x:c>
      <x:c r="S627" s="14" t="str">
        <x:f>IF(AND(C627="Докупка",I627="Есть цена"),G627,"")</x:f>
      </x:c>
    </x:row>
    <x:row r="628" ht="21" customHeight="1">
      <x:c r="A628" s="2" t="n">
        <x:v>63</x:v>
      </x:c>
      <x:c r="B628" s="2" t="n">
        <x:v>5</x:v>
      </x:c>
      <x:c r="C628" s="2" t="str">
        <x:f>'Покупки'!C70</x:f>
        <x:v>Докупка</x:v>
      </x:c>
      <x:c r="D628" s="9" t="n">
        <x:v>46281.65056712963</x:v>
      </x:c>
      <x:c r="E628" s="12"/>
      <x:c r="F628" s="12" t="n">
        <x:f>'Покупки'!H70</x:f>
        <x:v>0.0004511996575485012</x:v>
      </x:c>
      <x:c r="G628" s="14" t="str">
        <x:f>IF(I628="Есть цена",IF(AND(ISNUMBER(E628),E628&gt;0,F628&gt;0),E628/F628-1,NA()),"")</x:f>
      </x:c>
      <x:c r="H628" s="14" t="str">
        <x:f>IF(AND(I628="Есть цена",I628="Есть цена"),IF(AND(E628&gt;0,E628&gt;0),E628/E628-1,NA()),"")</x:f>
      </x:c>
      <x:c r="I628" s="2" t="str">
        <x:v>RPC: данные не загружены</x:v>
      </x:c>
      <x:c r="J628" s="2"/>
      <x:c r="K628" s="9"/>
      <x:c r="L628" s="2"/>
      <x:c r="M628" s="2"/>
      <x:c r="N628" s="2"/>
      <x:c r="O628" s="2"/>
      <x:c r="P628" s="2" t="str">
        <x:v>not_cached:getSignaturesForAddress:history/60bb1133204852c68f64a054</x:v>
      </x:c>
      <x:c r="Q628" s="2" t="str"/>
      <x:c r="R628" s="14" t="str">
        <x:f>IF(AND(C628="Нулевой остаток",I628="Есть цена"),G628,"")</x:f>
      </x:c>
      <x:c r="S628" s="14" t="str">
        <x:f>IF(AND(C628="Докупка",I628="Есть цена"),G628,"")</x:f>
      </x:c>
    </x:row>
    <x:row r="629" ht="21" customHeight="1">
      <x:c r="A629" s="2" t="n">
        <x:v>63</x:v>
      </x:c>
      <x:c r="B629" s="2" t="n">
        <x:v>15</x:v>
      </x:c>
      <x:c r="C629" s="2" t="str">
        <x:f>'Покупки'!C70</x:f>
        <x:v>Докупка</x:v>
      </x:c>
      <x:c r="D629" s="9" t="n">
        <x:v>46281.65068287037</x:v>
      </x:c>
      <x:c r="E629" s="12"/>
      <x:c r="F629" s="12" t="n">
        <x:f>'Покупки'!H70</x:f>
        <x:v>0.0004511996575485012</x:v>
      </x:c>
      <x:c r="G629" s="14" t="str">
        <x:f>IF(I629="Есть цена",IF(AND(ISNUMBER(E629),E629&gt;0,F629&gt;0),E629/F629-1,NA()),"")</x:f>
      </x:c>
      <x:c r="H629" s="14" t="str">
        <x:f>IF(AND(I629="Есть цена",I628="Есть цена"),IF(AND(E629&gt;0,E628&gt;0),E629/E628-1,NA()),"")</x:f>
      </x:c>
      <x:c r="I629" s="2" t="str">
        <x:v>RPC: данные не загружены</x:v>
      </x:c>
      <x:c r="J629" s="2"/>
      <x:c r="K629" s="9"/>
      <x:c r="L629" s="2"/>
      <x:c r="M629" s="2"/>
      <x:c r="N629" s="2"/>
      <x:c r="O629" s="2"/>
      <x:c r="P629" s="2" t="str">
        <x:v>not_cached:getSignaturesForAddress:history/60bb1133204852c68f64a054</x:v>
      </x:c>
      <x:c r="Q629" s="2" t="str"/>
      <x:c r="R629" s="14" t="str">
        <x:f>IF(AND(C629="Нулевой остаток",I629="Есть цена"),G629,"")</x:f>
      </x:c>
      <x:c r="S629" s="14" t="str">
        <x:f>IF(AND(C629="Докупка",I629="Есть цена"),G629,"")</x:f>
      </x:c>
    </x:row>
    <x:row r="630" ht="21" customHeight="1">
      <x:c r="A630" s="2" t="n">
        <x:v>63</x:v>
      </x:c>
      <x:c r="B630" s="2" t="n">
        <x:v>30</x:v>
      </x:c>
      <x:c r="C630" s="2" t="str">
        <x:f>'Покупки'!C70</x:f>
        <x:v>Докупка</x:v>
      </x:c>
      <x:c r="D630" s="9" t="n">
        <x:v>46281.65085648148</x:v>
      </x:c>
      <x:c r="E630" s="12"/>
      <x:c r="F630" s="12" t="n">
        <x:f>'Покупки'!H70</x:f>
        <x:v>0.0004511996575485012</x:v>
      </x:c>
      <x:c r="G630" s="14" t="str">
        <x:f>IF(I630="Есть цена",IF(AND(ISNUMBER(E630),E630&gt;0,F630&gt;0),E630/F630-1,NA()),"")</x:f>
      </x:c>
      <x:c r="H630" s="14" t="str">
        <x:f>IF(AND(I630="Есть цена",I628="Есть цена"),IF(AND(E630&gt;0,E628&gt;0),E630/E628-1,NA()),"")</x:f>
      </x:c>
      <x:c r="I630" s="2" t="str">
        <x:v>RPC: данные не загружены</x:v>
      </x:c>
      <x:c r="J630" s="2"/>
      <x:c r="K630" s="9"/>
      <x:c r="L630" s="2"/>
      <x:c r="M630" s="2"/>
      <x:c r="N630" s="2"/>
      <x:c r="O630" s="2"/>
      <x:c r="P630" s="2" t="str">
        <x:v>not_cached:getSignaturesForAddress:history/60bb1133204852c68f64a054</x:v>
      </x:c>
      <x:c r="Q630" s="2" t="str"/>
      <x:c r="R630" s="14" t="str">
        <x:f>IF(AND(C630="Нулевой остаток",I630="Есть цена"),G630,"")</x:f>
      </x:c>
      <x:c r="S630" s="14" t="str">
        <x:f>IF(AND(C630="Докупка",I630="Есть цена"),G630,"")</x:f>
      </x:c>
    </x:row>
    <x:row r="631" ht="21" customHeight="1">
      <x:c r="A631" s="2" t="n">
        <x:v>63</x:v>
      </x:c>
      <x:c r="B631" s="2" t="n">
        <x:v>60</x:v>
      </x:c>
      <x:c r="C631" s="2" t="str">
        <x:f>'Покупки'!C70</x:f>
        <x:v>Докупка</x:v>
      </x:c>
      <x:c r="D631" s="9" t="n">
        <x:v>46281.6512037037</x:v>
      </x:c>
      <x:c r="E631" s="12"/>
      <x:c r="F631" s="12" t="n">
        <x:f>'Покупки'!H70</x:f>
        <x:v>0.0004511996575485012</x:v>
      </x:c>
      <x:c r="G631" s="14" t="str">
        <x:f>IF(I631="Есть цена",IF(AND(ISNUMBER(E631),E631&gt;0,F631&gt;0),E631/F631-1,NA()),"")</x:f>
      </x:c>
      <x:c r="H631" s="14" t="str">
        <x:f>IF(AND(I631="Есть цена",I628="Есть цена"),IF(AND(E631&gt;0,E628&gt;0),E631/E628-1,NA()),"")</x:f>
      </x:c>
      <x:c r="I631" s="2" t="str">
        <x:v>RPC: данные не загружены</x:v>
      </x:c>
      <x:c r="J631" s="2"/>
      <x:c r="K631" s="9"/>
      <x:c r="L631" s="2"/>
      <x:c r="M631" s="2"/>
      <x:c r="N631" s="2"/>
      <x:c r="O631" s="2"/>
      <x:c r="P631" s="2" t="str">
        <x:v>not_cached:getSignaturesForAddress:history/60bb1133204852c68f64a054</x:v>
      </x:c>
      <x:c r="Q631" s="2" t="str"/>
      <x:c r="R631" s="14" t="str">
        <x:f>IF(AND(C631="Нулевой остаток",I631="Есть цена"),G631,"")</x:f>
      </x:c>
      <x:c r="S631" s="14" t="str">
        <x:f>IF(AND(C631="Докупка",I631="Есть цена"),G631,"")</x:f>
      </x:c>
    </x:row>
    <x:row r="632" ht="21" customHeight="1">
      <x:c r="A632" s="2" t="n">
        <x:v>63</x:v>
      </x:c>
      <x:c r="B632" s="2" t="n">
        <x:v>180</x:v>
      </x:c>
      <x:c r="C632" s="2" t="str">
        <x:f>'Покупки'!C70</x:f>
        <x:v>Докупка</x:v>
      </x:c>
      <x:c r="D632" s="9" t="n">
        <x:v>46281.652592592596</x:v>
      </x:c>
      <x:c r="E632" s="12"/>
      <x:c r="F632" s="12" t="n">
        <x:f>'Покупки'!H70</x:f>
        <x:v>0.0004511996575485012</x:v>
      </x:c>
      <x:c r="G632" s="14" t="str">
        <x:f>IF(I632="Есть цена",IF(AND(ISNUMBER(E632),E632&gt;0,F632&gt;0),E632/F632-1,NA()),"")</x:f>
      </x:c>
      <x:c r="H632" s="14" t="str">
        <x:f>IF(AND(I632="Есть цена",I628="Есть цена"),IF(AND(E632&gt;0,E628&gt;0),E632/E628-1,NA()),"")</x:f>
      </x:c>
      <x:c r="I632" s="2" t="str">
        <x:v>RPC: данные не загружены</x:v>
      </x:c>
      <x:c r="J632" s="2"/>
      <x:c r="K632" s="9"/>
      <x:c r="L632" s="2"/>
      <x:c r="M632" s="2"/>
      <x:c r="N632" s="2"/>
      <x:c r="O632" s="2"/>
      <x:c r="P632" s="2" t="str">
        <x:v>not_cached:getSignaturesForAddress:history/d41ab2c666cf0db288867eae</x:v>
      </x:c>
      <x:c r="Q632" s="2" t="str"/>
      <x:c r="R632" s="14" t="str">
        <x:f>IF(AND(C632="Нулевой остаток",I632="Есть цена"),G632,"")</x:f>
      </x:c>
      <x:c r="S632" s="14" t="str">
        <x:f>IF(AND(C632="Докупка",I632="Есть цена"),G632,"")</x:f>
      </x:c>
    </x:row>
    <x:row r="633" ht="21" customHeight="1">
      <x:c r="A633" s="2" t="n">
        <x:v>63</x:v>
      </x:c>
      <x:c r="B633" s="2" t="n">
        <x:v>300</x:v>
      </x:c>
      <x:c r="C633" s="2" t="str">
        <x:f>'Покупки'!C70</x:f>
        <x:v>Докупка</x:v>
      </x:c>
      <x:c r="D633" s="9" t="n">
        <x:v>46281.65398148148</x:v>
      </x:c>
      <x:c r="E633" s="12"/>
      <x:c r="F633" s="12" t="n">
        <x:f>'Покупки'!H70</x:f>
        <x:v>0.0004511996575485012</x:v>
      </x:c>
      <x:c r="G633" s="14" t="str">
        <x:f>IF(I633="Есть цена",IF(AND(ISNUMBER(E633),E633&gt;0,F633&gt;0),E633/F633-1,NA()),"")</x:f>
      </x:c>
      <x:c r="H633" s="14" t="str">
        <x:f>IF(AND(I633="Есть цена",I628="Есть цена"),IF(AND(E633&gt;0,E628&gt;0),E633/E628-1,NA()),"")</x:f>
      </x:c>
      <x:c r="I633" s="2" t="str">
        <x:v>RPC: данные не загружены</x:v>
      </x:c>
      <x:c r="J633" s="2"/>
      <x:c r="K633" s="9"/>
      <x:c r="L633" s="2"/>
      <x:c r="M633" s="2"/>
      <x:c r="N633" s="2"/>
      <x:c r="O633" s="2"/>
      <x:c r="P633" s="2" t="str">
        <x:v>not_cached:getSignaturesForAddress:history/d41ab2c666cf0db288867eae</x:v>
      </x:c>
      <x:c r="Q633" s="2" t="str"/>
      <x:c r="R633" s="14" t="str">
        <x:f>IF(AND(C633="Нулевой остаток",I633="Есть цена"),G633,"")</x:f>
      </x:c>
      <x:c r="S633" s="14" t="str">
        <x:f>IF(AND(C633="Докупка",I633="Есть цена"),G633,"")</x:f>
      </x:c>
    </x:row>
    <x:row r="634" ht="21" customHeight="1">
      <x:c r="A634" s="2" t="n">
        <x:v>63</x:v>
      </x:c>
      <x:c r="B634" s="2" t="n">
        <x:v>900</x:v>
      </x:c>
      <x:c r="C634" s="2" t="str">
        <x:f>'Покупки'!C70</x:f>
        <x:v>Докупка</x:v>
      </x:c>
      <x:c r="D634" s="9" t="n">
        <x:v>46281.66092592593</x:v>
      </x:c>
      <x:c r="E634" s="12"/>
      <x:c r="F634" s="12" t="n">
        <x:f>'Покупки'!H70</x:f>
        <x:v>0.0004511996575485012</x:v>
      </x:c>
      <x:c r="G634" s="14" t="str">
        <x:f>IF(I634="Есть цена",IF(AND(ISNUMBER(E634),E634&gt;0,F634&gt;0),E634/F634-1,NA()),"")</x:f>
      </x:c>
      <x:c r="H634" s="14" t="str">
        <x:f>IF(AND(I634="Есть цена",I628="Есть цена"),IF(AND(E634&gt;0,E628&gt;0),E634/E628-1,NA()),"")</x:f>
      </x:c>
      <x:c r="I634" s="2" t="str">
        <x:v>RPC: данные не загружены</x:v>
      </x:c>
      <x:c r="J634" s="2"/>
      <x:c r="K634" s="9"/>
      <x:c r="L634" s="2"/>
      <x:c r="M634" s="2"/>
      <x:c r="N634" s="2"/>
      <x:c r="O634" s="2"/>
      <x:c r="P634" s="2" t="str">
        <x:v>not_cached:getSignaturesForAddress:history/750a8fc65f0b45f1719eb61a</x:v>
      </x:c>
      <x:c r="Q634" s="2" t="str"/>
      <x:c r="R634" s="14" t="str">
        <x:f>IF(AND(C634="Нулевой остаток",I634="Есть цена"),G634,"")</x:f>
      </x:c>
      <x:c r="S634" s="14" t="str">
        <x:f>IF(AND(C634="Докупка",I634="Есть цена"),G634,"")</x:f>
      </x:c>
    </x:row>
    <x:row r="635" ht="21" customHeight="1">
      <x:c r="A635" s="2" t="n">
        <x:v>63</x:v>
      </x:c>
      <x:c r="B635" s="2" t="n">
        <x:v>3600</x:v>
      </x:c>
      <x:c r="C635" s="2" t="str">
        <x:f>'Покупки'!C70</x:f>
        <x:v>Докупка</x:v>
      </x:c>
      <x:c r="D635" s="9" t="n">
        <x:v>46281.69217592593</x:v>
      </x:c>
      <x:c r="E635" s="12"/>
      <x:c r="F635" s="12" t="n">
        <x:f>'Покупки'!H70</x:f>
        <x:v>0.0004511996575485012</x:v>
      </x:c>
      <x:c r="G635" s="14" t="str">
        <x:f>IF(I635="Есть цена",IF(AND(ISNUMBER(E635),E635&gt;0,F635&gt;0),E635/F635-1,NA()),"")</x:f>
      </x:c>
      <x:c r="H635" s="14" t="str">
        <x:f>IF(AND(I635="Есть цена",I628="Есть цена"),IF(AND(E635&gt;0,E628&gt;0),E635/E628-1,NA()),"")</x:f>
      </x:c>
      <x:c r="I635" s="2" t="str">
        <x:v>RPC: данные не загружены</x:v>
      </x:c>
      <x:c r="J635" s="2"/>
      <x:c r="K635" s="9"/>
      <x:c r="L635" s="2"/>
      <x:c r="M635" s="2"/>
      <x:c r="N635" s="2"/>
      <x:c r="O635" s="2"/>
      <x:c r="P635" s="2" t="str">
        <x:v>not_cached:getSignaturesForAddress:history/ba3dd887d1791bb268349d05</x:v>
      </x:c>
      <x:c r="Q635" s="2" t="str"/>
      <x:c r="R635" s="14" t="str">
        <x:f>IF(AND(C635="Нулевой остаток",I635="Есть цена"),G635,"")</x:f>
      </x:c>
      <x:c r="S635" s="14" t="str">
        <x:f>IF(AND(C635="Докупка",I635="Есть цена"),G635,"")</x:f>
      </x:c>
    </x:row>
    <x:row r="636" ht="21" customHeight="1">
      <x:c r="A636" s="2" t="n">
        <x:v>63</x:v>
      </x:c>
      <x:c r="B636" s="2" t="n">
        <x:v>21600</x:v>
      </x:c>
      <x:c r="C636" s="2" t="str">
        <x:f>'Покупки'!C70</x:f>
        <x:v>Докупка</x:v>
      </x:c>
      <x:c r="D636" s="9" t="n">
        <x:v>46281.900509259256</x:v>
      </x:c>
      <x:c r="E636" s="12"/>
      <x:c r="F636" s="12" t="n">
        <x:f>'Покупки'!H70</x:f>
        <x:v>0.0004511996575485012</x:v>
      </x:c>
      <x:c r="G636" s="14" t="str">
        <x:f>IF(I636="Есть цена",IF(AND(ISNUMBER(E636),E636&gt;0,F636&gt;0),E636/F636-1,NA()),"")</x:f>
      </x:c>
      <x:c r="H636" s="14" t="str">
        <x:f>IF(AND(I636="Есть цена",I628="Есть цена"),IF(AND(E636&gt;0,E628&gt;0),E636/E628-1,NA()),"")</x:f>
      </x:c>
      <x:c r="I636" s="2" t="str">
        <x:v>RPC: данные не загружены</x:v>
      </x:c>
      <x:c r="J636" s="2"/>
      <x:c r="K636" s="9"/>
      <x:c r="L636" s="2"/>
      <x:c r="M636" s="2"/>
      <x:c r="N636" s="2"/>
      <x:c r="O636" s="2"/>
      <x:c r="P636" s="2" t="str">
        <x:v>not_cached:getSignaturesForAddress:history/9dff1a562a4e76385e9a3c41</x:v>
      </x:c>
      <x:c r="Q636" s="2" t="str"/>
      <x:c r="R636" s="14" t="str">
        <x:f>IF(AND(C636="Нулевой остаток",I636="Есть цена"),G636,"")</x:f>
      </x:c>
      <x:c r="S636" s="14" t="str">
        <x:f>IF(AND(C636="Докупка",I636="Есть цена"),G636,"")</x:f>
      </x:c>
    </x:row>
    <x:row r="637" ht="21" customHeight="1">
      <x:c r="A637" s="2" t="n">
        <x:v>63</x:v>
      </x:c>
      <x:c r="B637" s="2" t="n">
        <x:v>86400</x:v>
      </x:c>
      <x:c r="C637" s="2" t="str">
        <x:f>'Покупки'!C70</x:f>
        <x:v>Докупка</x:v>
      </x:c>
      <x:c r="D637" s="9" t="n">
        <x:v>46282.650509259256</x:v>
      </x:c>
      <x:c r="E637" s="12"/>
      <x:c r="F637" s="12" t="n">
        <x:f>'Покупки'!H70</x:f>
        <x:v>0.0004511996575485012</x:v>
      </x:c>
      <x:c r="G637" s="14" t="str">
        <x:f>IF(I637="Есть цена",IF(AND(ISNUMBER(E637),E637&gt;0,F637&gt;0),E637/F637-1,NA()),"")</x:f>
      </x:c>
      <x:c r="H637" s="14" t="str">
        <x:f>IF(AND(I637="Есть цена",I628="Есть цена"),IF(AND(E637&gt;0,E628&gt;0),E637/E628-1,NA()),"")</x:f>
      </x:c>
      <x:c r="I637" s="2" t="str">
        <x:v>RPC: данные не загружены</x:v>
      </x:c>
      <x:c r="J637" s="2"/>
      <x:c r="K637" s="9"/>
      <x:c r="L637" s="2"/>
      <x:c r="M637" s="2"/>
      <x:c r="N637" s="2"/>
      <x:c r="O637" s="2"/>
      <x:c r="P637" s="2" t="str">
        <x:v>not_cached:getSignaturesForAddress:history/306995aa1298e15091fc3483</x:v>
      </x:c>
      <x:c r="Q637" s="2" t="str"/>
      <x:c r="R637" s="14" t="str">
        <x:f>IF(AND(C637="Нулевой остаток",I637="Есть цена"),G637,"")</x:f>
      </x:c>
      <x:c r="S637" s="14" t="str">
        <x:f>IF(AND(C637="Докупка",I637="Есть цена"),G637,"")</x:f>
      </x:c>
    </x:row>
    <x:row r="638" ht="21" customHeight="1">
      <x:c r="A638" s="2" t="n">
        <x:v>64</x:v>
      </x:c>
      <x:c r="B638" s="2" t="n">
        <x:v>5</x:v>
      </x:c>
      <x:c r="C638" s="2" t="str">
        <x:f>'Покупки'!C71</x:f>
        <x:v>Докупка</x:v>
      </x:c>
      <x:c r="D638" s="9" t="n">
        <x:v>46281.65038194445</x:v>
      </x:c>
      <x:c r="E638" s="12"/>
      <x:c r="F638" s="12" t="n">
        <x:f>'Покупки'!H71</x:f>
        <x:v>0.011969910993326909</x:v>
      </x:c>
      <x:c r="G638" s="14" t="str">
        <x:f>IF(I638="Есть цена",IF(AND(ISNUMBER(E638),E638&gt;0,F638&gt;0),E638/F638-1,NA()),"")</x:f>
      </x:c>
      <x:c r="H638" s="14" t="str">
        <x:f>IF(AND(I638="Есть цена",I638="Есть цена"),IF(AND(E638&gt;0,E638&gt;0),E638/E638-1,NA()),"")</x:f>
      </x:c>
      <x:c r="I638" s="2" t="str">
        <x:v>RPC: данные не загружены</x:v>
      </x:c>
      <x:c r="J638" s="2"/>
      <x:c r="K638" s="9"/>
      <x:c r="L638" s="2"/>
      <x:c r="M638" s="2"/>
      <x:c r="N638" s="2"/>
      <x:c r="O638" s="2"/>
      <x:c r="P638" s="2" t="str">
        <x:v>not_cached:getSignaturesForAddress:history/5578bbdc12b467f3dc8f819e</x:v>
      </x:c>
      <x:c r="Q638" s="2" t="str"/>
      <x:c r="R638" s="14" t="str">
        <x:f>IF(AND(C638="Нулевой остаток",I638="Есть цена"),G638,"")</x:f>
      </x:c>
      <x:c r="S638" s="14" t="str">
        <x:f>IF(AND(C638="Докупка",I638="Есть цена"),G638,"")</x:f>
      </x:c>
    </x:row>
    <x:row r="639" ht="21" customHeight="1">
      <x:c r="A639" s="2" t="n">
        <x:v>64</x:v>
      </x:c>
      <x:c r="B639" s="2" t="n">
        <x:v>15</x:v>
      </x:c>
      <x:c r="C639" s="2" t="str">
        <x:f>'Покупки'!C71</x:f>
        <x:v>Докупка</x:v>
      </x:c>
      <x:c r="D639" s="9" t="n">
        <x:v>46281.65049768519</x:v>
      </x:c>
      <x:c r="E639" s="12"/>
      <x:c r="F639" s="12" t="n">
        <x:f>'Покупки'!H71</x:f>
        <x:v>0.011969910993326909</x:v>
      </x:c>
      <x:c r="G639" s="14" t="str">
        <x:f>IF(I639="Есть цена",IF(AND(ISNUMBER(E639),E639&gt;0,F639&gt;0),E639/F639-1,NA()),"")</x:f>
      </x:c>
      <x:c r="H639" s="14" t="str">
        <x:f>IF(AND(I639="Есть цена",I638="Есть цена"),IF(AND(E639&gt;0,E638&gt;0),E639/E638-1,NA()),"")</x:f>
      </x:c>
      <x:c r="I639" s="2" t="str">
        <x:v>RPC: данные не загружены</x:v>
      </x:c>
      <x:c r="J639" s="2"/>
      <x:c r="K639" s="9"/>
      <x:c r="L639" s="2"/>
      <x:c r="M639" s="2"/>
      <x:c r="N639" s="2"/>
      <x:c r="O639" s="2"/>
      <x:c r="P639" s="2" t="str">
        <x:v>not_cached:getSignaturesForAddress:history/5578bbdc12b467f3dc8f819e</x:v>
      </x:c>
      <x:c r="Q639" s="2" t="str"/>
      <x:c r="R639" s="14" t="str">
        <x:f>IF(AND(C639="Нулевой остаток",I639="Есть цена"),G639,"")</x:f>
      </x:c>
      <x:c r="S639" s="14" t="str">
        <x:f>IF(AND(C639="Докупка",I639="Есть цена"),G639,"")</x:f>
      </x:c>
    </x:row>
    <x:row r="640" ht="21" customHeight="1">
      <x:c r="A640" s="2" t="n">
        <x:v>64</x:v>
      </x:c>
      <x:c r="B640" s="2" t="n">
        <x:v>30</x:v>
      </x:c>
      <x:c r="C640" s="2" t="str">
        <x:f>'Покупки'!C71</x:f>
        <x:v>Докупка</x:v>
      </x:c>
      <x:c r="D640" s="9" t="n">
        <x:v>46281.650671296295</x:v>
      </x:c>
      <x:c r="E640" s="12"/>
      <x:c r="F640" s="12" t="n">
        <x:f>'Покупки'!H71</x:f>
        <x:v>0.011969910993326909</x:v>
      </x:c>
      <x:c r="G640" s="14" t="str">
        <x:f>IF(I640="Есть цена",IF(AND(ISNUMBER(E640),E640&gt;0,F640&gt;0),E640/F640-1,NA()),"")</x:f>
      </x:c>
      <x:c r="H640" s="14" t="str">
        <x:f>IF(AND(I640="Есть цена",I638="Есть цена"),IF(AND(E640&gt;0,E638&gt;0),E640/E638-1,NA()),"")</x:f>
      </x:c>
      <x:c r="I640" s="2" t="str">
        <x:v>RPC: данные не загружены</x:v>
      </x:c>
      <x:c r="J640" s="2"/>
      <x:c r="K640" s="9"/>
      <x:c r="L640" s="2"/>
      <x:c r="M640" s="2"/>
      <x:c r="N640" s="2"/>
      <x:c r="O640" s="2"/>
      <x:c r="P640" s="2" t="str">
        <x:v>not_cached:getSignaturesForAddress:history/5b2d7739ad5ce63b49c9dea1</x:v>
      </x:c>
      <x:c r="Q640" s="2" t="str"/>
      <x:c r="R640" s="14" t="str">
        <x:f>IF(AND(C640="Нулевой остаток",I640="Есть цена"),G640,"")</x:f>
      </x:c>
      <x:c r="S640" s="14" t="str">
        <x:f>IF(AND(C640="Докупка",I640="Есть цена"),G640,"")</x:f>
      </x:c>
    </x:row>
    <x:row r="641" ht="21" customHeight="1">
      <x:c r="A641" s="2" t="n">
        <x:v>64</x:v>
      </x:c>
      <x:c r="B641" s="2" t="n">
        <x:v>60</x:v>
      </x:c>
      <x:c r="C641" s="2" t="str">
        <x:f>'Покупки'!C71</x:f>
        <x:v>Докупка</x:v>
      </x:c>
      <x:c r="D641" s="9" t="n">
        <x:v>46281.65101851852</x:v>
      </x:c>
      <x:c r="E641" s="12"/>
      <x:c r="F641" s="12" t="n">
        <x:f>'Покупки'!H71</x:f>
        <x:v>0.011969910993326909</x:v>
      </x:c>
      <x:c r="G641" s="14" t="str">
        <x:f>IF(I641="Есть цена",IF(AND(ISNUMBER(E641),E641&gt;0,F641&gt;0),E641/F641-1,NA()),"")</x:f>
      </x:c>
      <x:c r="H641" s="14" t="str">
        <x:f>IF(AND(I641="Есть цена",I638="Есть цена"),IF(AND(E641&gt;0,E638&gt;0),E641/E638-1,NA()),"")</x:f>
      </x:c>
      <x:c r="I641" s="2" t="str">
        <x:v>RPC: данные не загружены</x:v>
      </x:c>
      <x:c r="J641" s="2"/>
      <x:c r="K641" s="9"/>
      <x:c r="L641" s="2"/>
      <x:c r="M641" s="2"/>
      <x:c r="N641" s="2"/>
      <x:c r="O641" s="2"/>
      <x:c r="P641" s="2" t="str">
        <x:v>not_cached:getSignaturesForAddress:history/5b2d7739ad5ce63b49c9dea1</x:v>
      </x:c>
      <x:c r="Q641" s="2" t="str"/>
      <x:c r="R641" s="14" t="str">
        <x:f>IF(AND(C641="Нулевой остаток",I641="Есть цена"),G641,"")</x:f>
      </x:c>
      <x:c r="S641" s="14" t="str">
        <x:f>IF(AND(C641="Докупка",I641="Есть цена"),G641,"")</x:f>
      </x:c>
    </x:row>
    <x:row r="642" ht="21" customHeight="1">
      <x:c r="A642" s="2" t="n">
        <x:v>64</x:v>
      </x:c>
      <x:c r="B642" s="2" t="n">
        <x:v>180</x:v>
      </x:c>
      <x:c r="C642" s="2" t="str">
        <x:f>'Покупки'!C71</x:f>
        <x:v>Докупка</x:v>
      </x:c>
      <x:c r="D642" s="9" t="n">
        <x:v>46281.652407407404</x:v>
      </x:c>
      <x:c r="E642" s="12"/>
      <x:c r="F642" s="12" t="n">
        <x:f>'Покупки'!H71</x:f>
        <x:v>0.011969910993326909</x:v>
      </x:c>
      <x:c r="G642" s="14" t="str">
        <x:f>IF(I642="Есть цена",IF(AND(ISNUMBER(E642),E642&gt;0,F642&gt;0),E642/F642-1,NA()),"")</x:f>
      </x:c>
      <x:c r="H642" s="14" t="str">
        <x:f>IF(AND(I642="Есть цена",I638="Есть цена"),IF(AND(E642&gt;0,E638&gt;0),E642/E638-1,NA()),"")</x:f>
      </x:c>
      <x:c r="I642" s="2" t="str">
        <x:v>RPC: данные не загружены</x:v>
      </x:c>
      <x:c r="J642" s="2"/>
      <x:c r="K642" s="9"/>
      <x:c r="L642" s="2"/>
      <x:c r="M642" s="2"/>
      <x:c r="N642" s="2"/>
      <x:c r="O642" s="2"/>
      <x:c r="P642" s="2" t="str">
        <x:v>not_cached:getSignaturesForAddress:history/7a90c2bd92eaa999006a5f04</x:v>
      </x:c>
      <x:c r="Q642" s="2" t="str"/>
      <x:c r="R642" s="14" t="str">
        <x:f>IF(AND(C642="Нулевой остаток",I642="Есть цена"),G642,"")</x:f>
      </x:c>
      <x:c r="S642" s="14" t="str">
        <x:f>IF(AND(C642="Докупка",I642="Есть цена"),G642,"")</x:f>
      </x:c>
    </x:row>
    <x:row r="643" ht="21" customHeight="1">
      <x:c r="A643" s="2" t="n">
        <x:v>64</x:v>
      </x:c>
      <x:c r="B643" s="2" t="n">
        <x:v>300</x:v>
      </x:c>
      <x:c r="C643" s="2" t="str">
        <x:f>'Покупки'!C71</x:f>
        <x:v>Докупка</x:v>
      </x:c>
      <x:c r="D643" s="9" t="n">
        <x:v>46281.6537962963</x:v>
      </x:c>
      <x:c r="E643" s="12"/>
      <x:c r="F643" s="12" t="n">
        <x:f>'Покупки'!H71</x:f>
        <x:v>0.011969910993326909</x:v>
      </x:c>
      <x:c r="G643" s="14" t="str">
        <x:f>IF(I643="Есть цена",IF(AND(ISNUMBER(E643),E643&gt;0,F643&gt;0),E643/F643-1,NA()),"")</x:f>
      </x:c>
      <x:c r="H643" s="14" t="str">
        <x:f>IF(AND(I643="Есть цена",I638="Есть цена"),IF(AND(E643&gt;0,E638&gt;0),E643/E638-1,NA()),"")</x:f>
      </x:c>
      <x:c r="I643" s="2" t="str">
        <x:v>RPC: данные не загружены</x:v>
      </x:c>
      <x:c r="J643" s="2"/>
      <x:c r="K643" s="9"/>
      <x:c r="L643" s="2"/>
      <x:c r="M643" s="2"/>
      <x:c r="N643" s="2"/>
      <x:c r="O643" s="2"/>
      <x:c r="P643" s="2" t="str">
        <x:v>not_cached:getSignaturesForAddress:history/7a90c2bd92eaa999006a5f04</x:v>
      </x:c>
      <x:c r="Q643" s="2" t="str"/>
      <x:c r="R643" s="14" t="str">
        <x:f>IF(AND(C643="Нулевой остаток",I643="Есть цена"),G643,"")</x:f>
      </x:c>
      <x:c r="S643" s="14" t="str">
        <x:f>IF(AND(C643="Докупка",I643="Есть цена"),G643,"")</x:f>
      </x:c>
    </x:row>
    <x:row r="644" ht="21" customHeight="1">
      <x:c r="A644" s="2" t="n">
        <x:v>64</x:v>
      </x:c>
      <x:c r="B644" s="2" t="n">
        <x:v>900</x:v>
      </x:c>
      <x:c r="C644" s="2" t="str">
        <x:f>'Покупки'!C71</x:f>
        <x:v>Докупка</x:v>
      </x:c>
      <x:c r="D644" s="9" t="n">
        <x:v>46281.66074074074</x:v>
      </x:c>
      <x:c r="E644" s="12"/>
      <x:c r="F644" s="12" t="n">
        <x:f>'Покупки'!H71</x:f>
        <x:v>0.011969910993326909</x:v>
      </x:c>
      <x:c r="G644" s="14" t="str">
        <x:f>IF(I644="Есть цена",IF(AND(ISNUMBER(E644),E644&gt;0,F644&gt;0),E644/F644-1,NA()),"")</x:f>
      </x:c>
      <x:c r="H644" s="14" t="str">
        <x:f>IF(AND(I644="Есть цена",I638="Есть цена"),IF(AND(E644&gt;0,E638&gt;0),E644/E638-1,NA()),"")</x:f>
      </x:c>
      <x:c r="I644" s="2" t="str">
        <x:v>RPC: данные не загружены</x:v>
      </x:c>
      <x:c r="J644" s="2"/>
      <x:c r="K644" s="9"/>
      <x:c r="L644" s="2"/>
      <x:c r="M644" s="2"/>
      <x:c r="N644" s="2"/>
      <x:c r="O644" s="2"/>
      <x:c r="P644" s="2" t="str">
        <x:v>not_cached:getSignaturesForAddress:history/f3dc965b658fae3932aa28bb</x:v>
      </x:c>
      <x:c r="Q644" s="2" t="str"/>
      <x:c r="R644" s="14" t="str">
        <x:f>IF(AND(C644="Нулевой остаток",I644="Есть цена"),G644,"")</x:f>
      </x:c>
      <x:c r="S644" s="14" t="str">
        <x:f>IF(AND(C644="Докупка",I644="Есть цена"),G644,"")</x:f>
      </x:c>
    </x:row>
    <x:row r="645" ht="21" customHeight="1">
      <x:c r="A645" s="2" t="n">
        <x:v>64</x:v>
      </x:c>
      <x:c r="B645" s="2" t="n">
        <x:v>3600</x:v>
      </x:c>
      <x:c r="C645" s="2" t="str">
        <x:f>'Покупки'!C71</x:f>
        <x:v>Докупка</x:v>
      </x:c>
      <x:c r="D645" s="9" t="n">
        <x:v>46281.69199074074</x:v>
      </x:c>
      <x:c r="E645" s="12"/>
      <x:c r="F645" s="12" t="n">
        <x:f>'Покупки'!H71</x:f>
        <x:v>0.011969910993326909</x:v>
      </x:c>
      <x:c r="G645" s="14" t="str">
        <x:f>IF(I645="Есть цена",IF(AND(ISNUMBER(E645),E645&gt;0,F645&gt;0),E645/F645-1,NA()),"")</x:f>
      </x:c>
      <x:c r="H645" s="14" t="str">
        <x:f>IF(AND(I645="Есть цена",I638="Есть цена"),IF(AND(E645&gt;0,E638&gt;0),E645/E638-1,NA()),"")</x:f>
      </x:c>
      <x:c r="I645" s="2" t="str">
        <x:v>RPC: данные не загружены</x:v>
      </x:c>
      <x:c r="J645" s="2"/>
      <x:c r="K645" s="9"/>
      <x:c r="L645" s="2"/>
      <x:c r="M645" s="2"/>
      <x:c r="N645" s="2"/>
      <x:c r="O645" s="2"/>
      <x:c r="P645" s="2" t="str">
        <x:v>not_cached:getSignaturesForAddress:history/38774eaa3324f03836325bb1</x:v>
      </x:c>
      <x:c r="Q645" s="2" t="str"/>
      <x:c r="R645" s="14" t="str">
        <x:f>IF(AND(C645="Нулевой остаток",I645="Есть цена"),G645,"")</x:f>
      </x:c>
      <x:c r="S645" s="14" t="str">
        <x:f>IF(AND(C645="Докупка",I645="Есть цена"),G645,"")</x:f>
      </x:c>
    </x:row>
    <x:row r="646" ht="21" customHeight="1">
      <x:c r="A646" s="2" t="n">
        <x:v>64</x:v>
      </x:c>
      <x:c r="B646" s="2" t="n">
        <x:v>21600</x:v>
      </x:c>
      <x:c r="C646" s="2" t="str">
        <x:f>'Покупки'!C71</x:f>
        <x:v>Докупка</x:v>
      </x:c>
      <x:c r="D646" s="9" t="n">
        <x:v>46281.90032407407</x:v>
      </x:c>
      <x:c r="E646" s="12"/>
      <x:c r="F646" s="12" t="n">
        <x:f>'Покупки'!H71</x:f>
        <x:v>0.011969910993326909</x:v>
      </x:c>
      <x:c r="G646" s="14" t="str">
        <x:f>IF(I646="Есть цена",IF(AND(ISNUMBER(E646),E646&gt;0,F646&gt;0),E646/F646-1,NA()),"")</x:f>
      </x:c>
      <x:c r="H646" s="14" t="str">
        <x:f>IF(AND(I646="Есть цена",I638="Есть цена"),IF(AND(E646&gt;0,E638&gt;0),E646/E638-1,NA()),"")</x:f>
      </x:c>
      <x:c r="I646" s="2" t="str">
        <x:v>RPC: данные не загружены</x:v>
      </x:c>
      <x:c r="J646" s="2"/>
      <x:c r="K646" s="9"/>
      <x:c r="L646" s="2"/>
      <x:c r="M646" s="2"/>
      <x:c r="N646" s="2"/>
      <x:c r="O646" s="2"/>
      <x:c r="P646" s="2" t="str">
        <x:v>not_cached:getSignaturesForAddress:history/65b2b9174d0876fe31b14333</x:v>
      </x:c>
      <x:c r="Q646" s="2" t="str"/>
      <x:c r="R646" s="14" t="str">
        <x:f>IF(AND(C646="Нулевой остаток",I646="Есть цена"),G646,"")</x:f>
      </x:c>
      <x:c r="S646" s="14" t="str">
        <x:f>IF(AND(C646="Докупка",I646="Есть цена"),G646,"")</x:f>
      </x:c>
    </x:row>
    <x:row r="647" ht="21" customHeight="1">
      <x:c r="A647" s="2" t="n">
        <x:v>64</x:v>
      </x:c>
      <x:c r="B647" s="2" t="n">
        <x:v>86400</x:v>
      </x:c>
      <x:c r="C647" s="2" t="str">
        <x:f>'Покупки'!C71</x:f>
        <x:v>Докупка</x:v>
      </x:c>
      <x:c r="D647" s="9" t="n">
        <x:v>46282.65032407407</x:v>
      </x:c>
      <x:c r="E647" s="12"/>
      <x:c r="F647" s="12" t="n">
        <x:f>'Покупки'!H71</x:f>
        <x:v>0.011969910993326909</x:v>
      </x:c>
      <x:c r="G647" s="14" t="str">
        <x:f>IF(I647="Есть цена",IF(AND(ISNUMBER(E647),E647&gt;0,F647&gt;0),E647/F647-1,NA()),"")</x:f>
      </x:c>
      <x:c r="H647" s="14" t="str">
        <x:f>IF(AND(I647="Есть цена",I638="Есть цена"),IF(AND(E647&gt;0,E638&gt;0),E647/E638-1,NA()),"")</x:f>
      </x:c>
      <x:c r="I647" s="2" t="str">
        <x:v>RPC: данные не загружены</x:v>
      </x:c>
      <x:c r="J647" s="2"/>
      <x:c r="K647" s="9"/>
      <x:c r="L647" s="2"/>
      <x:c r="M647" s="2"/>
      <x:c r="N647" s="2"/>
      <x:c r="O647" s="2"/>
      <x:c r="P647" s="2" t="str">
        <x:v>not_cached:getSignaturesForAddress:history/cbb71437775a6337dbe80c6f</x:v>
      </x:c>
      <x:c r="Q647" s="2" t="str"/>
      <x:c r="R647" s="14" t="str">
        <x:f>IF(AND(C647="Нулевой остаток",I647="Есть цена"),G647,"")</x:f>
      </x:c>
      <x:c r="S647" s="14" t="str">
        <x:f>IF(AND(C647="Докупка",I647="Есть цена"),G647,"")</x:f>
      </x:c>
    </x:row>
    <x:row r="648" ht="21" customHeight="1">
      <x:c r="A648" s="2" t="n">
        <x:v>65</x:v>
      </x:c>
      <x:c r="B648" s="2" t="n">
        <x:v>5</x:v>
      </x:c>
      <x:c r="C648" s="2" t="str">
        <x:f>'Покупки'!C72</x:f>
        <x:v>Докупка</x:v>
      </x:c>
      <x:c r="D648" s="9" t="n">
        <x:v>46281.64599537037</x:v>
      </x:c>
      <x:c r="E648" s="12"/>
      <x:c r="F648" s="12" t="n">
        <x:f>'Покупки'!H72</x:f>
        <x:v>0.16816852847719738</x:v>
      </x:c>
      <x:c r="G648" s="14" t="str">
        <x:f>IF(I648="Есть цена",IF(AND(ISNUMBER(E648),E648&gt;0,F648&gt;0),E648/F648-1,NA()),"")</x:f>
      </x:c>
      <x:c r="H648" s="14" t="str">
        <x:f>IF(AND(I648="Есть цена",I648="Есть цена"),IF(AND(E648&gt;0,E648&gt;0),E648/E648-1,NA()),"")</x:f>
      </x:c>
      <x:c r="I648" s="2" t="str">
        <x:v>RPC: данные не загружены</x:v>
      </x:c>
      <x:c r="J648" s="2"/>
      <x:c r="K648" s="9"/>
      <x:c r="L648" s="2"/>
      <x:c r="M648" s="2"/>
      <x:c r="N648" s="2"/>
      <x:c r="O648" s="2"/>
      <x:c r="P648" s="2" t="str">
        <x:v>not_cached:getSignaturesForAddress:history/bc1ae9e89e2e8c848ec7897a</x:v>
      </x:c>
      <x:c r="Q648" s="2" t="str"/>
      <x:c r="R648" s="14" t="str">
        <x:f>IF(AND(C648="Нулевой остаток",I648="Есть цена"),G648,"")</x:f>
      </x:c>
      <x:c r="S648" s="14" t="str">
        <x:f>IF(AND(C648="Докупка",I648="Есть цена"),G648,"")</x:f>
      </x:c>
    </x:row>
    <x:row r="649" ht="21" customHeight="1">
      <x:c r="A649" s="2" t="n">
        <x:v>65</x:v>
      </x:c>
      <x:c r="B649" s="2" t="n">
        <x:v>15</x:v>
      </x:c>
      <x:c r="C649" s="2" t="str">
        <x:f>'Покупки'!C72</x:f>
        <x:v>Докупка</x:v>
      </x:c>
      <x:c r="D649" s="9" t="n">
        <x:v>46281.64611111111</x:v>
      </x:c>
      <x:c r="E649" s="12"/>
      <x:c r="F649" s="12" t="n">
        <x:f>'Покупки'!H72</x:f>
        <x:v>0.16816852847719738</x:v>
      </x:c>
      <x:c r="G649" s="14" t="str">
        <x:f>IF(I649="Есть цена",IF(AND(ISNUMBER(E649),E649&gt;0,F649&gt;0),E649/F649-1,NA()),"")</x:f>
      </x:c>
      <x:c r="H649" s="14" t="str">
        <x:f>IF(AND(I649="Есть цена",I648="Есть цена"),IF(AND(E649&gt;0,E648&gt;0),E649/E648-1,NA()),"")</x:f>
      </x:c>
      <x:c r="I649" s="2" t="str">
        <x:v>RPC: данные не загружены</x:v>
      </x:c>
      <x:c r="J649" s="2"/>
      <x:c r="K649" s="9"/>
      <x:c r="L649" s="2"/>
      <x:c r="M649" s="2"/>
      <x:c r="N649" s="2"/>
      <x:c r="O649" s="2"/>
      <x:c r="P649" s="2" t="str">
        <x:v>not_cached:getSignaturesForAddress:history/5e3727ee0209665337cfafb1</x:v>
      </x:c>
      <x:c r="Q649" s="2" t="str"/>
      <x:c r="R649" s="14" t="str">
        <x:f>IF(AND(C649="Нулевой остаток",I649="Есть цена"),G649,"")</x:f>
      </x:c>
      <x:c r="S649" s="14" t="str">
        <x:f>IF(AND(C649="Докупка",I649="Есть цена"),G649,"")</x:f>
      </x:c>
    </x:row>
    <x:row r="650" ht="21" customHeight="1">
      <x:c r="A650" s="2" t="n">
        <x:v>65</x:v>
      </x:c>
      <x:c r="B650" s="2" t="n">
        <x:v>30</x:v>
      </x:c>
      <x:c r="C650" s="2" t="str">
        <x:f>'Покупки'!C72</x:f>
        <x:v>Докупка</x:v>
      </x:c>
      <x:c r="D650" s="9" t="n">
        <x:v>46281.64628472222</x:v>
      </x:c>
      <x:c r="E650" s="12"/>
      <x:c r="F650" s="12" t="n">
        <x:f>'Покупки'!H72</x:f>
        <x:v>0.16816852847719738</x:v>
      </x:c>
      <x:c r="G650" s="14" t="str">
        <x:f>IF(I650="Есть цена",IF(AND(ISNUMBER(E650),E650&gt;0,F650&gt;0),E650/F650-1,NA()),"")</x:f>
      </x:c>
      <x:c r="H650" s="14" t="str">
        <x:f>IF(AND(I650="Есть цена",I648="Есть цена"),IF(AND(E650&gt;0,E648&gt;0),E650/E648-1,NA()),"")</x:f>
      </x:c>
      <x:c r="I650" s="2" t="str">
        <x:v>RPC: данные не загружены</x:v>
      </x:c>
      <x:c r="J650" s="2"/>
      <x:c r="K650" s="9"/>
      <x:c r="L650" s="2"/>
      <x:c r="M650" s="2"/>
      <x:c r="N650" s="2"/>
      <x:c r="O650" s="2"/>
      <x:c r="P650" s="2" t="str">
        <x:v>not_cached:getSignaturesForAddress:history/5e3727ee0209665337cfafb1</x:v>
      </x:c>
      <x:c r="Q650" s="2" t="str"/>
      <x:c r="R650" s="14" t="str">
        <x:f>IF(AND(C650="Нулевой остаток",I650="Есть цена"),G650,"")</x:f>
      </x:c>
      <x:c r="S650" s="14" t="str">
        <x:f>IF(AND(C650="Докупка",I650="Есть цена"),G650,"")</x:f>
      </x:c>
    </x:row>
    <x:row r="651" ht="21" customHeight="1">
      <x:c r="A651" s="2" t="n">
        <x:v>65</x:v>
      </x:c>
      <x:c r="B651" s="2" t="n">
        <x:v>60</x:v>
      </x:c>
      <x:c r="C651" s="2" t="str">
        <x:f>'Покупки'!C72</x:f>
        <x:v>Докупка</x:v>
      </x:c>
      <x:c r="D651" s="9" t="n">
        <x:v>46281.646631944444</x:v>
      </x:c>
      <x:c r="E651" s="12"/>
      <x:c r="F651" s="12" t="n">
        <x:f>'Покупки'!H72</x:f>
        <x:v>0.16816852847719738</x:v>
      </x:c>
      <x:c r="G651" s="14" t="str">
        <x:f>IF(I651="Есть цена",IF(AND(ISNUMBER(E651),E651&gt;0,F651&gt;0),E651/F651-1,NA()),"")</x:f>
      </x:c>
      <x:c r="H651" s="14" t="str">
        <x:f>IF(AND(I651="Есть цена",I648="Есть цена"),IF(AND(E651&gt;0,E648&gt;0),E651/E648-1,NA()),"")</x:f>
      </x:c>
      <x:c r="I651" s="2" t="str">
        <x:v>RPC: данные не загружены</x:v>
      </x:c>
      <x:c r="J651" s="2"/>
      <x:c r="K651" s="9"/>
      <x:c r="L651" s="2"/>
      <x:c r="M651" s="2"/>
      <x:c r="N651" s="2"/>
      <x:c r="O651" s="2"/>
      <x:c r="P651" s="2" t="str">
        <x:v>not_cached:getSignaturesForAddress:history/5e3727ee0209665337cfafb1</x:v>
      </x:c>
      <x:c r="Q651" s="2" t="str"/>
      <x:c r="R651" s="14" t="str">
        <x:f>IF(AND(C651="Нулевой остаток",I651="Есть цена"),G651,"")</x:f>
      </x:c>
      <x:c r="S651" s="14" t="str">
        <x:f>IF(AND(C651="Докупка",I651="Есть цена"),G651,"")</x:f>
      </x:c>
    </x:row>
    <x:row r="652" ht="21" customHeight="1">
      <x:c r="A652" s="2" t="n">
        <x:v>65</x:v>
      </x:c>
      <x:c r="B652" s="2" t="n">
        <x:v>180</x:v>
      </x:c>
      <x:c r="C652" s="2" t="str">
        <x:f>'Покупки'!C72</x:f>
        <x:v>Докупка</x:v>
      </x:c>
      <x:c r="D652" s="9" t="n">
        <x:v>46281.64802083333</x:v>
      </x:c>
      <x:c r="E652" s="12"/>
      <x:c r="F652" s="12" t="n">
        <x:f>'Покупки'!H72</x:f>
        <x:v>0.16816852847719738</x:v>
      </x:c>
      <x:c r="G652" s="14" t="str">
        <x:f>IF(I652="Есть цена",IF(AND(ISNUMBER(E652),E652&gt;0,F652&gt;0),E652/F652-1,NA()),"")</x:f>
      </x:c>
      <x:c r="H652" s="14" t="str">
        <x:f>IF(AND(I652="Есть цена",I648="Есть цена"),IF(AND(E652&gt;0,E648&gt;0),E652/E648-1,NA()),"")</x:f>
      </x:c>
      <x:c r="I652" s="2" t="str">
        <x:v>RPC: данные не загружены</x:v>
      </x:c>
      <x:c r="J652" s="2"/>
      <x:c r="K652" s="9"/>
      <x:c r="L652" s="2"/>
      <x:c r="M652" s="2"/>
      <x:c r="N652" s="2"/>
      <x:c r="O652" s="2"/>
      <x:c r="P652" s="2" t="str">
        <x:v>not_cached:getSignaturesForAddress:history/123e4d0ad08b247b75b48b48</x:v>
      </x:c>
      <x:c r="Q652" s="2" t="str"/>
      <x:c r="R652" s="14" t="str">
        <x:f>IF(AND(C652="Нулевой остаток",I652="Есть цена"),G652,"")</x:f>
      </x:c>
      <x:c r="S652" s="14" t="str">
        <x:f>IF(AND(C652="Докупка",I652="Есть цена"),G652,"")</x:f>
      </x:c>
    </x:row>
    <x:row r="653" ht="21" customHeight="1">
      <x:c r="A653" s="2" t="n">
        <x:v>65</x:v>
      </x:c>
      <x:c r="B653" s="2" t="n">
        <x:v>300</x:v>
      </x:c>
      <x:c r="C653" s="2" t="str">
        <x:f>'Покупки'!C72</x:f>
        <x:v>Докупка</x:v>
      </x:c>
      <x:c r="D653" s="9" t="n">
        <x:v>46281.649409722224</x:v>
      </x:c>
      <x:c r="E653" s="12"/>
      <x:c r="F653" s="12" t="n">
        <x:f>'Покупки'!H72</x:f>
        <x:v>0.16816852847719738</x:v>
      </x:c>
      <x:c r="G653" s="14" t="str">
        <x:f>IF(I653="Есть цена",IF(AND(ISNUMBER(E653),E653&gt;0,F653&gt;0),E653/F653-1,NA()),"")</x:f>
      </x:c>
      <x:c r="H653" s="14" t="str">
        <x:f>IF(AND(I653="Есть цена",I648="Есть цена"),IF(AND(E653&gt;0,E648&gt;0),E653/E648-1,NA()),"")</x:f>
      </x:c>
      <x:c r="I653" s="2" t="str">
        <x:v>RPC: данные не загружены</x:v>
      </x:c>
      <x:c r="J653" s="2"/>
      <x:c r="K653" s="9"/>
      <x:c r="L653" s="2"/>
      <x:c r="M653" s="2"/>
      <x:c r="N653" s="2"/>
      <x:c r="O653" s="2"/>
      <x:c r="P653" s="2" t="str">
        <x:v>not_cached:getSignaturesForAddress:history/0ef578a5d3af025023a37749</x:v>
      </x:c>
      <x:c r="Q653" s="2" t="str"/>
      <x:c r="R653" s="14" t="str">
        <x:f>IF(AND(C653="Нулевой остаток",I653="Есть цена"),G653,"")</x:f>
      </x:c>
      <x:c r="S653" s="14" t="str">
        <x:f>IF(AND(C653="Докупка",I653="Есть цена"),G653,"")</x:f>
      </x:c>
    </x:row>
    <x:row r="654" ht="21" customHeight="1">
      <x:c r="A654" s="2" t="n">
        <x:v>65</x:v>
      </x:c>
      <x:c r="B654" s="2" t="n">
        <x:v>900</x:v>
      </x:c>
      <x:c r="C654" s="2" t="str">
        <x:f>'Покупки'!C72</x:f>
        <x:v>Докупка</x:v>
      </x:c>
      <x:c r="D654" s="9" t="n">
        <x:v>46281.65635416667</x:v>
      </x:c>
      <x:c r="E654" s="12"/>
      <x:c r="F654" s="12" t="n">
        <x:f>'Покупки'!H72</x:f>
        <x:v>0.16816852847719738</x:v>
      </x:c>
      <x:c r="G654" s="14" t="str">
        <x:f>IF(I654="Есть цена",IF(AND(ISNUMBER(E654),E654&gt;0,F654&gt;0),E654/F654-1,NA()),"")</x:f>
      </x:c>
      <x:c r="H654" s="14" t="str">
        <x:f>IF(AND(I654="Есть цена",I648="Есть цена"),IF(AND(E654&gt;0,E648&gt;0),E654/E648-1,NA()),"")</x:f>
      </x:c>
      <x:c r="I654" s="2" t="str">
        <x:v>RPC: данные не загружены</x:v>
      </x:c>
      <x:c r="J654" s="2"/>
      <x:c r="K654" s="9"/>
      <x:c r="L654" s="2"/>
      <x:c r="M654" s="2"/>
      <x:c r="N654" s="2"/>
      <x:c r="O654" s="2"/>
      <x:c r="P654" s="2" t="str">
        <x:v>not_cached:getSignaturesForAddress:history/df649e85c86db7125b06123f</x:v>
      </x:c>
      <x:c r="Q654" s="2" t="str"/>
      <x:c r="R654" s="14" t="str">
        <x:f>IF(AND(C654="Нулевой остаток",I654="Есть цена"),G654,"")</x:f>
      </x:c>
      <x:c r="S654" s="14" t="str">
        <x:f>IF(AND(C654="Докупка",I654="Есть цена"),G654,"")</x:f>
      </x:c>
    </x:row>
    <x:row r="655" ht="21" customHeight="1">
      <x:c r="A655" s="2" t="n">
        <x:v>65</x:v>
      </x:c>
      <x:c r="B655" s="2" t="n">
        <x:v>3600</x:v>
      </x:c>
      <x:c r="C655" s="2" t="str">
        <x:f>'Покупки'!C72</x:f>
        <x:v>Докупка</x:v>
      </x:c>
      <x:c r="D655" s="9" t="n">
        <x:v>46281.68760416667</x:v>
      </x:c>
      <x:c r="E655" s="12"/>
      <x:c r="F655" s="12" t="n">
        <x:f>'Покупки'!H72</x:f>
        <x:v>0.16816852847719738</x:v>
      </x:c>
      <x:c r="G655" s="14" t="str">
        <x:f>IF(I655="Есть цена",IF(AND(ISNUMBER(E655),E655&gt;0,F655&gt;0),E655/F655-1,NA()),"")</x:f>
      </x:c>
      <x:c r="H655" s="14" t="str">
        <x:f>IF(AND(I655="Есть цена",I648="Есть цена"),IF(AND(E655&gt;0,E648&gt;0),E655/E648-1,NA()),"")</x:f>
      </x:c>
      <x:c r="I655" s="2" t="str">
        <x:v>RPC: данные не загружены</x:v>
      </x:c>
      <x:c r="J655" s="2"/>
      <x:c r="K655" s="9"/>
      <x:c r="L655" s="2"/>
      <x:c r="M655" s="2"/>
      <x:c r="N655" s="2"/>
      <x:c r="O655" s="2"/>
      <x:c r="P655" s="2" t="str">
        <x:v>not_cached:getSignaturesForAddress:history/b781757cff4060ebe84ee181</x:v>
      </x:c>
      <x:c r="Q655" s="2" t="str"/>
      <x:c r="R655" s="14" t="str">
        <x:f>IF(AND(C655="Нулевой остаток",I655="Есть цена"),G655,"")</x:f>
      </x:c>
      <x:c r="S655" s="14" t="str">
        <x:f>IF(AND(C655="Докупка",I655="Есть цена"),G655,"")</x:f>
      </x:c>
    </x:row>
    <x:row r="656" ht="21" customHeight="1">
      <x:c r="A656" s="2" t="n">
        <x:v>65</x:v>
      </x:c>
      <x:c r="B656" s="2" t="n">
        <x:v>21600</x:v>
      </x:c>
      <x:c r="C656" s="2" t="str">
        <x:f>'Покупки'!C72</x:f>
        <x:v>Докупка</x:v>
      </x:c>
      <x:c r="D656" s="9" t="n">
        <x:v>46281.8959375</x:v>
      </x:c>
      <x:c r="E656" s="12"/>
      <x:c r="F656" s="12" t="n">
        <x:f>'Покупки'!H72</x:f>
        <x:v>0.16816852847719738</x:v>
      </x:c>
      <x:c r="G656" s="14" t="str">
        <x:f>IF(I656="Есть цена",IF(AND(ISNUMBER(E656),E656&gt;0,F656&gt;0),E656/F656-1,NA()),"")</x:f>
      </x:c>
      <x:c r="H656" s="14" t="str">
        <x:f>IF(AND(I656="Есть цена",I648="Есть цена"),IF(AND(E656&gt;0,E648&gt;0),E656/E648-1,NA()),"")</x:f>
      </x:c>
      <x:c r="I656" s="2" t="str">
        <x:v>RPC: данные не загружены</x:v>
      </x:c>
      <x:c r="J656" s="2"/>
      <x:c r="K656" s="9"/>
      <x:c r="L656" s="2"/>
      <x:c r="M656" s="2"/>
      <x:c r="N656" s="2"/>
      <x:c r="O656" s="2"/>
      <x:c r="P656" s="2" t="str">
        <x:v>not_cached:getSignaturesForAddress:history/33194b737e782863dbac4cf5</x:v>
      </x:c>
      <x:c r="Q656" s="2" t="str"/>
      <x:c r="R656" s="14" t="str">
        <x:f>IF(AND(C656="Нулевой остаток",I656="Есть цена"),G656,"")</x:f>
      </x:c>
      <x:c r="S656" s="14" t="str">
        <x:f>IF(AND(C656="Докупка",I656="Есть цена"),G656,"")</x:f>
      </x:c>
    </x:row>
    <x:row r="657" ht="21" customHeight="1">
      <x:c r="A657" s="2" t="n">
        <x:v>65</x:v>
      </x:c>
      <x:c r="B657" s="2" t="n">
        <x:v>86400</x:v>
      </x:c>
      <x:c r="C657" s="2" t="str">
        <x:f>'Покупки'!C72</x:f>
        <x:v>Докупка</x:v>
      </x:c>
      <x:c r="D657" s="9" t="n">
        <x:v>46282.6459375</x:v>
      </x:c>
      <x:c r="E657" s="12"/>
      <x:c r="F657" s="12" t="n">
        <x:f>'Покупки'!H72</x:f>
        <x:v>0.16816852847719738</x:v>
      </x:c>
      <x:c r="G657" s="14" t="str">
        <x:f>IF(I657="Есть цена",IF(AND(ISNUMBER(E657),E657&gt;0,F657&gt;0),E657/F657-1,NA()),"")</x:f>
      </x:c>
      <x:c r="H657" s="14" t="str">
        <x:f>IF(AND(I657="Есть цена",I648="Есть цена"),IF(AND(E657&gt;0,E648&gt;0),E657/E648-1,NA()),"")</x:f>
      </x:c>
      <x:c r="I657" s="2" t="str">
        <x:v>RPC: данные не загружены</x:v>
      </x:c>
      <x:c r="J657" s="2"/>
      <x:c r="K657" s="9"/>
      <x:c r="L657" s="2"/>
      <x:c r="M657" s="2"/>
      <x:c r="N657" s="2"/>
      <x:c r="O657" s="2"/>
      <x:c r="P657" s="2" t="str">
        <x:v>not_cached:getSignaturesForAddress:history/ef74d0ae0bfc0210e42799c0</x:v>
      </x:c>
      <x:c r="Q657" s="2" t="str"/>
      <x:c r="R657" s="14" t="str">
        <x:f>IF(AND(C657="Нулевой остаток",I657="Есть цена"),G657,"")</x:f>
      </x:c>
      <x:c r="S657" s="14" t="str">
        <x:f>IF(AND(C657="Докупка",I657="Есть цена"),G657,"")</x:f>
      </x:c>
    </x:row>
    <x:row r="658" ht="21" customHeight="1">
      <x:c r="A658" s="2" t="n">
        <x:v>66</x:v>
      </x:c>
      <x:c r="B658" s="2" t="n">
        <x:v>5</x:v>
      </x:c>
      <x:c r="C658" s="2" t="str">
        <x:f>'Покупки'!C73</x:f>
        <x:v>Нулевой остаток</x:v>
      </x:c>
      <x:c r="D658" s="9" t="n">
        <x:v>46281.64488425926</x:v>
      </x:c>
      <x:c r="E658" s="12"/>
      <x:c r="F658" s="12" t="n">
        <x:f>'Покупки'!H73</x:f>
        <x:v>0.00013363791542524156</x:v>
      </x:c>
      <x:c r="G658" s="14" t="str">
        <x:f>IF(I658="Есть цена",IF(AND(ISNUMBER(E658),E658&gt;0,F658&gt;0),E658/F658-1,NA()),"")</x:f>
      </x:c>
      <x:c r="H658" s="14" t="str">
        <x:f>IF(AND(I658="Есть цена",I658="Есть цена"),IF(AND(E658&gt;0,E658&gt;0),E658/E658-1,NA()),"")</x:f>
      </x:c>
      <x:c r="I658" s="2" t="str">
        <x:v>RPC: данные не загружены</x:v>
      </x:c>
      <x:c r="J658" s="2"/>
      <x:c r="K658" s="9"/>
      <x:c r="L658" s="2"/>
      <x:c r="M658" s="2"/>
      <x:c r="N658" s="2"/>
      <x:c r="O658" s="2"/>
      <x:c r="P658" s="2" t="str">
        <x:v>not_cached:getSignaturesForAddress:history/73c3dbd14908d6b62051a236</x:v>
      </x:c>
      <x:c r="Q658" s="2" t="str"/>
      <x:c r="R658" s="14" t="str">
        <x:f>IF(AND(C658="Нулевой остаток",I658="Есть цена"),G658,"")</x:f>
      </x:c>
      <x:c r="S658" s="14" t="str">
        <x:f>IF(AND(C658="Докупка",I658="Есть цена"),G658,"")</x:f>
      </x:c>
    </x:row>
    <x:row r="659" ht="21" customHeight="1">
      <x:c r="A659" s="2" t="n">
        <x:v>66</x:v>
      </x:c>
      <x:c r="B659" s="2" t="n">
        <x:v>15</x:v>
      </x:c>
      <x:c r="C659" s="2" t="str">
        <x:f>'Покупки'!C73</x:f>
        <x:v>Нулевой остаток</x:v>
      </x:c>
      <x:c r="D659" s="9" t="n">
        <x:v>46281.645</x:v>
      </x:c>
      <x:c r="E659" s="12"/>
      <x:c r="F659" s="12" t="n">
        <x:f>'Покупки'!H73</x:f>
        <x:v>0.00013363791542524156</x:v>
      </x:c>
      <x:c r="G659" s="14" t="str">
        <x:f>IF(I659="Есть цена",IF(AND(ISNUMBER(E659),E659&gt;0,F659&gt;0),E659/F659-1,NA()),"")</x:f>
      </x:c>
      <x:c r="H659" s="14" t="str">
        <x:f>IF(AND(I659="Есть цена",I658="Есть цена"),IF(AND(E659&gt;0,E658&gt;0),E659/E658-1,NA()),"")</x:f>
      </x:c>
      <x:c r="I659" s="2" t="str">
        <x:v>RPC: данные не загружены</x:v>
      </x:c>
      <x:c r="J659" s="2"/>
      <x:c r="K659" s="9"/>
      <x:c r="L659" s="2"/>
      <x:c r="M659" s="2"/>
      <x:c r="N659" s="2"/>
      <x:c r="O659" s="2"/>
      <x:c r="P659" s="2" t="str">
        <x:v>not_cached:getSignaturesForAddress:history/73c3dbd14908d6b62051a236</x:v>
      </x:c>
      <x:c r="Q659" s="2" t="str"/>
      <x:c r="R659" s="14" t="str">
        <x:f>IF(AND(C659="Нулевой остаток",I659="Есть цена"),G659,"")</x:f>
      </x:c>
      <x:c r="S659" s="14" t="str">
        <x:f>IF(AND(C659="Докупка",I659="Есть цена"),G659,"")</x:f>
      </x:c>
    </x:row>
    <x:row r="660" ht="21" customHeight="1">
      <x:c r="A660" s="2" t="n">
        <x:v>66</x:v>
      </x:c>
      <x:c r="B660" s="2" t="n">
        <x:v>30</x:v>
      </x:c>
      <x:c r="C660" s="2" t="str">
        <x:f>'Покупки'!C73</x:f>
        <x:v>Нулевой остаток</x:v>
      </x:c>
      <x:c r="D660" s="9" t="n">
        <x:v>46281.64517361111</x:v>
      </x:c>
      <x:c r="E660" s="12"/>
      <x:c r="F660" s="12" t="n">
        <x:f>'Покупки'!H73</x:f>
        <x:v>0.00013363791542524156</x:v>
      </x:c>
      <x:c r="G660" s="14" t="str">
        <x:f>IF(I660="Есть цена",IF(AND(ISNUMBER(E660),E660&gt;0,F660&gt;0),E660/F660-1,NA()),"")</x:f>
      </x:c>
      <x:c r="H660" s="14" t="str">
        <x:f>IF(AND(I660="Есть цена",I658="Есть цена"),IF(AND(E660&gt;0,E658&gt;0),E660/E658-1,NA()),"")</x:f>
      </x:c>
      <x:c r="I660" s="2" t="str">
        <x:v>RPC: данные не загружены</x:v>
      </x:c>
      <x:c r="J660" s="2"/>
      <x:c r="K660" s="9"/>
      <x:c r="L660" s="2"/>
      <x:c r="M660" s="2"/>
      <x:c r="N660" s="2"/>
      <x:c r="O660" s="2"/>
      <x:c r="P660" s="2" t="str">
        <x:v>not_cached:getSignaturesForAddress:history/73c3dbd14908d6b62051a236</x:v>
      </x:c>
      <x:c r="Q660" s="2" t="str"/>
      <x:c r="R660" s="14" t="str">
        <x:f>IF(AND(C660="Нулевой остаток",I660="Есть цена"),G660,"")</x:f>
      </x:c>
      <x:c r="S660" s="14" t="str">
        <x:f>IF(AND(C660="Докупка",I660="Есть цена"),G660,"")</x:f>
      </x:c>
    </x:row>
    <x:row r="661" ht="21" customHeight="1">
      <x:c r="A661" s="2" t="n">
        <x:v>66</x:v>
      </x:c>
      <x:c r="B661" s="2" t="n">
        <x:v>60</x:v>
      </x:c>
      <x:c r="C661" s="2" t="str">
        <x:f>'Покупки'!C73</x:f>
        <x:v>Нулевой остаток</x:v>
      </x:c>
      <x:c r="D661" s="9" t="n">
        <x:v>46281.645520833335</x:v>
      </x:c>
      <x:c r="E661" s="12"/>
      <x:c r="F661" s="12" t="n">
        <x:f>'Покупки'!H73</x:f>
        <x:v>0.00013363791542524156</x:v>
      </x:c>
      <x:c r="G661" s="14" t="str">
        <x:f>IF(I661="Есть цена",IF(AND(ISNUMBER(E661),E661&gt;0,F661&gt;0),E661/F661-1,NA()),"")</x:f>
      </x:c>
      <x:c r="H661" s="14" t="str">
        <x:f>IF(AND(I661="Есть цена",I658="Есть цена"),IF(AND(E661&gt;0,E658&gt;0),E661/E658-1,NA()),"")</x:f>
      </x:c>
      <x:c r="I661" s="2" t="str">
        <x:v>RPC: данные не загружены</x:v>
      </x:c>
      <x:c r="J661" s="2"/>
      <x:c r="K661" s="9"/>
      <x:c r="L661" s="2"/>
      <x:c r="M661" s="2"/>
      <x:c r="N661" s="2"/>
      <x:c r="O661" s="2"/>
      <x:c r="P661" s="2" t="str">
        <x:v>not_cached:getSignaturesForAddress:history/38ef2f22e218f4f46d1d8d9f</x:v>
      </x:c>
      <x:c r="Q661" s="2" t="str"/>
      <x:c r="R661" s="14" t="str">
        <x:f>IF(AND(C661="Нулевой остаток",I661="Есть цена"),G661,"")</x:f>
      </x:c>
      <x:c r="S661" s="14" t="str">
        <x:f>IF(AND(C661="Докупка",I661="Есть цена"),G661,"")</x:f>
      </x:c>
    </x:row>
    <x:row r="662" ht="21" customHeight="1">
      <x:c r="A662" s="2" t="n">
        <x:v>66</x:v>
      </x:c>
      <x:c r="B662" s="2" t="n">
        <x:v>180</x:v>
      </x:c>
      <x:c r="C662" s="2" t="str">
        <x:f>'Покупки'!C73</x:f>
        <x:v>Нулевой остаток</x:v>
      </x:c>
      <x:c r="D662" s="9" t="n">
        <x:v>46281.64690972222</x:v>
      </x:c>
      <x:c r="E662" s="12"/>
      <x:c r="F662" s="12" t="n">
        <x:f>'Покупки'!H73</x:f>
        <x:v>0.00013363791542524156</x:v>
      </x:c>
      <x:c r="G662" s="14" t="str">
        <x:f>IF(I662="Есть цена",IF(AND(ISNUMBER(E662),E662&gt;0,F662&gt;0),E662/F662-1,NA()),"")</x:f>
      </x:c>
      <x:c r="H662" s="14" t="str">
        <x:f>IF(AND(I662="Есть цена",I658="Есть цена"),IF(AND(E662&gt;0,E658&gt;0),E662/E658-1,NA()),"")</x:f>
      </x:c>
      <x:c r="I662" s="2" t="str">
        <x:v>RPC: данные не загружены</x:v>
      </x:c>
      <x:c r="J662" s="2"/>
      <x:c r="K662" s="9"/>
      <x:c r="L662" s="2"/>
      <x:c r="M662" s="2"/>
      <x:c r="N662" s="2"/>
      <x:c r="O662" s="2"/>
      <x:c r="P662" s="2" t="str">
        <x:v>not_cached:getSignaturesForAddress:history/a4b60c4aa4aaa80b520490cd</x:v>
      </x:c>
      <x:c r="Q662" s="2" t="str"/>
      <x:c r="R662" s="14" t="str">
        <x:f>IF(AND(C662="Нулевой остаток",I662="Есть цена"),G662,"")</x:f>
      </x:c>
      <x:c r="S662" s="14" t="str">
        <x:f>IF(AND(C662="Докупка",I662="Есть цена"),G662,"")</x:f>
      </x:c>
    </x:row>
    <x:row r="663" ht="21" customHeight="1">
      <x:c r="A663" s="2" t="n">
        <x:v>66</x:v>
      </x:c>
      <x:c r="B663" s="2" t="n">
        <x:v>300</x:v>
      </x:c>
      <x:c r="C663" s="2" t="str">
        <x:f>'Покупки'!C73</x:f>
        <x:v>Нулевой остаток</x:v>
      </x:c>
      <x:c r="D663" s="9" t="n">
        <x:v>46281.64829861111</x:v>
      </x:c>
      <x:c r="E663" s="12"/>
      <x:c r="F663" s="12" t="n">
        <x:f>'Покупки'!H73</x:f>
        <x:v>0.00013363791542524156</x:v>
      </x:c>
      <x:c r="G663" s="14" t="str">
        <x:f>IF(I663="Есть цена",IF(AND(ISNUMBER(E663),E663&gt;0,F663&gt;0),E663/F663-1,NA()),"")</x:f>
      </x:c>
      <x:c r="H663" s="14" t="str">
        <x:f>IF(AND(I663="Есть цена",I658="Есть цена"),IF(AND(E663&gt;0,E658&gt;0),E663/E658-1,NA()),"")</x:f>
      </x:c>
      <x:c r="I663" s="2" t="str">
        <x:v>RPC: данные не загружены</x:v>
      </x:c>
      <x:c r="J663" s="2"/>
      <x:c r="K663" s="9"/>
      <x:c r="L663" s="2"/>
      <x:c r="M663" s="2"/>
      <x:c r="N663" s="2"/>
      <x:c r="O663" s="2"/>
      <x:c r="P663" s="2" t="str">
        <x:v>not_cached:getSignaturesForAddress:history/40bc63de6bef73def279f367</x:v>
      </x:c>
      <x:c r="Q663" s="2" t="str"/>
      <x:c r="R663" s="14" t="str">
        <x:f>IF(AND(C663="Нулевой остаток",I663="Есть цена"),G663,"")</x:f>
      </x:c>
      <x:c r="S663" s="14" t="str">
        <x:f>IF(AND(C663="Докупка",I663="Есть цена"),G663,"")</x:f>
      </x:c>
    </x:row>
    <x:row r="664" ht="21" customHeight="1">
      <x:c r="A664" s="2" t="n">
        <x:v>66</x:v>
      </x:c>
      <x:c r="B664" s="2" t="n">
        <x:v>900</x:v>
      </x:c>
      <x:c r="C664" s="2" t="str">
        <x:f>'Покупки'!C73</x:f>
        <x:v>Нулевой остаток</x:v>
      </x:c>
      <x:c r="D664" s="9" t="n">
        <x:v>46281.65524305555</x:v>
      </x:c>
      <x:c r="E664" s="12"/>
      <x:c r="F664" s="12" t="n">
        <x:f>'Покупки'!H73</x:f>
        <x:v>0.00013363791542524156</x:v>
      </x:c>
      <x:c r="G664" s="14" t="str">
        <x:f>IF(I664="Есть цена",IF(AND(ISNUMBER(E664),E664&gt;0,F664&gt;0),E664/F664-1,NA()),"")</x:f>
      </x:c>
      <x:c r="H664" s="14" t="str">
        <x:f>IF(AND(I664="Есть цена",I658="Есть цена"),IF(AND(E664&gt;0,E658&gt;0),E664/E658-1,NA()),"")</x:f>
      </x:c>
      <x:c r="I664" s="2" t="str">
        <x:v>RPC: данные не загружены</x:v>
      </x:c>
      <x:c r="J664" s="2"/>
      <x:c r="K664" s="9"/>
      <x:c r="L664" s="2"/>
      <x:c r="M664" s="2"/>
      <x:c r="N664" s="2"/>
      <x:c r="O664" s="2"/>
      <x:c r="P664" s="2" t="str">
        <x:v>not_cached:getSignaturesForAddress:history/72a7ada795310f85b817e339</x:v>
      </x:c>
      <x:c r="Q664" s="2" t="str"/>
      <x:c r="R664" s="14" t="str">
        <x:f>IF(AND(C664="Нулевой остаток",I664="Есть цена"),G664,"")</x:f>
      </x:c>
      <x:c r="S664" s="14" t="str">
        <x:f>IF(AND(C664="Докупка",I664="Есть цена"),G664,"")</x:f>
      </x:c>
    </x:row>
    <x:row r="665" ht="21" customHeight="1">
      <x:c r="A665" s="2" t="n">
        <x:v>66</x:v>
      </x:c>
      <x:c r="B665" s="2" t="n">
        <x:v>3600</x:v>
      </x:c>
      <x:c r="C665" s="2" t="str">
        <x:f>'Покупки'!C73</x:f>
        <x:v>Нулевой остаток</x:v>
      </x:c>
      <x:c r="D665" s="9" t="n">
        <x:v>46281.68649305555</x:v>
      </x:c>
      <x:c r="E665" s="12"/>
      <x:c r="F665" s="12" t="n">
        <x:f>'Покупки'!H73</x:f>
        <x:v>0.00013363791542524156</x:v>
      </x:c>
      <x:c r="G665" s="14" t="str">
        <x:f>IF(I665="Есть цена",IF(AND(ISNUMBER(E665),E665&gt;0,F665&gt;0),E665/F665-1,NA()),"")</x:f>
      </x:c>
      <x:c r="H665" s="14" t="str">
        <x:f>IF(AND(I665="Есть цена",I658="Есть цена"),IF(AND(E665&gt;0,E658&gt;0),E665/E658-1,NA()),"")</x:f>
      </x:c>
      <x:c r="I665" s="2" t="str">
        <x:v>RPC: данные не загружены</x:v>
      </x:c>
      <x:c r="J665" s="2"/>
      <x:c r="K665" s="9"/>
      <x:c r="L665" s="2"/>
      <x:c r="M665" s="2"/>
      <x:c r="N665" s="2"/>
      <x:c r="O665" s="2"/>
      <x:c r="P665" s="2" t="str">
        <x:v>not_cached:getSignaturesForAddress:history/f7e095bd1cab202f3c6ec0c9</x:v>
      </x:c>
      <x:c r="Q665" s="2" t="str"/>
      <x:c r="R665" s="14" t="str">
        <x:f>IF(AND(C665="Нулевой остаток",I665="Есть цена"),G665,"")</x:f>
      </x:c>
      <x:c r="S665" s="14" t="str">
        <x:f>IF(AND(C665="Докупка",I665="Есть цена"),G665,"")</x:f>
      </x:c>
    </x:row>
    <x:row r="666" ht="21" customHeight="1">
      <x:c r="A666" s="2" t="n">
        <x:v>66</x:v>
      </x:c>
      <x:c r="B666" s="2" t="n">
        <x:v>21600</x:v>
      </x:c>
      <x:c r="C666" s="2" t="str">
        <x:f>'Покупки'!C73</x:f>
        <x:v>Нулевой остаток</x:v>
      </x:c>
      <x:c r="D666" s="9" t="n">
        <x:v>46281.89482638889</x:v>
      </x:c>
      <x:c r="E666" s="12"/>
      <x:c r="F666" s="12" t="n">
        <x:f>'Покупки'!H73</x:f>
        <x:v>0.00013363791542524156</x:v>
      </x:c>
      <x:c r="G666" s="14" t="str">
        <x:f>IF(I666="Есть цена",IF(AND(ISNUMBER(E666),E666&gt;0,F666&gt;0),E666/F666-1,NA()),"")</x:f>
      </x:c>
      <x:c r="H666" s="14" t="str">
        <x:f>IF(AND(I666="Есть цена",I658="Есть цена"),IF(AND(E666&gt;0,E658&gt;0),E666/E658-1,NA()),"")</x:f>
      </x:c>
      <x:c r="I666" s="2" t="str">
        <x:v>RPC: данные не загружены</x:v>
      </x:c>
      <x:c r="J666" s="2"/>
      <x:c r="K666" s="9"/>
      <x:c r="L666" s="2"/>
      <x:c r="M666" s="2"/>
      <x:c r="N666" s="2"/>
      <x:c r="O666" s="2"/>
      <x:c r="P666" s="2" t="str">
        <x:v>not_cached:getSignaturesForAddress:history/5dcc858653f64bf33c1599d5</x:v>
      </x:c>
      <x:c r="Q666" s="2" t="str"/>
      <x:c r="R666" s="14" t="str">
        <x:f>IF(AND(C666="Нулевой остаток",I666="Есть цена"),G666,"")</x:f>
      </x:c>
      <x:c r="S666" s="14" t="str">
        <x:f>IF(AND(C666="Докупка",I666="Есть цена"),G666,"")</x:f>
      </x:c>
    </x:row>
    <x:row r="667" ht="21" customHeight="1">
      <x:c r="A667" s="2" t="n">
        <x:v>66</x:v>
      </x:c>
      <x:c r="B667" s="2" t="n">
        <x:v>86400</x:v>
      </x:c>
      <x:c r="C667" s="2" t="str">
        <x:f>'Покупки'!C73</x:f>
        <x:v>Нулевой остаток</x:v>
      </x:c>
      <x:c r="D667" s="9" t="n">
        <x:v>46282.64482638889</x:v>
      </x:c>
      <x:c r="E667" s="12"/>
      <x:c r="F667" s="12" t="n">
        <x:f>'Покупки'!H73</x:f>
        <x:v>0.00013363791542524156</x:v>
      </x:c>
      <x:c r="G667" s="14" t="str">
        <x:f>IF(I667="Есть цена",IF(AND(ISNUMBER(E667),E667&gt;0,F667&gt;0),E667/F667-1,NA()),"")</x:f>
      </x:c>
      <x:c r="H667" s="14" t="str">
        <x:f>IF(AND(I667="Есть цена",I658="Есть цена"),IF(AND(E667&gt;0,E658&gt;0),E667/E658-1,NA()),"")</x:f>
      </x:c>
      <x:c r="I667" s="2" t="str">
        <x:v>RPC: данные не загружены</x:v>
      </x:c>
      <x:c r="J667" s="2"/>
      <x:c r="K667" s="9"/>
      <x:c r="L667" s="2"/>
      <x:c r="M667" s="2"/>
      <x:c r="N667" s="2"/>
      <x:c r="O667" s="2"/>
      <x:c r="P667" s="2" t="str">
        <x:v>not_cached:getSignaturesForAddress:history/e362d7fb2b6792c559128c54</x:v>
      </x:c>
      <x:c r="Q667" s="2" t="str"/>
      <x:c r="R667" s="14" t="str">
        <x:f>IF(AND(C667="Нулевой остаток",I667="Есть цена"),G667,"")</x:f>
      </x:c>
      <x:c r="S667" s="14" t="str">
        <x:f>IF(AND(C667="Докупка",I667="Есть цена"),G667,"")</x:f>
      </x:c>
    </x:row>
    <x:row r="668" ht="21" customHeight="1">
      <x:c r="A668" s="2" t="n">
        <x:v>67</x:v>
      </x:c>
      <x:c r="B668" s="2" t="n">
        <x:v>5</x:v>
      </x:c>
      <x:c r="C668" s="2" t="str">
        <x:f>'Покупки'!C74</x:f>
        <x:v>Докупка</x:v>
      </x:c>
      <x:c r="D668" s="9" t="n">
        <x:v>46281.639861111114</x:v>
      </x:c>
      <x:c r="E668" s="12"/>
      <x:c r="F668" s="12" t="n">
        <x:f>'Покупки'!H74</x:f>
        <x:v>0.16723201052688172</x:v>
      </x:c>
      <x:c r="G668" s="14" t="str">
        <x:f>IF(I668="Есть цена",IF(AND(ISNUMBER(E668),E668&gt;0,F668&gt;0),E668/F668-1,NA()),"")</x:f>
      </x:c>
      <x:c r="H668" s="14" t="str">
        <x:f>IF(AND(I668="Есть цена",I668="Есть цена"),IF(AND(E668&gt;0,E668&gt;0),E668/E668-1,NA()),"")</x:f>
      </x:c>
      <x:c r="I668" s="2" t="str">
        <x:v>RPC: данные не загружены</x:v>
      </x:c>
      <x:c r="J668" s="2"/>
      <x:c r="K668" s="9"/>
      <x:c r="L668" s="2"/>
      <x:c r="M668" s="2"/>
      <x:c r="N668" s="2"/>
      <x:c r="O668" s="2"/>
      <x:c r="P668" s="2" t="str">
        <x:v>not_cached:getSignaturesForAddress:history/90490dfc92159c109123ad3b</x:v>
      </x:c>
      <x:c r="Q668" s="2" t="str"/>
      <x:c r="R668" s="14" t="str">
        <x:f>IF(AND(C668="Нулевой остаток",I668="Есть цена"),G668,"")</x:f>
      </x:c>
      <x:c r="S668" s="14" t="str">
        <x:f>IF(AND(C668="Докупка",I668="Есть цена"),G668,"")</x:f>
      </x:c>
    </x:row>
    <x:row r="669" ht="21" customHeight="1">
      <x:c r="A669" s="2" t="n">
        <x:v>67</x:v>
      </x:c>
      <x:c r="B669" s="2" t="n">
        <x:v>15</x:v>
      </x:c>
      <x:c r="C669" s="2" t="str">
        <x:f>'Покупки'!C74</x:f>
        <x:v>Докупка</x:v>
      </x:c>
      <x:c r="D669" s="9" t="n">
        <x:v>46281.63997685185</x:v>
      </x:c>
      <x:c r="E669" s="12"/>
      <x:c r="F669" s="12" t="n">
        <x:f>'Покупки'!H74</x:f>
        <x:v>0.16723201052688172</x:v>
      </x:c>
      <x:c r="G669" s="14" t="str">
        <x:f>IF(I669="Есть цена",IF(AND(ISNUMBER(E669),E669&gt;0,F669&gt;0),E669/F669-1,NA()),"")</x:f>
      </x:c>
      <x:c r="H669" s="14" t="str">
        <x:f>IF(AND(I669="Есть цена",I668="Есть цена"),IF(AND(E669&gt;0,E668&gt;0),E669/E668-1,NA()),"")</x:f>
      </x:c>
      <x:c r="I669" s="2" t="str">
        <x:v>RPC: данные не загружены</x:v>
      </x:c>
      <x:c r="J669" s="2"/>
      <x:c r="K669" s="9"/>
      <x:c r="L669" s="2"/>
      <x:c r="M669" s="2"/>
      <x:c r="N669" s="2"/>
      <x:c r="O669" s="2"/>
      <x:c r="P669" s="2" t="str">
        <x:v>not_cached:getSignaturesForAddress:history/90490dfc92159c109123ad3b</x:v>
      </x:c>
      <x:c r="Q669" s="2" t="str"/>
      <x:c r="R669" s="14" t="str">
        <x:f>IF(AND(C669="Нулевой остаток",I669="Есть цена"),G669,"")</x:f>
      </x:c>
      <x:c r="S669" s="14" t="str">
        <x:f>IF(AND(C669="Докупка",I669="Есть цена"),G669,"")</x:f>
      </x:c>
    </x:row>
    <x:row r="670" ht="21" customHeight="1">
      <x:c r="A670" s="2" t="n">
        <x:v>67</x:v>
      </x:c>
      <x:c r="B670" s="2" t="n">
        <x:v>30</x:v>
      </x:c>
      <x:c r="C670" s="2" t="str">
        <x:f>'Покупки'!C74</x:f>
        <x:v>Докупка</x:v>
      </x:c>
      <x:c r="D670" s="9" t="n">
        <x:v>46281.64015046296</x:v>
      </x:c>
      <x:c r="E670" s="12"/>
      <x:c r="F670" s="12" t="n">
        <x:f>'Покупки'!H74</x:f>
        <x:v>0.16723201052688172</x:v>
      </x:c>
      <x:c r="G670" s="14" t="str">
        <x:f>IF(I670="Есть цена",IF(AND(ISNUMBER(E670),E670&gt;0,F670&gt;0),E670/F670-1,NA()),"")</x:f>
      </x:c>
      <x:c r="H670" s="14" t="str">
        <x:f>IF(AND(I670="Есть цена",I668="Есть цена"),IF(AND(E670&gt;0,E668&gt;0),E670/E668-1,NA()),"")</x:f>
      </x:c>
      <x:c r="I670" s="2" t="str">
        <x:v>RPC: данные не загружены</x:v>
      </x:c>
      <x:c r="J670" s="2"/>
      <x:c r="K670" s="9"/>
      <x:c r="L670" s="2"/>
      <x:c r="M670" s="2"/>
      <x:c r="N670" s="2"/>
      <x:c r="O670" s="2"/>
      <x:c r="P670" s="2" t="str">
        <x:v>not_cached:getSignaturesForAddress:history/90490dfc92159c109123ad3b</x:v>
      </x:c>
      <x:c r="Q670" s="2" t="str"/>
      <x:c r="R670" s="14" t="str">
        <x:f>IF(AND(C670="Нулевой остаток",I670="Есть цена"),G670,"")</x:f>
      </x:c>
      <x:c r="S670" s="14" t="str">
        <x:f>IF(AND(C670="Докупка",I670="Есть цена"),G670,"")</x:f>
      </x:c>
    </x:row>
    <x:row r="671" ht="21" customHeight="1">
      <x:c r="A671" s="2" t="n">
        <x:v>67</x:v>
      </x:c>
      <x:c r="B671" s="2" t="n">
        <x:v>60</x:v>
      </x:c>
      <x:c r="C671" s="2" t="str">
        <x:f>'Покупки'!C74</x:f>
        <x:v>Докупка</x:v>
      </x:c>
      <x:c r="D671" s="9" t="n">
        <x:v>46281.640497685185</x:v>
      </x:c>
      <x:c r="E671" s="12"/>
      <x:c r="F671" s="12" t="n">
        <x:f>'Покупки'!H74</x:f>
        <x:v>0.16723201052688172</x:v>
      </x:c>
      <x:c r="G671" s="14" t="str">
        <x:f>IF(I671="Есть цена",IF(AND(ISNUMBER(E671),E671&gt;0,F671&gt;0),E671/F671-1,NA()),"")</x:f>
      </x:c>
      <x:c r="H671" s="14" t="str">
        <x:f>IF(AND(I671="Есть цена",I668="Есть цена"),IF(AND(E671&gt;0,E668&gt;0),E671/E668-1,NA()),"")</x:f>
      </x:c>
      <x:c r="I671" s="2" t="str">
        <x:v>RPC: данные не загружены</x:v>
      </x:c>
      <x:c r="J671" s="2"/>
      <x:c r="K671" s="9"/>
      <x:c r="L671" s="2"/>
      <x:c r="M671" s="2"/>
      <x:c r="N671" s="2"/>
      <x:c r="O671" s="2"/>
      <x:c r="P671" s="2" t="str">
        <x:v>not_cached:getSignaturesForAddress:history/90490dfc92159c109123ad3b</x:v>
      </x:c>
      <x:c r="Q671" s="2" t="str"/>
      <x:c r="R671" s="14" t="str">
        <x:f>IF(AND(C671="Нулевой остаток",I671="Есть цена"),G671,"")</x:f>
      </x:c>
      <x:c r="S671" s="14" t="str">
        <x:f>IF(AND(C671="Докупка",I671="Есть цена"),G671,"")</x:f>
      </x:c>
    </x:row>
    <x:row r="672" ht="21" customHeight="1">
      <x:c r="A672" s="2" t="n">
        <x:v>67</x:v>
      </x:c>
      <x:c r="B672" s="2" t="n">
        <x:v>180</x:v>
      </x:c>
      <x:c r="C672" s="2" t="str">
        <x:f>'Покупки'!C74</x:f>
        <x:v>Докупка</x:v>
      </x:c>
      <x:c r="D672" s="9" t="n">
        <x:v>46281.64188657407</x:v>
      </x:c>
      <x:c r="E672" s="12"/>
      <x:c r="F672" s="12" t="n">
        <x:f>'Покупки'!H74</x:f>
        <x:v>0.16723201052688172</x:v>
      </x:c>
      <x:c r="G672" s="14" t="str">
        <x:f>IF(I672="Есть цена",IF(AND(ISNUMBER(E672),E672&gt;0,F672&gt;0),E672/F672-1,NA()),"")</x:f>
      </x:c>
      <x:c r="H672" s="14" t="str">
        <x:f>IF(AND(I672="Есть цена",I668="Есть цена"),IF(AND(E672&gt;0,E668&gt;0),E672/E668-1,NA()),"")</x:f>
      </x:c>
      <x:c r="I672" s="2" t="str">
        <x:v>RPC: данные не загружены</x:v>
      </x:c>
      <x:c r="J672" s="2"/>
      <x:c r="K672" s="9"/>
      <x:c r="L672" s="2"/>
      <x:c r="M672" s="2"/>
      <x:c r="N672" s="2"/>
      <x:c r="O672" s="2"/>
      <x:c r="P672" s="2" t="str">
        <x:v>not_cached:getSignaturesForAddress:history/90490dfc92159c109123ad3b</x:v>
      </x:c>
      <x:c r="Q672" s="2" t="str"/>
      <x:c r="R672" s="14" t="str">
        <x:f>IF(AND(C672="Нулевой остаток",I672="Есть цена"),G672,"")</x:f>
      </x:c>
      <x:c r="S672" s="14" t="str">
        <x:f>IF(AND(C672="Докупка",I672="Есть цена"),G672,"")</x:f>
      </x:c>
    </x:row>
    <x:row r="673" ht="21" customHeight="1">
      <x:c r="A673" s="2" t="n">
        <x:v>67</x:v>
      </x:c>
      <x:c r="B673" s="2" t="n">
        <x:v>300</x:v>
      </x:c>
      <x:c r="C673" s="2" t="str">
        <x:f>'Покупки'!C74</x:f>
        <x:v>Докупка</x:v>
      </x:c>
      <x:c r="D673" s="9" t="n">
        <x:v>46281.643275462964</x:v>
      </x:c>
      <x:c r="E673" s="12"/>
      <x:c r="F673" s="12" t="n">
        <x:f>'Покупки'!H74</x:f>
        <x:v>0.16723201052688172</x:v>
      </x:c>
      <x:c r="G673" s="14" t="str">
        <x:f>IF(I673="Есть цена",IF(AND(ISNUMBER(E673),E673&gt;0,F673&gt;0),E673/F673-1,NA()),"")</x:f>
      </x:c>
      <x:c r="H673" s="14" t="str">
        <x:f>IF(AND(I673="Есть цена",I668="Есть цена"),IF(AND(E673&gt;0,E668&gt;0),E673/E668-1,NA()),"")</x:f>
      </x:c>
      <x:c r="I673" s="2" t="str">
        <x:v>RPC: данные не загружены</x:v>
      </x:c>
      <x:c r="J673" s="2"/>
      <x:c r="K673" s="9"/>
      <x:c r="L673" s="2"/>
      <x:c r="M673" s="2"/>
      <x:c r="N673" s="2"/>
      <x:c r="O673" s="2"/>
      <x:c r="P673" s="2" t="str">
        <x:v>not_cached:getSignaturesForAddress:history/d17ea489f6fcd72c2abd3c70</x:v>
      </x:c>
      <x:c r="Q673" s="2" t="str"/>
      <x:c r="R673" s="14" t="str">
        <x:f>IF(AND(C673="Нулевой остаток",I673="Есть цена"),G673,"")</x:f>
      </x:c>
      <x:c r="S673" s="14" t="str">
        <x:f>IF(AND(C673="Докупка",I673="Есть цена"),G673,"")</x:f>
      </x:c>
    </x:row>
    <x:row r="674" ht="21" customHeight="1">
      <x:c r="A674" s="2" t="n">
        <x:v>67</x:v>
      </x:c>
      <x:c r="B674" s="2" t="n">
        <x:v>900</x:v>
      </x:c>
      <x:c r="C674" s="2" t="str">
        <x:f>'Покупки'!C74</x:f>
        <x:v>Докупка</x:v>
      </x:c>
      <x:c r="D674" s="9" t="n">
        <x:v>46281.65021990741</x:v>
      </x:c>
      <x:c r="E674" s="12"/>
      <x:c r="F674" s="12" t="n">
        <x:f>'Покупки'!H74</x:f>
        <x:v>0.16723201052688172</x:v>
      </x:c>
      <x:c r="G674" s="14" t="str">
        <x:f>IF(I674="Есть цена",IF(AND(ISNUMBER(E674),E674&gt;0,F674&gt;0),E674/F674-1,NA()),"")</x:f>
      </x:c>
      <x:c r="H674" s="14" t="str">
        <x:f>IF(AND(I674="Есть цена",I668="Есть цена"),IF(AND(E674&gt;0,E668&gt;0),E674/E668-1,NA()),"")</x:f>
      </x:c>
      <x:c r="I674" s="2" t="str">
        <x:v>RPC: данные не загружены</x:v>
      </x:c>
      <x:c r="J674" s="2"/>
      <x:c r="K674" s="9"/>
      <x:c r="L674" s="2"/>
      <x:c r="M674" s="2"/>
      <x:c r="N674" s="2"/>
      <x:c r="O674" s="2"/>
      <x:c r="P674" s="2" t="str">
        <x:v>not_cached:getSignaturesForAddress:history/0c11148697c2713722a698e1</x:v>
      </x:c>
      <x:c r="Q674" s="2" t="str"/>
      <x:c r="R674" s="14" t="str">
        <x:f>IF(AND(C674="Нулевой остаток",I674="Есть цена"),G674,"")</x:f>
      </x:c>
      <x:c r="S674" s="14" t="str">
        <x:f>IF(AND(C674="Докупка",I674="Есть цена"),G674,"")</x:f>
      </x:c>
    </x:row>
    <x:row r="675" ht="21" customHeight="1">
      <x:c r="A675" s="2" t="n">
        <x:v>67</x:v>
      </x:c>
      <x:c r="B675" s="2" t="n">
        <x:v>3600</x:v>
      </x:c>
      <x:c r="C675" s="2" t="str">
        <x:f>'Покупки'!C74</x:f>
        <x:v>Докупка</x:v>
      </x:c>
      <x:c r="D675" s="9" t="n">
        <x:v>46281.68146990741</x:v>
      </x:c>
      <x:c r="E675" s="12"/>
      <x:c r="F675" s="12" t="n">
        <x:f>'Покупки'!H74</x:f>
        <x:v>0.16723201052688172</x:v>
      </x:c>
      <x:c r="G675" s="14" t="str">
        <x:f>IF(I675="Есть цена",IF(AND(ISNUMBER(E675),E675&gt;0,F675&gt;0),E675/F675-1,NA()),"")</x:f>
      </x:c>
      <x:c r="H675" s="14" t="str">
        <x:f>IF(AND(I675="Есть цена",I668="Есть цена"),IF(AND(E675&gt;0,E668&gt;0),E675/E668-1,NA()),"")</x:f>
      </x:c>
      <x:c r="I675" s="2" t="str">
        <x:v>RPC: данные не загружены</x:v>
      </x:c>
      <x:c r="J675" s="2"/>
      <x:c r="K675" s="9"/>
      <x:c r="L675" s="2"/>
      <x:c r="M675" s="2"/>
      <x:c r="N675" s="2"/>
      <x:c r="O675" s="2"/>
      <x:c r="P675" s="2" t="str">
        <x:v>not_cached:getSignaturesForAddress:history/4402b37f82e467c03c23f832</x:v>
      </x:c>
      <x:c r="Q675" s="2" t="str"/>
      <x:c r="R675" s="14" t="str">
        <x:f>IF(AND(C675="Нулевой остаток",I675="Есть цена"),G675,"")</x:f>
      </x:c>
      <x:c r="S675" s="14" t="str">
        <x:f>IF(AND(C675="Докупка",I675="Есть цена"),G675,"")</x:f>
      </x:c>
    </x:row>
    <x:row r="676" ht="21" customHeight="1">
      <x:c r="A676" s="2" t="n">
        <x:v>67</x:v>
      </x:c>
      <x:c r="B676" s="2" t="n">
        <x:v>21600</x:v>
      </x:c>
      <x:c r="C676" s="2" t="str">
        <x:f>'Покупки'!C74</x:f>
        <x:v>Докупка</x:v>
      </x:c>
      <x:c r="D676" s="9" t="n">
        <x:v>46281.88980324074</x:v>
      </x:c>
      <x:c r="E676" s="12"/>
      <x:c r="F676" s="12" t="n">
        <x:f>'Покупки'!H74</x:f>
        <x:v>0.16723201052688172</x:v>
      </x:c>
      <x:c r="G676" s="14" t="str">
        <x:f>IF(I676="Есть цена",IF(AND(ISNUMBER(E676),E676&gt;0,F676&gt;0),E676/F676-1,NA()),"")</x:f>
      </x:c>
      <x:c r="H676" s="14" t="str">
        <x:f>IF(AND(I676="Есть цена",I668="Есть цена"),IF(AND(E676&gt;0,E668&gt;0),E676/E668-1,NA()),"")</x:f>
      </x:c>
      <x:c r="I676" s="2" t="str">
        <x:v>RPC: данные не загружены</x:v>
      </x:c>
      <x:c r="J676" s="2"/>
      <x:c r="K676" s="9"/>
      <x:c r="L676" s="2"/>
      <x:c r="M676" s="2"/>
      <x:c r="N676" s="2"/>
      <x:c r="O676" s="2"/>
      <x:c r="P676" s="2" t="str">
        <x:v>not_cached:getSignaturesForAddress:history/33194b737e782863dbac4cf5</x:v>
      </x:c>
      <x:c r="Q676" s="2" t="str"/>
      <x:c r="R676" s="14" t="str">
        <x:f>IF(AND(C676="Нулевой остаток",I676="Есть цена"),G676,"")</x:f>
      </x:c>
      <x:c r="S676" s="14" t="str">
        <x:f>IF(AND(C676="Докупка",I676="Есть цена"),G676,"")</x:f>
      </x:c>
    </x:row>
    <x:row r="677" ht="21" customHeight="1">
      <x:c r="A677" s="2" t="n">
        <x:v>67</x:v>
      </x:c>
      <x:c r="B677" s="2" t="n">
        <x:v>86400</x:v>
      </x:c>
      <x:c r="C677" s="2" t="str">
        <x:f>'Покупки'!C74</x:f>
        <x:v>Докупка</x:v>
      </x:c>
      <x:c r="D677" s="9" t="n">
        <x:v>46282.63980324074</x:v>
      </x:c>
      <x:c r="E677" s="12"/>
      <x:c r="F677" s="12" t="n">
        <x:f>'Покупки'!H74</x:f>
        <x:v>0.16723201052688172</x:v>
      </x:c>
      <x:c r="G677" s="14" t="str">
        <x:f>IF(I677="Есть цена",IF(AND(ISNUMBER(E677),E677&gt;0,F677&gt;0),E677/F677-1,NA()),"")</x:f>
      </x:c>
      <x:c r="H677" s="14" t="str">
        <x:f>IF(AND(I677="Есть цена",I668="Есть цена"),IF(AND(E677&gt;0,E668&gt;0),E677/E668-1,NA()),"")</x:f>
      </x:c>
      <x:c r="I677" s="2" t="str">
        <x:v>RPC: данные не загружены</x:v>
      </x:c>
      <x:c r="J677" s="2"/>
      <x:c r="K677" s="9"/>
      <x:c r="L677" s="2"/>
      <x:c r="M677" s="2"/>
      <x:c r="N677" s="2"/>
      <x:c r="O677" s="2"/>
      <x:c r="P677" s="2" t="str">
        <x:v>not_cached:getSignaturesForAddress:history/0993ee39f6d8c7308515995d</x:v>
      </x:c>
      <x:c r="Q677" s="2" t="str"/>
      <x:c r="R677" s="14" t="str">
        <x:f>IF(AND(C677="Нулевой остаток",I677="Есть цена"),G677,"")</x:f>
      </x:c>
      <x:c r="S677" s="14" t="str">
        <x:f>IF(AND(C677="Докупка",I677="Есть цена"),G677,"")</x:f>
      </x:c>
    </x:row>
    <x:row r="678" ht="21" customHeight="1">
      <x:c r="A678" s="2" t="n">
        <x:v>68</x:v>
      </x:c>
      <x:c r="B678" s="2" t="n">
        <x:v>5</x:v>
      </x:c>
      <x:c r="C678" s="2" t="str">
        <x:f>'Покупки'!C75</x:f>
        <x:v>Докупка</x:v>
      </x:c>
      <x:c r="D678" s="9" t="n">
        <x:v>46281.6384837963</x:v>
      </x:c>
      <x:c r="E678" s="12"/>
      <x:c r="F678" s="12" t="n">
        <x:f>'Покупки'!H75</x:f>
        <x:v>0.16603931502134905</x:v>
      </x:c>
      <x:c r="G678" s="14" t="str">
        <x:f>IF(I678="Есть цена",IF(AND(ISNUMBER(E678),E678&gt;0,F678&gt;0),E678/F678-1,NA()),"")</x:f>
      </x:c>
      <x:c r="H678" s="14" t="str">
        <x:f>IF(AND(I678="Есть цена",I678="Есть цена"),IF(AND(E678&gt;0,E678&gt;0),E678/E678-1,NA()),"")</x:f>
      </x:c>
      <x:c r="I678" s="2" t="str">
        <x:v>GatorSwap: нет модели цены</x:v>
      </x:c>
      <x:c r="J678" s="2"/>
      <x:c r="K678" s="9"/>
      <x:c r="L678" s="2"/>
      <x:c r="M678" s="2"/>
      <x:c r="N678" s="2"/>
      <x:c r="O678" s="2"/>
      <x:c r="P678" s="2" t="str">
        <x:v>route_decoder_missing</x:v>
      </x:c>
      <x:c r="Q678" s="2" t="str"/>
      <x:c r="R678" s="14" t="str">
        <x:f>IF(AND(C678="Нулевой остаток",I678="Есть цена"),G678,"")</x:f>
      </x:c>
      <x:c r="S678" s="14" t="str">
        <x:f>IF(AND(C678="Докупка",I678="Есть цена"),G678,"")</x:f>
      </x:c>
    </x:row>
    <x:row r="679" ht="21" customHeight="1">
      <x:c r="A679" s="2" t="n">
        <x:v>68</x:v>
      </x:c>
      <x:c r="B679" s="2" t="n">
        <x:v>15</x:v>
      </x:c>
      <x:c r="C679" s="2" t="str">
        <x:f>'Покупки'!C75</x:f>
        <x:v>Докупка</x:v>
      </x:c>
      <x:c r="D679" s="9" t="n">
        <x:v>46281.63859953704</x:v>
      </x:c>
      <x:c r="E679" s="12"/>
      <x:c r="F679" s="12" t="n">
        <x:f>'Покупки'!H75</x:f>
        <x:v>0.16603931502134905</x:v>
      </x:c>
      <x:c r="G679" s="14" t="str">
        <x:f>IF(I679="Есть цена",IF(AND(ISNUMBER(E679),E679&gt;0,F679&gt;0),E679/F679-1,NA()),"")</x:f>
      </x:c>
      <x:c r="H679" s="14" t="str">
        <x:f>IF(AND(I679="Есть цена",I678="Есть цена"),IF(AND(E679&gt;0,E678&gt;0),E679/E678-1,NA()),"")</x:f>
      </x:c>
      <x:c r="I679" s="2" t="str">
        <x:v>GatorSwap: нет модели цены</x:v>
      </x:c>
      <x:c r="J679" s="2"/>
      <x:c r="K679" s="9"/>
      <x:c r="L679" s="2"/>
      <x:c r="M679" s="2"/>
      <x:c r="N679" s="2"/>
      <x:c r="O679" s="2"/>
      <x:c r="P679" s="2" t="str">
        <x:v>route_decoder_missing</x:v>
      </x:c>
      <x:c r="Q679" s="2" t="str"/>
      <x:c r="R679" s="14" t="str">
        <x:f>IF(AND(C679="Нулевой остаток",I679="Есть цена"),G679,"")</x:f>
      </x:c>
      <x:c r="S679" s="14" t="str">
        <x:f>IF(AND(C679="Докупка",I679="Есть цена"),G679,"")</x:f>
      </x:c>
    </x:row>
    <x:row r="680" ht="21" customHeight="1">
      <x:c r="A680" s="2" t="n">
        <x:v>68</x:v>
      </x:c>
      <x:c r="B680" s="2" t="n">
        <x:v>30</x:v>
      </x:c>
      <x:c r="C680" s="2" t="str">
        <x:f>'Покупки'!C75</x:f>
        <x:v>Докупка</x:v>
      </x:c>
      <x:c r="D680" s="9" t="n">
        <x:v>46281.638773148145</x:v>
      </x:c>
      <x:c r="E680" s="12"/>
      <x:c r="F680" s="12" t="n">
        <x:f>'Покупки'!H75</x:f>
        <x:v>0.16603931502134905</x:v>
      </x:c>
      <x:c r="G680" s="14" t="str">
        <x:f>IF(I680="Есть цена",IF(AND(ISNUMBER(E680),E680&gt;0,F680&gt;0),E680/F680-1,NA()),"")</x:f>
      </x:c>
      <x:c r="H680" s="14" t="str">
        <x:f>IF(AND(I680="Есть цена",I678="Есть цена"),IF(AND(E680&gt;0,E678&gt;0),E680/E678-1,NA()),"")</x:f>
      </x:c>
      <x:c r="I680" s="2" t="str">
        <x:v>GatorSwap: нет модели цены</x:v>
      </x:c>
      <x:c r="J680" s="2"/>
      <x:c r="K680" s="9"/>
      <x:c r="L680" s="2"/>
      <x:c r="M680" s="2"/>
      <x:c r="N680" s="2"/>
      <x:c r="O680" s="2"/>
      <x:c r="P680" s="2" t="str">
        <x:v>route_decoder_missing</x:v>
      </x:c>
      <x:c r="Q680" s="2" t="str"/>
      <x:c r="R680" s="14" t="str">
        <x:f>IF(AND(C680="Нулевой остаток",I680="Есть цена"),G680,"")</x:f>
      </x:c>
      <x:c r="S680" s="14" t="str">
        <x:f>IF(AND(C680="Докупка",I680="Есть цена"),G680,"")</x:f>
      </x:c>
    </x:row>
    <x:row r="681" ht="21" customHeight="1">
      <x:c r="A681" s="2" t="n">
        <x:v>68</x:v>
      </x:c>
      <x:c r="B681" s="2" t="n">
        <x:v>60</x:v>
      </x:c>
      <x:c r="C681" s="2" t="str">
        <x:f>'Покупки'!C75</x:f>
        <x:v>Докупка</x:v>
      </x:c>
      <x:c r="D681" s="9" t="n">
        <x:v>46281.63912037037</x:v>
      </x:c>
      <x:c r="E681" s="12"/>
      <x:c r="F681" s="12" t="n">
        <x:f>'Покупки'!H75</x:f>
        <x:v>0.16603931502134905</x:v>
      </x:c>
      <x:c r="G681" s="14" t="str">
        <x:f>IF(I681="Есть цена",IF(AND(ISNUMBER(E681),E681&gt;0,F681&gt;0),E681/F681-1,NA()),"")</x:f>
      </x:c>
      <x:c r="H681" s="14" t="str">
        <x:f>IF(AND(I681="Есть цена",I678="Есть цена"),IF(AND(E681&gt;0,E678&gt;0),E681/E678-1,NA()),"")</x:f>
      </x:c>
      <x:c r="I681" s="2" t="str">
        <x:v>GatorSwap: нет модели цены</x:v>
      </x:c>
      <x:c r="J681" s="2"/>
      <x:c r="K681" s="9"/>
      <x:c r="L681" s="2"/>
      <x:c r="M681" s="2"/>
      <x:c r="N681" s="2"/>
      <x:c r="O681" s="2"/>
      <x:c r="P681" s="2" t="str">
        <x:v>route_decoder_missing</x:v>
      </x:c>
      <x:c r="Q681" s="2" t="str"/>
      <x:c r="R681" s="14" t="str">
        <x:f>IF(AND(C681="Нулевой остаток",I681="Есть цена"),G681,"")</x:f>
      </x:c>
      <x:c r="S681" s="14" t="str">
        <x:f>IF(AND(C681="Докупка",I681="Есть цена"),G681,"")</x:f>
      </x:c>
    </x:row>
    <x:row r="682" ht="21" customHeight="1">
      <x:c r="A682" s="2" t="n">
        <x:v>68</x:v>
      </x:c>
      <x:c r="B682" s="2" t="n">
        <x:v>180</x:v>
      </x:c>
      <x:c r="C682" s="2" t="str">
        <x:f>'Покупки'!C75</x:f>
        <x:v>Докупка</x:v>
      </x:c>
      <x:c r="D682" s="9" t="n">
        <x:v>46281.64050925926</x:v>
      </x:c>
      <x:c r="E682" s="12"/>
      <x:c r="F682" s="12" t="n">
        <x:f>'Покупки'!H75</x:f>
        <x:v>0.16603931502134905</x:v>
      </x:c>
      <x:c r="G682" s="14" t="str">
        <x:f>IF(I682="Есть цена",IF(AND(ISNUMBER(E682),E682&gt;0,F682&gt;0),E682/F682-1,NA()),"")</x:f>
      </x:c>
      <x:c r="H682" s="14" t="str">
        <x:f>IF(AND(I682="Есть цена",I678="Есть цена"),IF(AND(E682&gt;0,E678&gt;0),E682/E678-1,NA()),"")</x:f>
      </x:c>
      <x:c r="I682" s="2" t="str">
        <x:v>GatorSwap: нет модели цены</x:v>
      </x:c>
      <x:c r="J682" s="2"/>
      <x:c r="K682" s="9"/>
      <x:c r="L682" s="2"/>
      <x:c r="M682" s="2"/>
      <x:c r="N682" s="2"/>
      <x:c r="O682" s="2"/>
      <x:c r="P682" s="2" t="str">
        <x:v>route_decoder_missing</x:v>
      </x:c>
      <x:c r="Q682" s="2" t="str"/>
      <x:c r="R682" s="14" t="str">
        <x:f>IF(AND(C682="Нулевой остаток",I682="Есть цена"),G682,"")</x:f>
      </x:c>
      <x:c r="S682" s="14" t="str">
        <x:f>IF(AND(C682="Докупка",I682="Есть цена"),G682,"")</x:f>
      </x:c>
    </x:row>
    <x:row r="683" ht="21" customHeight="1">
      <x:c r="A683" s="2" t="n">
        <x:v>68</x:v>
      </x:c>
      <x:c r="B683" s="2" t="n">
        <x:v>300</x:v>
      </x:c>
      <x:c r="C683" s="2" t="str">
        <x:f>'Покупки'!C75</x:f>
        <x:v>Докупка</x:v>
      </x:c>
      <x:c r="D683" s="9" t="n">
        <x:v>46281.64189814815</x:v>
      </x:c>
      <x:c r="E683" s="12"/>
      <x:c r="F683" s="12" t="n">
        <x:f>'Покупки'!H75</x:f>
        <x:v>0.16603931502134905</x:v>
      </x:c>
      <x:c r="G683" s="14" t="str">
        <x:f>IF(I683="Есть цена",IF(AND(ISNUMBER(E683),E683&gt;0,F683&gt;0),E683/F683-1,NA()),"")</x:f>
      </x:c>
      <x:c r="H683" s="14" t="str">
        <x:f>IF(AND(I683="Есть цена",I678="Есть цена"),IF(AND(E683&gt;0,E678&gt;0),E683/E678-1,NA()),"")</x:f>
      </x:c>
      <x:c r="I683" s="2" t="str">
        <x:v>GatorSwap: нет модели цены</x:v>
      </x:c>
      <x:c r="J683" s="2"/>
      <x:c r="K683" s="9"/>
      <x:c r="L683" s="2"/>
      <x:c r="M683" s="2"/>
      <x:c r="N683" s="2"/>
      <x:c r="O683" s="2"/>
      <x:c r="P683" s="2" t="str">
        <x:v>route_decoder_missing</x:v>
      </x:c>
      <x:c r="Q683" s="2" t="str"/>
      <x:c r="R683" s="14" t="str">
        <x:f>IF(AND(C683="Нулевой остаток",I683="Есть цена"),G683,"")</x:f>
      </x:c>
      <x:c r="S683" s="14" t="str">
        <x:f>IF(AND(C683="Докупка",I683="Есть цена"),G683,"")</x:f>
      </x:c>
    </x:row>
    <x:row r="684" ht="21" customHeight="1">
      <x:c r="A684" s="2" t="n">
        <x:v>68</x:v>
      </x:c>
      <x:c r="B684" s="2" t="n">
        <x:v>900</x:v>
      </x:c>
      <x:c r="C684" s="2" t="str">
        <x:f>'Покупки'!C75</x:f>
        <x:v>Докупка</x:v>
      </x:c>
      <x:c r="D684" s="9" t="n">
        <x:v>46281.64884259259</x:v>
      </x:c>
      <x:c r="E684" s="12"/>
      <x:c r="F684" s="12" t="n">
        <x:f>'Покупки'!H75</x:f>
        <x:v>0.16603931502134905</x:v>
      </x:c>
      <x:c r="G684" s="14" t="str">
        <x:f>IF(I684="Есть цена",IF(AND(ISNUMBER(E684),E684&gt;0,F684&gt;0),E684/F684-1,NA()),"")</x:f>
      </x:c>
      <x:c r="H684" s="14" t="str">
        <x:f>IF(AND(I684="Есть цена",I678="Есть цена"),IF(AND(E684&gt;0,E678&gt;0),E684/E678-1,NA()),"")</x:f>
      </x:c>
      <x:c r="I684" s="2" t="str">
        <x:v>GatorSwap: нет модели цены</x:v>
      </x:c>
      <x:c r="J684" s="2"/>
      <x:c r="K684" s="9"/>
      <x:c r="L684" s="2"/>
      <x:c r="M684" s="2"/>
      <x:c r="N684" s="2"/>
      <x:c r="O684" s="2"/>
      <x:c r="P684" s="2" t="str">
        <x:v>route_decoder_missing</x:v>
      </x:c>
      <x:c r="Q684" s="2" t="str"/>
      <x:c r="R684" s="14" t="str">
        <x:f>IF(AND(C684="Нулевой остаток",I684="Есть цена"),G684,"")</x:f>
      </x:c>
      <x:c r="S684" s="14" t="str">
        <x:f>IF(AND(C684="Докупка",I684="Есть цена"),G684,"")</x:f>
      </x:c>
    </x:row>
    <x:row r="685" ht="21" customHeight="1">
      <x:c r="A685" s="2" t="n">
        <x:v>68</x:v>
      </x:c>
      <x:c r="B685" s="2" t="n">
        <x:v>3600</x:v>
      </x:c>
      <x:c r="C685" s="2" t="str">
        <x:f>'Покупки'!C75</x:f>
        <x:v>Докупка</x:v>
      </x:c>
      <x:c r="D685" s="9" t="n">
        <x:v>46281.68009259259</x:v>
      </x:c>
      <x:c r="E685" s="12"/>
      <x:c r="F685" s="12" t="n">
        <x:f>'Покупки'!H75</x:f>
        <x:v>0.16603931502134905</x:v>
      </x:c>
      <x:c r="G685" s="14" t="str">
        <x:f>IF(I685="Есть цена",IF(AND(ISNUMBER(E685),E685&gt;0,F685&gt;0),E685/F685-1,NA()),"")</x:f>
      </x:c>
      <x:c r="H685" s="14" t="str">
        <x:f>IF(AND(I685="Есть цена",I678="Есть цена"),IF(AND(E685&gt;0,E678&gt;0),E685/E678-1,NA()),"")</x:f>
      </x:c>
      <x:c r="I685" s="2" t="str">
        <x:v>GatorSwap: нет модели цены</x:v>
      </x:c>
      <x:c r="J685" s="2"/>
      <x:c r="K685" s="9"/>
      <x:c r="L685" s="2"/>
      <x:c r="M685" s="2"/>
      <x:c r="N685" s="2"/>
      <x:c r="O685" s="2"/>
      <x:c r="P685" s="2" t="str">
        <x:v>route_decoder_missing</x:v>
      </x:c>
      <x:c r="Q685" s="2" t="str"/>
      <x:c r="R685" s="14" t="str">
        <x:f>IF(AND(C685="Нулевой остаток",I685="Есть цена"),G685,"")</x:f>
      </x:c>
      <x:c r="S685" s="14" t="str">
        <x:f>IF(AND(C685="Докупка",I685="Есть цена"),G685,"")</x:f>
      </x:c>
    </x:row>
    <x:row r="686" ht="21" customHeight="1">
      <x:c r="A686" s="2" t="n">
        <x:v>68</x:v>
      </x:c>
      <x:c r="B686" s="2" t="n">
        <x:v>21600</x:v>
      </x:c>
      <x:c r="C686" s="2" t="str">
        <x:f>'Покупки'!C75</x:f>
        <x:v>Докупка</x:v>
      </x:c>
      <x:c r="D686" s="9" t="n">
        <x:v>46281.88842592593</x:v>
      </x:c>
      <x:c r="E686" s="12"/>
      <x:c r="F686" s="12" t="n">
        <x:f>'Покупки'!H75</x:f>
        <x:v>0.16603931502134905</x:v>
      </x:c>
      <x:c r="G686" s="14" t="str">
        <x:f>IF(I686="Есть цена",IF(AND(ISNUMBER(E686),E686&gt;0,F686&gt;0),E686/F686-1,NA()),"")</x:f>
      </x:c>
      <x:c r="H686" s="14" t="str">
        <x:f>IF(AND(I686="Есть цена",I678="Есть цена"),IF(AND(E686&gt;0,E678&gt;0),E686/E678-1,NA()),"")</x:f>
      </x:c>
      <x:c r="I686" s="2" t="str">
        <x:v>GatorSwap: нет модели цены</x:v>
      </x:c>
      <x:c r="J686" s="2"/>
      <x:c r="K686" s="9"/>
      <x:c r="L686" s="2"/>
      <x:c r="M686" s="2"/>
      <x:c r="N686" s="2"/>
      <x:c r="O686" s="2"/>
      <x:c r="P686" s="2" t="str">
        <x:v>route_decoder_missing</x:v>
      </x:c>
      <x:c r="Q686" s="2" t="str"/>
      <x:c r="R686" s="14" t="str">
        <x:f>IF(AND(C686="Нулевой остаток",I686="Есть цена"),G686,"")</x:f>
      </x:c>
      <x:c r="S686" s="14" t="str">
        <x:f>IF(AND(C686="Докупка",I686="Есть цена"),G686,"")</x:f>
      </x:c>
    </x:row>
    <x:row r="687" ht="21" customHeight="1">
      <x:c r="A687" s="2" t="n">
        <x:v>68</x:v>
      </x:c>
      <x:c r="B687" s="2" t="n">
        <x:v>86400</x:v>
      </x:c>
      <x:c r="C687" s="2" t="str">
        <x:f>'Покупки'!C75</x:f>
        <x:v>Докупка</x:v>
      </x:c>
      <x:c r="D687" s="9" t="n">
        <x:v>46282.63842592593</x:v>
      </x:c>
      <x:c r="E687" s="12"/>
      <x:c r="F687" s="12" t="n">
        <x:f>'Покупки'!H75</x:f>
        <x:v>0.16603931502134905</x:v>
      </x:c>
      <x:c r="G687" s="14" t="str">
        <x:f>IF(I687="Есть цена",IF(AND(ISNUMBER(E687),E687&gt;0,F687&gt;0),E687/F687-1,NA()),"")</x:f>
      </x:c>
      <x:c r="H687" s="14" t="str">
        <x:f>IF(AND(I687="Есть цена",I678="Есть цена"),IF(AND(E687&gt;0,E678&gt;0),E687/E678-1,NA()),"")</x:f>
      </x:c>
      <x:c r="I687" s="2" t="str">
        <x:v>GatorSwap: нет модели цены</x:v>
      </x:c>
      <x:c r="J687" s="2"/>
      <x:c r="K687" s="9"/>
      <x:c r="L687" s="2"/>
      <x:c r="M687" s="2"/>
      <x:c r="N687" s="2"/>
      <x:c r="O687" s="2"/>
      <x:c r="P687" s="2" t="str">
        <x:v>route_decoder_missing</x:v>
      </x:c>
      <x:c r="Q687" s="2" t="str"/>
      <x:c r="R687" s="14" t="str">
        <x:f>IF(AND(C687="Нулевой остаток",I687="Есть цена"),G687,"")</x:f>
      </x:c>
      <x:c r="S687" s="14" t="str">
        <x:f>IF(AND(C687="Докупка",I687="Есть цена"),G687,"")</x:f>
      </x:c>
    </x:row>
    <x:row r="688" ht="21" customHeight="1">
      <x:c r="A688" s="2" t="n">
        <x:v>69</x:v>
      </x:c>
      <x:c r="B688" s="2" t="n">
        <x:v>5</x:v>
      </x:c>
      <x:c r="C688" s="2" t="str">
        <x:f>'Покупки'!C76</x:f>
        <x:v>Докупка</x:v>
      </x:c>
      <x:c r="D688" s="9" t="n">
        <x:v>46281.63214120371</x:v>
      </x:c>
      <x:c r="E688" s="12"/>
      <x:c r="F688" s="12" t="n">
        <x:f>'Покупки'!H76</x:f>
        <x:v>0.16729265566624923</x:v>
      </x:c>
      <x:c r="G688" s="14" t="str">
        <x:f>IF(I688="Есть цена",IF(AND(ISNUMBER(E688),E688&gt;0,F688&gt;0),E688/F688-1,NA()),"")</x:f>
      </x:c>
      <x:c r="H688" s="14" t="str">
        <x:f>IF(AND(I688="Есть цена",I688="Есть цена"),IF(AND(E688&gt;0,E688&gt;0),E688/E688-1,NA()),"")</x:f>
      </x:c>
      <x:c r="I688" s="2" t="str">
        <x:v>RPC: данные не загружены</x:v>
      </x:c>
      <x:c r="J688" s="2"/>
      <x:c r="K688" s="9"/>
      <x:c r="L688" s="2"/>
      <x:c r="M688" s="2"/>
      <x:c r="N688" s="2"/>
      <x:c r="O688" s="2"/>
      <x:c r="P688" s="2" t="str">
        <x:v>not_cached:getSignaturesForAddress:history/fa98c2441e4d9e13f92837df</x:v>
      </x:c>
      <x:c r="Q688" s="2" t="str"/>
      <x:c r="R688" s="14" t="str">
        <x:f>IF(AND(C688="Нулевой остаток",I688="Есть цена"),G688,"")</x:f>
      </x:c>
      <x:c r="S688" s="14" t="str">
        <x:f>IF(AND(C688="Докупка",I688="Есть цена"),G688,"")</x:f>
      </x:c>
    </x:row>
    <x:row r="689" ht="21" customHeight="1">
      <x:c r="A689" s="2" t="n">
        <x:v>69</x:v>
      </x:c>
      <x:c r="B689" s="2" t="n">
        <x:v>15</x:v>
      </x:c>
      <x:c r="C689" s="2" t="str">
        <x:f>'Покупки'!C76</x:f>
        <x:v>Докупка</x:v>
      </x:c>
      <x:c r="D689" s="9" t="n">
        <x:v>46281.632256944446</x:v>
      </x:c>
      <x:c r="E689" s="12"/>
      <x:c r="F689" s="12" t="n">
        <x:f>'Покупки'!H76</x:f>
        <x:v>0.16729265566624923</x:v>
      </x:c>
      <x:c r="G689" s="14" t="str">
        <x:f>IF(I689="Есть цена",IF(AND(ISNUMBER(E689),E689&gt;0,F689&gt;0),E689/F689-1,NA()),"")</x:f>
      </x:c>
      <x:c r="H689" s="14" t="str">
        <x:f>IF(AND(I689="Есть цена",I688="Есть цена"),IF(AND(E689&gt;0,E688&gt;0),E689/E688-1,NA()),"")</x:f>
      </x:c>
      <x:c r="I689" s="2" t="str">
        <x:v>RPC: данные не загружены</x:v>
      </x:c>
      <x:c r="J689" s="2"/>
      <x:c r="K689" s="9"/>
      <x:c r="L689" s="2"/>
      <x:c r="M689" s="2"/>
      <x:c r="N689" s="2"/>
      <x:c r="O689" s="2"/>
      <x:c r="P689" s="2" t="str">
        <x:v>not_cached:getSignaturesForAddress:history/fa98c2441e4d9e13f92837df</x:v>
      </x:c>
      <x:c r="Q689" s="2" t="str"/>
      <x:c r="R689" s="14" t="str">
        <x:f>IF(AND(C689="Нулевой остаток",I689="Есть цена"),G689,"")</x:f>
      </x:c>
      <x:c r="S689" s="14" t="str">
        <x:f>IF(AND(C689="Докупка",I689="Есть цена"),G689,"")</x:f>
      </x:c>
    </x:row>
    <x:row r="690" ht="21" customHeight="1">
      <x:c r="A690" s="2" t="n">
        <x:v>69</x:v>
      </x:c>
      <x:c r="B690" s="2" t="n">
        <x:v>30</x:v>
      </x:c>
      <x:c r="C690" s="2" t="str">
        <x:f>'Покупки'!C76</x:f>
        <x:v>Докупка</x:v>
      </x:c>
      <x:c r="D690" s="9" t="n">
        <x:v>46281.63243055555</x:v>
      </x:c>
      <x:c r="E690" s="12"/>
      <x:c r="F690" s="12" t="n">
        <x:f>'Покупки'!H76</x:f>
        <x:v>0.16729265566624923</x:v>
      </x:c>
      <x:c r="G690" s="14" t="str">
        <x:f>IF(I690="Есть цена",IF(AND(ISNUMBER(E690),E690&gt;0,F690&gt;0),E690/F690-1,NA()),"")</x:f>
      </x:c>
      <x:c r="H690" s="14" t="str">
        <x:f>IF(AND(I690="Есть цена",I688="Есть цена"),IF(AND(E690&gt;0,E688&gt;0),E690/E688-1,NA()),"")</x:f>
      </x:c>
      <x:c r="I690" s="2" t="str">
        <x:v>RPC: данные не загружены</x:v>
      </x:c>
      <x:c r="J690" s="2"/>
      <x:c r="K690" s="9"/>
      <x:c r="L690" s="2"/>
      <x:c r="M690" s="2"/>
      <x:c r="N690" s="2"/>
      <x:c r="O690" s="2"/>
      <x:c r="P690" s="2" t="str">
        <x:v>not_cached:getSignaturesForAddress:history/fa98c2441e4d9e13f92837df</x:v>
      </x:c>
      <x:c r="Q690" s="2" t="str"/>
      <x:c r="R690" s="14" t="str">
        <x:f>IF(AND(C690="Нулевой остаток",I690="Есть цена"),G690,"")</x:f>
      </x:c>
      <x:c r="S690" s="14" t="str">
        <x:f>IF(AND(C690="Докупка",I690="Есть цена"),G690,"")</x:f>
      </x:c>
    </x:row>
    <x:row r="691" ht="21" customHeight="1">
      <x:c r="A691" s="2" t="n">
        <x:v>69</x:v>
      </x:c>
      <x:c r="B691" s="2" t="n">
        <x:v>60</x:v>
      </x:c>
      <x:c r="C691" s="2" t="str">
        <x:f>'Покупки'!C76</x:f>
        <x:v>Докупка</x:v>
      </x:c>
      <x:c r="D691" s="9" t="n">
        <x:v>46281.63277777778</x:v>
      </x:c>
      <x:c r="E691" s="12"/>
      <x:c r="F691" s="12" t="n">
        <x:f>'Покупки'!H76</x:f>
        <x:v>0.16729265566624923</x:v>
      </x:c>
      <x:c r="G691" s="14" t="str">
        <x:f>IF(I691="Есть цена",IF(AND(ISNUMBER(E691),E691&gt;0,F691&gt;0),E691/F691-1,NA()),"")</x:f>
      </x:c>
      <x:c r="H691" s="14" t="str">
        <x:f>IF(AND(I691="Есть цена",I688="Есть цена"),IF(AND(E691&gt;0,E688&gt;0),E691/E688-1,NA()),"")</x:f>
      </x:c>
      <x:c r="I691" s="2" t="str">
        <x:v>RPC: данные не загружены</x:v>
      </x:c>
      <x:c r="J691" s="2"/>
      <x:c r="K691" s="9"/>
      <x:c r="L691" s="2"/>
      <x:c r="M691" s="2"/>
      <x:c r="N691" s="2"/>
      <x:c r="O691" s="2"/>
      <x:c r="P691" s="2" t="str">
        <x:v>not_cached:getSignaturesForAddress:history/fa98c2441e4d9e13f92837df</x:v>
      </x:c>
      <x:c r="Q691" s="2" t="str"/>
      <x:c r="R691" s="14" t="str">
        <x:f>IF(AND(C691="Нулевой остаток",I691="Есть цена"),G691,"")</x:f>
      </x:c>
      <x:c r="S691" s="14" t="str">
        <x:f>IF(AND(C691="Докупка",I691="Есть цена"),G691,"")</x:f>
      </x:c>
    </x:row>
    <x:row r="692" ht="21" customHeight="1">
      <x:c r="A692" s="2" t="n">
        <x:v>69</x:v>
      </x:c>
      <x:c r="B692" s="2" t="n">
        <x:v>180</x:v>
      </x:c>
      <x:c r="C692" s="2" t="str">
        <x:f>'Покупки'!C76</x:f>
        <x:v>Докупка</x:v>
      </x:c>
      <x:c r="D692" s="9" t="n">
        <x:v>46281.63416666666</x:v>
      </x:c>
      <x:c r="E692" s="12"/>
      <x:c r="F692" s="12" t="n">
        <x:f>'Покупки'!H76</x:f>
        <x:v>0.16729265566624923</x:v>
      </x:c>
      <x:c r="G692" s="14" t="str">
        <x:f>IF(I692="Есть цена",IF(AND(ISNUMBER(E692),E692&gt;0,F692&gt;0),E692/F692-1,NA()),"")</x:f>
      </x:c>
      <x:c r="H692" s="14" t="str">
        <x:f>IF(AND(I692="Есть цена",I688="Есть цена"),IF(AND(E692&gt;0,E688&gt;0),E692/E688-1,NA()),"")</x:f>
      </x:c>
      <x:c r="I692" s="2" t="str">
        <x:v>RPC: данные не загружены</x:v>
      </x:c>
      <x:c r="J692" s="2"/>
      <x:c r="K692" s="9"/>
      <x:c r="L692" s="2"/>
      <x:c r="M692" s="2"/>
      <x:c r="N692" s="2"/>
      <x:c r="O692" s="2"/>
      <x:c r="P692" s="2" t="str">
        <x:v>not_cached:getSignaturesForAddress:history/329be44d54abbef933441aeb</x:v>
      </x:c>
      <x:c r="Q692" s="2" t="str"/>
      <x:c r="R692" s="14" t="str">
        <x:f>IF(AND(C692="Нулевой остаток",I692="Есть цена"),G692,"")</x:f>
      </x:c>
      <x:c r="S692" s="14" t="str">
        <x:f>IF(AND(C692="Докупка",I692="Есть цена"),G692,"")</x:f>
      </x:c>
    </x:row>
    <x:row r="693" ht="21" customHeight="1">
      <x:c r="A693" s="2" t="n">
        <x:v>69</x:v>
      </x:c>
      <x:c r="B693" s="2" t="n">
        <x:v>300</x:v>
      </x:c>
      <x:c r="C693" s="2" t="str">
        <x:f>'Покупки'!C76</x:f>
        <x:v>Докупка</x:v>
      </x:c>
      <x:c r="D693" s="9" t="n">
        <x:v>46281.63555555556</x:v>
      </x:c>
      <x:c r="E693" s="12"/>
      <x:c r="F693" s="12" t="n">
        <x:f>'Покупки'!H76</x:f>
        <x:v>0.16729265566624923</x:v>
      </x:c>
      <x:c r="G693" s="14" t="str">
        <x:f>IF(I693="Есть цена",IF(AND(ISNUMBER(E693),E693&gt;0,F693&gt;0),E693/F693-1,NA()),"")</x:f>
      </x:c>
      <x:c r="H693" s="14" t="str">
        <x:f>IF(AND(I693="Есть цена",I688="Есть цена"),IF(AND(E693&gt;0,E688&gt;0),E693/E688-1,NA()),"")</x:f>
      </x:c>
      <x:c r="I693" s="2" t="str">
        <x:v>RPC: данные не загружены</x:v>
      </x:c>
      <x:c r="J693" s="2"/>
      <x:c r="K693" s="9"/>
      <x:c r="L693" s="2"/>
      <x:c r="M693" s="2"/>
      <x:c r="N693" s="2"/>
      <x:c r="O693" s="2"/>
      <x:c r="P693" s="2" t="str">
        <x:v>not_cached:getSignaturesForAddress:history/8f3ef542394f554a29c84c91</x:v>
      </x:c>
      <x:c r="Q693" s="2" t="str"/>
      <x:c r="R693" s="14" t="str">
        <x:f>IF(AND(C693="Нулевой остаток",I693="Есть цена"),G693,"")</x:f>
      </x:c>
      <x:c r="S693" s="14" t="str">
        <x:f>IF(AND(C693="Докупка",I693="Есть цена"),G693,"")</x:f>
      </x:c>
    </x:row>
    <x:row r="694" ht="21" customHeight="1">
      <x:c r="A694" s="2" t="n">
        <x:v>69</x:v>
      </x:c>
      <x:c r="B694" s="2" t="n">
        <x:v>900</x:v>
      </x:c>
      <x:c r="C694" s="2" t="str">
        <x:f>'Покупки'!C76</x:f>
        <x:v>Докупка</x:v>
      </x:c>
      <x:c r="D694" s="9" t="n">
        <x:v>46281.6425</x:v>
      </x:c>
      <x:c r="E694" s="12"/>
      <x:c r="F694" s="12" t="n">
        <x:f>'Покупки'!H76</x:f>
        <x:v>0.16729265566624923</x:v>
      </x:c>
      <x:c r="G694" s="14" t="str">
        <x:f>IF(I694="Есть цена",IF(AND(ISNUMBER(E694),E694&gt;0,F694&gt;0),E694/F694-1,NA()),"")</x:f>
      </x:c>
      <x:c r="H694" s="14" t="str">
        <x:f>IF(AND(I694="Есть цена",I688="Есть цена"),IF(AND(E694&gt;0,E688&gt;0),E694/E688-1,NA()),"")</x:f>
      </x:c>
      <x:c r="I694" s="2" t="str">
        <x:v>RPC: данные не загружены</x:v>
      </x:c>
      <x:c r="J694" s="2"/>
      <x:c r="K694" s="9"/>
      <x:c r="L694" s="2"/>
      <x:c r="M694" s="2"/>
      <x:c r="N694" s="2"/>
      <x:c r="O694" s="2"/>
      <x:c r="P694" s="2" t="str">
        <x:v>not_cached:getSignaturesForAddress:history/a4f52d5920a2bbbf0706e404</x:v>
      </x:c>
      <x:c r="Q694" s="2" t="str"/>
      <x:c r="R694" s="14" t="str">
        <x:f>IF(AND(C694="Нулевой остаток",I694="Есть цена"),G694,"")</x:f>
      </x:c>
      <x:c r="S694" s="14" t="str">
        <x:f>IF(AND(C694="Докупка",I694="Есть цена"),G694,"")</x:f>
      </x:c>
    </x:row>
    <x:row r="695" ht="21" customHeight="1">
      <x:c r="A695" s="2" t="n">
        <x:v>69</x:v>
      </x:c>
      <x:c r="B695" s="2" t="n">
        <x:v>3600</x:v>
      </x:c>
      <x:c r="C695" s="2" t="str">
        <x:f>'Покупки'!C76</x:f>
        <x:v>Докупка</x:v>
      </x:c>
      <x:c r="D695" s="9" t="n">
        <x:v>46281.67375</x:v>
      </x:c>
      <x:c r="E695" s="12"/>
      <x:c r="F695" s="12" t="n">
        <x:f>'Покупки'!H76</x:f>
        <x:v>0.16729265566624923</x:v>
      </x:c>
      <x:c r="G695" s="14" t="str">
        <x:f>IF(I695="Есть цена",IF(AND(ISNUMBER(E695),E695&gt;0,F695&gt;0),E695/F695-1,NA()),"")</x:f>
      </x:c>
      <x:c r="H695" s="14" t="str">
        <x:f>IF(AND(I695="Есть цена",I688="Есть цена"),IF(AND(E695&gt;0,E688&gt;0),E695/E688-1,NA()),"")</x:f>
      </x:c>
      <x:c r="I695" s="2" t="str">
        <x:v>RPC: данные не загружены</x:v>
      </x:c>
      <x:c r="J695" s="2"/>
      <x:c r="K695" s="9"/>
      <x:c r="L695" s="2"/>
      <x:c r="M695" s="2"/>
      <x:c r="N695" s="2"/>
      <x:c r="O695" s="2"/>
      <x:c r="P695" s="2" t="str">
        <x:v>not_cached:getSignaturesForAddress:history/c5918edb2007185c476cd0c9</x:v>
      </x:c>
      <x:c r="Q695" s="2" t="str"/>
      <x:c r="R695" s="14" t="str">
        <x:f>IF(AND(C695="Нулевой остаток",I695="Есть цена"),G695,"")</x:f>
      </x:c>
      <x:c r="S695" s="14" t="str">
        <x:f>IF(AND(C695="Докупка",I695="Есть цена"),G695,"")</x:f>
      </x:c>
    </x:row>
    <x:row r="696" ht="21" customHeight="1">
      <x:c r="A696" s="2" t="n">
        <x:v>69</x:v>
      </x:c>
      <x:c r="B696" s="2" t="n">
        <x:v>21600</x:v>
      </x:c>
      <x:c r="C696" s="2" t="str">
        <x:f>'Покупки'!C76</x:f>
        <x:v>Докупка</x:v>
      </x:c>
      <x:c r="D696" s="9" t="n">
        <x:v>46281.88208333333</x:v>
      </x:c>
      <x:c r="E696" s="12"/>
      <x:c r="F696" s="12" t="n">
        <x:f>'Покупки'!H76</x:f>
        <x:v>0.16729265566624923</x:v>
      </x:c>
      <x:c r="G696" s="14" t="str">
        <x:f>IF(I696="Есть цена",IF(AND(ISNUMBER(E696),E696&gt;0,F696&gt;0),E696/F696-1,NA()),"")</x:f>
      </x:c>
      <x:c r="H696" s="14" t="str">
        <x:f>IF(AND(I696="Есть цена",I688="Есть цена"),IF(AND(E696&gt;0,E688&gt;0),E696/E688-1,NA()),"")</x:f>
      </x:c>
      <x:c r="I696" s="2" t="str">
        <x:v>RPC: данные не загружены</x:v>
      </x:c>
      <x:c r="J696" s="2"/>
      <x:c r="K696" s="9"/>
      <x:c r="L696" s="2"/>
      <x:c r="M696" s="2"/>
      <x:c r="N696" s="2"/>
      <x:c r="O696" s="2"/>
      <x:c r="P696" s="2" t="str">
        <x:v>not_cached:getSignaturesForAddress:history/8549b4054503b4e06a2b3ffd</x:v>
      </x:c>
      <x:c r="Q696" s="2" t="str"/>
      <x:c r="R696" s="14" t="str">
        <x:f>IF(AND(C696="Нулевой остаток",I696="Есть цена"),G696,"")</x:f>
      </x:c>
      <x:c r="S696" s="14" t="str">
        <x:f>IF(AND(C696="Докупка",I696="Есть цена"),G696,"")</x:f>
      </x:c>
    </x:row>
    <x:row r="697" ht="21" customHeight="1">
      <x:c r="A697" s="2" t="n">
        <x:v>69</x:v>
      </x:c>
      <x:c r="B697" s="2" t="n">
        <x:v>86400</x:v>
      </x:c>
      <x:c r="C697" s="2" t="str">
        <x:f>'Покупки'!C76</x:f>
        <x:v>Докупка</x:v>
      </x:c>
      <x:c r="D697" s="9" t="n">
        <x:v>46282.63208333333</x:v>
      </x:c>
      <x:c r="E697" s="12"/>
      <x:c r="F697" s="12" t="n">
        <x:f>'Покупки'!H76</x:f>
        <x:v>0.16729265566624923</x:v>
      </x:c>
      <x:c r="G697" s="14" t="str">
        <x:f>IF(I697="Есть цена",IF(AND(ISNUMBER(E697),E697&gt;0,F697&gt;0),E697/F697-1,NA()),"")</x:f>
      </x:c>
      <x:c r="H697" s="14" t="str">
        <x:f>IF(AND(I697="Есть цена",I688="Есть цена"),IF(AND(E697&gt;0,E688&gt;0),E697/E688-1,NA()),"")</x:f>
      </x:c>
      <x:c r="I697" s="2" t="str">
        <x:v>RPC: данные не загружены</x:v>
      </x:c>
      <x:c r="J697" s="2"/>
      <x:c r="K697" s="9"/>
      <x:c r="L697" s="2"/>
      <x:c r="M697" s="2"/>
      <x:c r="N697" s="2"/>
      <x:c r="O697" s="2"/>
      <x:c r="P697" s="2" t="str">
        <x:v>not_cached:getSignaturesForAddress:history/8a64f9f2a84f276a30c77f2d</x:v>
      </x:c>
      <x:c r="Q697" s="2" t="str"/>
      <x:c r="R697" s="14" t="str">
        <x:f>IF(AND(C697="Нулевой остаток",I697="Есть цена"),G697,"")</x:f>
      </x:c>
      <x:c r="S697" s="14" t="str">
        <x:f>IF(AND(C697="Докупка",I697="Есть цена"),G697,"")</x:f>
      </x:c>
    </x:row>
    <x:row r="698" ht="21" customHeight="1">
      <x:c r="A698" s="2" t="n">
        <x:v>70</x:v>
      </x:c>
      <x:c r="B698" s="2" t="n">
        <x:v>5</x:v>
      </x:c>
      <x:c r="C698" s="2" t="str">
        <x:f>'Покупки'!C77</x:f>
        <x:v>Докупка</x:v>
      </x:c>
      <x:c r="D698" s="9" t="n">
        <x:v>46281.629745370374</x:v>
      </x:c>
      <x:c r="E698" s="12"/>
      <x:c r="F698" s="12" t="n">
        <x:f>'Покупки'!H77</x:f>
        <x:v>0.16560316929977828</x:v>
      </x:c>
      <x:c r="G698" s="14" t="str">
        <x:f>IF(I698="Есть цена",IF(AND(ISNUMBER(E698),E698&gt;0,F698&gt;0),E698/F698-1,NA()),"")</x:f>
      </x:c>
      <x:c r="H698" s="14" t="str">
        <x:f>IF(AND(I698="Есть цена",I698="Есть цена"),IF(AND(E698&gt;0,E698&gt;0),E698/E698-1,NA()),"")</x:f>
      </x:c>
      <x:c r="I698" s="2" t="str">
        <x:v>RPC: данные не загружены</x:v>
      </x:c>
      <x:c r="J698" s="2"/>
      <x:c r="K698" s="9"/>
      <x:c r="L698" s="2"/>
      <x:c r="M698" s="2"/>
      <x:c r="N698" s="2"/>
      <x:c r="O698" s="2"/>
      <x:c r="P698" s="2" t="str">
        <x:v>not_cached:getSignaturesForAddress:history/fc5bba0e564cc4aeb01eb4a2</x:v>
      </x:c>
      <x:c r="Q698" s="2" t="str"/>
      <x:c r="R698" s="14" t="str">
        <x:f>IF(AND(C698="Нулевой остаток",I698="Есть цена"),G698,"")</x:f>
      </x:c>
      <x:c r="S698" s="14" t="str">
        <x:f>IF(AND(C698="Докупка",I698="Есть цена"),G698,"")</x:f>
      </x:c>
    </x:row>
    <x:row r="699" ht="21" customHeight="1">
      <x:c r="A699" s="2" t="n">
        <x:v>70</x:v>
      </x:c>
      <x:c r="B699" s="2" t="n">
        <x:v>15</x:v>
      </x:c>
      <x:c r="C699" s="2" t="str">
        <x:f>'Покупки'!C77</x:f>
        <x:v>Докупка</x:v>
      </x:c>
      <x:c r="D699" s="9" t="n">
        <x:v>46281.62986111111</x:v>
      </x:c>
      <x:c r="E699" s="12"/>
      <x:c r="F699" s="12" t="n">
        <x:f>'Покупки'!H77</x:f>
        <x:v>0.16560316929977828</x:v>
      </x:c>
      <x:c r="G699" s="14" t="str">
        <x:f>IF(I699="Есть цена",IF(AND(ISNUMBER(E699),E699&gt;0,F699&gt;0),E699/F699-1,NA()),"")</x:f>
      </x:c>
      <x:c r="H699" s="14" t="str">
        <x:f>IF(AND(I699="Есть цена",I698="Есть цена"),IF(AND(E699&gt;0,E698&gt;0),E699/E698-1,NA()),"")</x:f>
      </x:c>
      <x:c r="I699" s="2" t="str">
        <x:v>RPC: данные не загружены</x:v>
      </x:c>
      <x:c r="J699" s="2"/>
      <x:c r="K699" s="9"/>
      <x:c r="L699" s="2"/>
      <x:c r="M699" s="2"/>
      <x:c r="N699" s="2"/>
      <x:c r="O699" s="2"/>
      <x:c r="P699" s="2" t="str">
        <x:v>not_cached:getSignaturesForAddress:history/fc5bba0e564cc4aeb01eb4a2</x:v>
      </x:c>
      <x:c r="Q699" s="2" t="str"/>
      <x:c r="R699" s="14" t="str">
        <x:f>IF(AND(C699="Нулевой остаток",I699="Есть цена"),G699,"")</x:f>
      </x:c>
      <x:c r="S699" s="14" t="str">
        <x:f>IF(AND(C699="Докупка",I699="Есть цена"),G699,"")</x:f>
      </x:c>
    </x:row>
    <x:row r="700" ht="21" customHeight="1">
      <x:c r="A700" s="2" t="n">
        <x:v>70</x:v>
      </x:c>
      <x:c r="B700" s="2" t="n">
        <x:v>30</x:v>
      </x:c>
      <x:c r="C700" s="2" t="str">
        <x:f>'Покупки'!C77</x:f>
        <x:v>Докупка</x:v>
      </x:c>
      <x:c r="D700" s="9" t="n">
        <x:v>46281.63003472222</x:v>
      </x:c>
      <x:c r="E700" s="12"/>
      <x:c r="F700" s="12" t="n">
        <x:f>'Покупки'!H77</x:f>
        <x:v>0.16560316929977828</x:v>
      </x:c>
      <x:c r="G700" s="14" t="str">
        <x:f>IF(I700="Есть цена",IF(AND(ISNUMBER(E700),E700&gt;0,F700&gt;0),E700/F700-1,NA()),"")</x:f>
      </x:c>
      <x:c r="H700" s="14" t="str">
        <x:f>IF(AND(I700="Есть цена",I698="Есть цена"),IF(AND(E700&gt;0,E698&gt;0),E700/E698-1,NA()),"")</x:f>
      </x:c>
      <x:c r="I700" s="2" t="str">
        <x:v>RPC: данные не загружены</x:v>
      </x:c>
      <x:c r="J700" s="2"/>
      <x:c r="K700" s="9"/>
      <x:c r="L700" s="2"/>
      <x:c r="M700" s="2"/>
      <x:c r="N700" s="2"/>
      <x:c r="O700" s="2"/>
      <x:c r="P700" s="2" t="str">
        <x:v>not_cached:getSignaturesForAddress:history/fc5bba0e564cc4aeb01eb4a2</x:v>
      </x:c>
      <x:c r="Q700" s="2" t="str"/>
      <x:c r="R700" s="14" t="str">
        <x:f>IF(AND(C700="Нулевой остаток",I700="Есть цена"),G700,"")</x:f>
      </x:c>
      <x:c r="S700" s="14" t="str">
        <x:f>IF(AND(C700="Докупка",I700="Есть цена"),G700,"")</x:f>
      </x:c>
    </x:row>
    <x:row r="701" ht="21" customHeight="1">
      <x:c r="A701" s="2" t="n">
        <x:v>70</x:v>
      </x:c>
      <x:c r="B701" s="2" t="n">
        <x:v>60</x:v>
      </x:c>
      <x:c r="C701" s="2" t="str">
        <x:f>'Покупки'!C77</x:f>
        <x:v>Докупка</x:v>
      </x:c>
      <x:c r="D701" s="9" t="n">
        <x:v>46281.630381944444</x:v>
      </x:c>
      <x:c r="E701" s="12"/>
      <x:c r="F701" s="12" t="n">
        <x:f>'Покупки'!H77</x:f>
        <x:v>0.16560316929977828</x:v>
      </x:c>
      <x:c r="G701" s="14" t="str">
        <x:f>IF(I701="Есть цена",IF(AND(ISNUMBER(E701),E701&gt;0,F701&gt;0),E701/F701-1,NA()),"")</x:f>
      </x:c>
      <x:c r="H701" s="14" t="str">
        <x:f>IF(AND(I701="Есть цена",I698="Есть цена"),IF(AND(E701&gt;0,E698&gt;0),E701/E698-1,NA()),"")</x:f>
      </x:c>
      <x:c r="I701" s="2" t="str">
        <x:v>RPC: данные не загружены</x:v>
      </x:c>
      <x:c r="J701" s="2"/>
      <x:c r="K701" s="9"/>
      <x:c r="L701" s="2"/>
      <x:c r="M701" s="2"/>
      <x:c r="N701" s="2"/>
      <x:c r="O701" s="2"/>
      <x:c r="P701" s="2" t="str">
        <x:v>not_cached:getSignaturesForAddress:history/fc5bba0e564cc4aeb01eb4a2</x:v>
      </x:c>
      <x:c r="Q701" s="2" t="str"/>
      <x:c r="R701" s="14" t="str">
        <x:f>IF(AND(C701="Нулевой остаток",I701="Есть цена"),G701,"")</x:f>
      </x:c>
      <x:c r="S701" s="14" t="str">
        <x:f>IF(AND(C701="Докупка",I701="Есть цена"),G701,"")</x:f>
      </x:c>
    </x:row>
    <x:row r="702" ht="21" customHeight="1">
      <x:c r="A702" s="2" t="n">
        <x:v>70</x:v>
      </x:c>
      <x:c r="B702" s="2" t="n">
        <x:v>180</x:v>
      </x:c>
      <x:c r="C702" s="2" t="str">
        <x:f>'Покупки'!C77</x:f>
        <x:v>Докупка</x:v>
      </x:c>
      <x:c r="D702" s="9" t="n">
        <x:v>46281.63177083333</x:v>
      </x:c>
      <x:c r="E702" s="12"/>
      <x:c r="F702" s="12" t="n">
        <x:f>'Покупки'!H77</x:f>
        <x:v>0.16560316929977828</x:v>
      </x:c>
      <x:c r="G702" s="14" t="str">
        <x:f>IF(I702="Есть цена",IF(AND(ISNUMBER(E702),E702&gt;0,F702&gt;0),E702/F702-1,NA()),"")</x:f>
      </x:c>
      <x:c r="H702" s="14" t="str">
        <x:f>IF(AND(I702="Есть цена",I698="Есть цена"),IF(AND(E702&gt;0,E698&gt;0),E702/E698-1,NA()),"")</x:f>
      </x:c>
      <x:c r="I702" s="2" t="str">
        <x:v>RPC: данные не загружены</x:v>
      </x:c>
      <x:c r="J702" s="2"/>
      <x:c r="K702" s="9"/>
      <x:c r="L702" s="2"/>
      <x:c r="M702" s="2"/>
      <x:c r="N702" s="2"/>
      <x:c r="O702" s="2"/>
      <x:c r="P702" s="2" t="str">
        <x:v>not_cached:getSignaturesForAddress:history/fc5bba0e564cc4aeb01eb4a2</x:v>
      </x:c>
      <x:c r="Q702" s="2" t="str"/>
      <x:c r="R702" s="14" t="str">
        <x:f>IF(AND(C702="Нулевой остаток",I702="Есть цена"),G702,"")</x:f>
      </x:c>
      <x:c r="S702" s="14" t="str">
        <x:f>IF(AND(C702="Докупка",I702="Есть цена"),G702,"")</x:f>
      </x:c>
    </x:row>
    <x:row r="703" ht="21" customHeight="1">
      <x:c r="A703" s="2" t="n">
        <x:v>70</x:v>
      </x:c>
      <x:c r="B703" s="2" t="n">
        <x:v>300</x:v>
      </x:c>
      <x:c r="C703" s="2" t="str">
        <x:f>'Покупки'!C77</x:f>
        <x:v>Докупка</x:v>
      </x:c>
      <x:c r="D703" s="9" t="n">
        <x:v>46281.63315972222</x:v>
      </x:c>
      <x:c r="E703" s="12"/>
      <x:c r="F703" s="12" t="n">
        <x:f>'Покупки'!H77</x:f>
        <x:v>0.16560316929977828</x:v>
      </x:c>
      <x:c r="G703" s="14" t="str">
        <x:f>IF(I703="Есть цена",IF(AND(ISNUMBER(E703),E703&gt;0,F703&gt;0),E703/F703-1,NA()),"")</x:f>
      </x:c>
      <x:c r="H703" s="14" t="str">
        <x:f>IF(AND(I703="Есть цена",I698="Есть цена"),IF(AND(E703&gt;0,E698&gt;0),E703/E698-1,NA()),"")</x:f>
      </x:c>
      <x:c r="I703" s="2" t="str">
        <x:v>RPC: данные не загружены</x:v>
      </x:c>
      <x:c r="J703" s="2"/>
      <x:c r="K703" s="9"/>
      <x:c r="L703" s="2"/>
      <x:c r="M703" s="2"/>
      <x:c r="N703" s="2"/>
      <x:c r="O703" s="2"/>
      <x:c r="P703" s="2" t="str">
        <x:v>not_cached:getSignaturesForAddress:history/264041ede5b7d33e151edf1b</x:v>
      </x:c>
      <x:c r="Q703" s="2" t="str"/>
      <x:c r="R703" s="14" t="str">
        <x:f>IF(AND(C703="Нулевой остаток",I703="Есть цена"),G703,"")</x:f>
      </x:c>
      <x:c r="S703" s="14" t="str">
        <x:f>IF(AND(C703="Докупка",I703="Есть цена"),G703,"")</x:f>
      </x:c>
    </x:row>
    <x:row r="704" ht="21" customHeight="1">
      <x:c r="A704" s="2" t="n">
        <x:v>70</x:v>
      </x:c>
      <x:c r="B704" s="2" t="n">
        <x:v>900</x:v>
      </x:c>
      <x:c r="C704" s="2" t="str">
        <x:f>'Покупки'!C77</x:f>
        <x:v>Докупка</x:v>
      </x:c>
      <x:c r="D704" s="9" t="n">
        <x:v>46281.64010416667</x:v>
      </x:c>
      <x:c r="E704" s="12"/>
      <x:c r="F704" s="12" t="n">
        <x:f>'Покупки'!H77</x:f>
        <x:v>0.16560316929977828</x:v>
      </x:c>
      <x:c r="G704" s="14" t="str">
        <x:f>IF(I704="Есть цена",IF(AND(ISNUMBER(E704),E704&gt;0,F704&gt;0),E704/F704-1,NA()),"")</x:f>
      </x:c>
      <x:c r="H704" s="14" t="str">
        <x:f>IF(AND(I704="Есть цена",I698="Есть цена"),IF(AND(E704&gt;0,E698&gt;0),E704/E698-1,NA()),"")</x:f>
      </x:c>
      <x:c r="I704" s="2" t="str">
        <x:v>RPC: данные не загружены</x:v>
      </x:c>
      <x:c r="J704" s="2"/>
      <x:c r="K704" s="9"/>
      <x:c r="L704" s="2"/>
      <x:c r="M704" s="2"/>
      <x:c r="N704" s="2"/>
      <x:c r="O704" s="2"/>
      <x:c r="P704" s="2" t="str">
        <x:v>not_cached:getSignaturesForAddress:history/90490dfc92159c109123ad3b</x:v>
      </x:c>
      <x:c r="Q704" s="2" t="str"/>
      <x:c r="R704" s="14" t="str">
        <x:f>IF(AND(C704="Нулевой остаток",I704="Есть цена"),G704,"")</x:f>
      </x:c>
      <x:c r="S704" s="14" t="str">
        <x:f>IF(AND(C704="Докупка",I704="Есть цена"),G704,"")</x:f>
      </x:c>
    </x:row>
    <x:row r="705" ht="21" customHeight="1">
      <x:c r="A705" s="2" t="n">
        <x:v>70</x:v>
      </x:c>
      <x:c r="B705" s="2" t="n">
        <x:v>3600</x:v>
      </x:c>
      <x:c r="C705" s="2" t="str">
        <x:f>'Покупки'!C77</x:f>
        <x:v>Докупка</x:v>
      </x:c>
      <x:c r="D705" s="9" t="n">
        <x:v>46281.67135416667</x:v>
      </x:c>
      <x:c r="E705" s="12"/>
      <x:c r="F705" s="12" t="n">
        <x:f>'Покупки'!H77</x:f>
        <x:v>0.16560316929977828</x:v>
      </x:c>
      <x:c r="G705" s="14" t="str">
        <x:f>IF(I705="Есть цена",IF(AND(ISNUMBER(E705),E705&gt;0,F705&gt;0),E705/F705-1,NA()),"")</x:f>
      </x:c>
      <x:c r="H705" s="14" t="str">
        <x:f>IF(AND(I705="Есть цена",I698="Есть цена"),IF(AND(E705&gt;0,E698&gt;0),E705/E698-1,NA()),"")</x:f>
      </x:c>
      <x:c r="I705" s="2" t="str">
        <x:v>RPC: данные не загружены</x:v>
      </x:c>
      <x:c r="J705" s="2"/>
      <x:c r="K705" s="9"/>
      <x:c r="L705" s="2"/>
      <x:c r="M705" s="2"/>
      <x:c r="N705" s="2"/>
      <x:c r="O705" s="2"/>
      <x:c r="P705" s="2" t="str">
        <x:v>not_cached:getSignaturesForAddress:history/70941cc5fa8521c28edbc781</x:v>
      </x:c>
      <x:c r="Q705" s="2" t="str"/>
      <x:c r="R705" s="14" t="str">
        <x:f>IF(AND(C705="Нулевой остаток",I705="Есть цена"),G705,"")</x:f>
      </x:c>
      <x:c r="S705" s="14" t="str">
        <x:f>IF(AND(C705="Докупка",I705="Есть цена"),G705,"")</x:f>
      </x:c>
    </x:row>
    <x:row r="706" ht="21" customHeight="1">
      <x:c r="A706" s="2" t="n">
        <x:v>70</x:v>
      </x:c>
      <x:c r="B706" s="2" t="n">
        <x:v>21600</x:v>
      </x:c>
      <x:c r="C706" s="2" t="str">
        <x:f>'Покупки'!C77</x:f>
        <x:v>Докупка</x:v>
      </x:c>
      <x:c r="D706" s="9" t="n">
        <x:v>46281.8796875</x:v>
      </x:c>
      <x:c r="E706" s="12"/>
      <x:c r="F706" s="12" t="n">
        <x:f>'Покупки'!H77</x:f>
        <x:v>0.16560316929977828</x:v>
      </x:c>
      <x:c r="G706" s="14" t="str">
        <x:f>IF(I706="Есть цена",IF(AND(ISNUMBER(E706),E706&gt;0,F706&gt;0),E706/F706-1,NA()),"")</x:f>
      </x:c>
      <x:c r="H706" s="14" t="str">
        <x:f>IF(AND(I706="Есть цена",I698="Есть цена"),IF(AND(E706&gt;0,E698&gt;0),E706/E698-1,NA()),"")</x:f>
      </x:c>
      <x:c r="I706" s="2" t="str">
        <x:v>RPC: данные не загружены</x:v>
      </x:c>
      <x:c r="J706" s="2"/>
      <x:c r="K706" s="9"/>
      <x:c r="L706" s="2"/>
      <x:c r="M706" s="2"/>
      <x:c r="N706" s="2"/>
      <x:c r="O706" s="2"/>
      <x:c r="P706" s="2" t="str">
        <x:v>not_cached:getSignaturesForAddress:history/778458bb5b5d2ac254def605</x:v>
      </x:c>
      <x:c r="Q706" s="2" t="str"/>
      <x:c r="R706" s="14" t="str">
        <x:f>IF(AND(C706="Нулевой остаток",I706="Есть цена"),G706,"")</x:f>
      </x:c>
      <x:c r="S706" s="14" t="str">
        <x:f>IF(AND(C706="Докупка",I706="Есть цена"),G706,"")</x:f>
      </x:c>
    </x:row>
    <x:row r="707" ht="21" customHeight="1">
      <x:c r="A707" s="2" t="n">
        <x:v>70</x:v>
      </x:c>
      <x:c r="B707" s="2" t="n">
        <x:v>86400</x:v>
      </x:c>
      <x:c r="C707" s="2" t="str">
        <x:f>'Покупки'!C77</x:f>
        <x:v>Докупка</x:v>
      </x:c>
      <x:c r="D707" s="9" t="n">
        <x:v>46282.6296875</x:v>
      </x:c>
      <x:c r="E707" s="12"/>
      <x:c r="F707" s="12" t="n">
        <x:f>'Покупки'!H77</x:f>
        <x:v>0.16560316929977828</x:v>
      </x:c>
      <x:c r="G707" s="14" t="str">
        <x:f>IF(I707="Есть цена",IF(AND(ISNUMBER(E707),E707&gt;0,F707&gt;0),E707/F707-1,NA()),"")</x:f>
      </x:c>
      <x:c r="H707" s="14" t="str">
        <x:f>IF(AND(I707="Есть цена",I698="Есть цена"),IF(AND(E707&gt;0,E698&gt;0),E707/E698-1,NA()),"")</x:f>
      </x:c>
      <x:c r="I707" s="2" t="str">
        <x:v>RPC: данные не загружены</x:v>
      </x:c>
      <x:c r="J707" s="2"/>
      <x:c r="K707" s="9"/>
      <x:c r="L707" s="2"/>
      <x:c r="M707" s="2"/>
      <x:c r="N707" s="2"/>
      <x:c r="O707" s="2"/>
      <x:c r="P707" s="2" t="str">
        <x:v>not_cached:getSignaturesForAddress:history/e83b85217d0b470f23d54313</x:v>
      </x:c>
      <x:c r="Q707" s="2" t="str"/>
      <x:c r="R707" s="14" t="str">
        <x:f>IF(AND(C707="Нулевой остаток",I707="Есть цена"),G707,"")</x:f>
      </x:c>
      <x:c r="S707" s="14" t="str">
        <x:f>IF(AND(C707="Докупка",I707="Есть цена"),G707,"")</x:f>
      </x:c>
    </x:row>
    <x:row r="708" ht="21" customHeight="1">
      <x:c r="A708" s="2" t="n">
        <x:v>71</x:v>
      </x:c>
      <x:c r="B708" s="2" t="n">
        <x:v>5</x:v>
      </x:c>
      <x:c r="C708" s="2" t="str">
        <x:f>'Покупки'!C78</x:f>
        <x:v>Докупка</x:v>
      </x:c>
      <x:c r="D708" s="9" t="n">
        <x:v>46281.62966435185</x:v>
      </x:c>
      <x:c r="E708" s="12"/>
      <x:c r="F708" s="12" t="n">
        <x:f>'Покупки'!H78</x:f>
        <x:v>0.0038898794995474617</x:v>
      </x:c>
      <x:c r="G708" s="14" t="str">
        <x:f>IF(I708="Есть цена",IF(AND(ISNUMBER(E708),E708&gt;0,F708&gt;0),E708/F708-1,NA()),"")</x:f>
      </x:c>
      <x:c r="H708" s="14" t="str">
        <x:f>IF(AND(I708="Есть цена",I708="Есть цена"),IF(AND(E708&gt;0,E708&gt;0),E708/E708-1,NA()),"")</x:f>
      </x:c>
      <x:c r="I708" s="2" t="str">
        <x:v>RPC: данные не загружены</x:v>
      </x:c>
      <x:c r="J708" s="2"/>
      <x:c r="K708" s="9"/>
      <x:c r="L708" s="2"/>
      <x:c r="M708" s="2"/>
      <x:c r="N708" s="2"/>
      <x:c r="O708" s="2"/>
      <x:c r="P708" s="2" t="str">
        <x:v>not_cached:getSignaturesForAddress:history/1c0a5846e278f91ab1281cb9</x:v>
      </x:c>
      <x:c r="Q708" s="2" t="str"/>
      <x:c r="R708" s="14" t="str">
        <x:f>IF(AND(C708="Нулевой остаток",I708="Есть цена"),G708,"")</x:f>
      </x:c>
      <x:c r="S708" s="14" t="str">
        <x:f>IF(AND(C708="Докупка",I708="Есть цена"),G708,"")</x:f>
      </x:c>
    </x:row>
    <x:row r="709" ht="21" customHeight="1">
      <x:c r="A709" s="2" t="n">
        <x:v>71</x:v>
      </x:c>
      <x:c r="B709" s="2" t="n">
        <x:v>15</x:v>
      </x:c>
      <x:c r="C709" s="2" t="str">
        <x:f>'Покупки'!C78</x:f>
        <x:v>Докупка</x:v>
      </x:c>
      <x:c r="D709" s="9" t="n">
        <x:v>46281.62978009259</x:v>
      </x:c>
      <x:c r="E709" s="12"/>
      <x:c r="F709" s="12" t="n">
        <x:f>'Покупки'!H78</x:f>
        <x:v>0.0038898794995474617</x:v>
      </x:c>
      <x:c r="G709" s="14" t="str">
        <x:f>IF(I709="Есть цена",IF(AND(ISNUMBER(E709),E709&gt;0,F709&gt;0),E709/F709-1,NA()),"")</x:f>
      </x:c>
      <x:c r="H709" s="14" t="str">
        <x:f>IF(AND(I709="Есть цена",I708="Есть цена"),IF(AND(E709&gt;0,E708&gt;0),E709/E708-1,NA()),"")</x:f>
      </x:c>
      <x:c r="I709" s="2" t="str">
        <x:v>RPC: данные не загружены</x:v>
      </x:c>
      <x:c r="J709" s="2"/>
      <x:c r="K709" s="9"/>
      <x:c r="L709" s="2"/>
      <x:c r="M709" s="2"/>
      <x:c r="N709" s="2"/>
      <x:c r="O709" s="2"/>
      <x:c r="P709" s="2" t="str">
        <x:v>not_cached:getSignaturesForAddress:history/71f1c7d4cab4dd89d2a8ccbb</x:v>
      </x:c>
      <x:c r="Q709" s="2" t="str"/>
      <x:c r="R709" s="14" t="str">
        <x:f>IF(AND(C709="Нулевой остаток",I709="Есть цена"),G709,"")</x:f>
      </x:c>
      <x:c r="S709" s="14" t="str">
        <x:f>IF(AND(C709="Докупка",I709="Есть цена"),G709,"")</x:f>
      </x:c>
    </x:row>
    <x:row r="710" ht="21" customHeight="1">
      <x:c r="A710" s="2" t="n">
        <x:v>71</x:v>
      </x:c>
      <x:c r="B710" s="2" t="n">
        <x:v>30</x:v>
      </x:c>
      <x:c r="C710" s="2" t="str">
        <x:f>'Покупки'!C78</x:f>
        <x:v>Докупка</x:v>
      </x:c>
      <x:c r="D710" s="9" t="n">
        <x:v>46281.629953703705</x:v>
      </x:c>
      <x:c r="E710" s="12"/>
      <x:c r="F710" s="12" t="n">
        <x:f>'Покупки'!H78</x:f>
        <x:v>0.0038898794995474617</x:v>
      </x:c>
      <x:c r="G710" s="14" t="str">
        <x:f>IF(I710="Есть цена",IF(AND(ISNUMBER(E710),E710&gt;0,F710&gt;0),E710/F710-1,NA()),"")</x:f>
      </x:c>
      <x:c r="H710" s="14" t="str">
        <x:f>IF(AND(I710="Есть цена",I708="Есть цена"),IF(AND(E710&gt;0,E708&gt;0),E710/E708-1,NA()),"")</x:f>
      </x:c>
      <x:c r="I710" s="2" t="str">
        <x:v>RPC: данные не загружены</x:v>
      </x:c>
      <x:c r="J710" s="2"/>
      <x:c r="K710" s="9"/>
      <x:c r="L710" s="2"/>
      <x:c r="M710" s="2"/>
      <x:c r="N710" s="2"/>
      <x:c r="O710" s="2"/>
      <x:c r="P710" s="2" t="str">
        <x:v>not_cached:getSignaturesForAddress:history/71f1c7d4cab4dd89d2a8ccbb</x:v>
      </x:c>
      <x:c r="Q710" s="2" t="str"/>
      <x:c r="R710" s="14" t="str">
        <x:f>IF(AND(C710="Нулевой остаток",I710="Есть цена"),G710,"")</x:f>
      </x:c>
      <x:c r="S710" s="14" t="str">
        <x:f>IF(AND(C710="Докупка",I710="Есть цена"),G710,"")</x:f>
      </x:c>
    </x:row>
    <x:row r="711" ht="21" customHeight="1">
      <x:c r="A711" s="2" t="n">
        <x:v>71</x:v>
      </x:c>
      <x:c r="B711" s="2" t="n">
        <x:v>60</x:v>
      </x:c>
      <x:c r="C711" s="2" t="str">
        <x:f>'Покупки'!C78</x:f>
        <x:v>Докупка</x:v>
      </x:c>
      <x:c r="D711" s="9" t="n">
        <x:v>46281.63030092593</x:v>
      </x:c>
      <x:c r="E711" s="12"/>
      <x:c r="F711" s="12" t="n">
        <x:f>'Покупки'!H78</x:f>
        <x:v>0.0038898794995474617</x:v>
      </x:c>
      <x:c r="G711" s="14" t="str">
        <x:f>IF(I711="Есть цена",IF(AND(ISNUMBER(E711),E711&gt;0,F711&gt;0),E711/F711-1,NA()),"")</x:f>
      </x:c>
      <x:c r="H711" s="14" t="str">
        <x:f>IF(AND(I711="Есть цена",I708="Есть цена"),IF(AND(E711&gt;0,E708&gt;0),E711/E708-1,NA()),"")</x:f>
      </x:c>
      <x:c r="I711" s="2" t="str">
        <x:v>RPC: данные не загружены</x:v>
      </x:c>
      <x:c r="J711" s="2"/>
      <x:c r="K711" s="9"/>
      <x:c r="L711" s="2"/>
      <x:c r="M711" s="2"/>
      <x:c r="N711" s="2"/>
      <x:c r="O711" s="2"/>
      <x:c r="P711" s="2" t="str">
        <x:v>not_cached:getSignaturesForAddress:history/71f1c7d4cab4dd89d2a8ccbb</x:v>
      </x:c>
      <x:c r="Q711" s="2" t="str"/>
      <x:c r="R711" s="14" t="str">
        <x:f>IF(AND(C711="Нулевой остаток",I711="Есть цена"),G711,"")</x:f>
      </x:c>
      <x:c r="S711" s="14" t="str">
        <x:f>IF(AND(C711="Докупка",I711="Есть цена"),G711,"")</x:f>
      </x:c>
    </x:row>
    <x:row r="712" ht="21" customHeight="1">
      <x:c r="A712" s="2" t="n">
        <x:v>71</x:v>
      </x:c>
      <x:c r="B712" s="2" t="n">
        <x:v>180</x:v>
      </x:c>
      <x:c r="C712" s="2" t="str">
        <x:f>'Покупки'!C78</x:f>
        <x:v>Докупка</x:v>
      </x:c>
      <x:c r="D712" s="9" t="n">
        <x:v>46281.631689814814</x:v>
      </x:c>
      <x:c r="E712" s="12"/>
      <x:c r="F712" s="12" t="n">
        <x:f>'Покупки'!H78</x:f>
        <x:v>0.0038898794995474617</x:v>
      </x:c>
      <x:c r="G712" s="14" t="str">
        <x:f>IF(I712="Есть цена",IF(AND(ISNUMBER(E712),E712&gt;0,F712&gt;0),E712/F712-1,NA()),"")</x:f>
      </x:c>
      <x:c r="H712" s="14" t="str">
        <x:f>IF(AND(I712="Есть цена",I708="Есть цена"),IF(AND(E712&gt;0,E708&gt;0),E712/E708-1,NA()),"")</x:f>
      </x:c>
      <x:c r="I712" s="2" t="str">
        <x:v>RPC: данные не загружены</x:v>
      </x:c>
      <x:c r="J712" s="2"/>
      <x:c r="K712" s="9"/>
      <x:c r="L712" s="2"/>
      <x:c r="M712" s="2"/>
      <x:c r="N712" s="2"/>
      <x:c r="O712" s="2"/>
      <x:c r="P712" s="2" t="str">
        <x:v>not_cached:getSignaturesForAddress:history/71f1c7d4cab4dd89d2a8ccbb</x:v>
      </x:c>
      <x:c r="Q712" s="2" t="str"/>
      <x:c r="R712" s="14" t="str">
        <x:f>IF(AND(C712="Нулевой остаток",I712="Есть цена"),G712,"")</x:f>
      </x:c>
      <x:c r="S712" s="14" t="str">
        <x:f>IF(AND(C712="Докупка",I712="Есть цена"),G712,"")</x:f>
      </x:c>
    </x:row>
    <x:row r="713" ht="21" customHeight="1">
      <x:c r="A713" s="2" t="n">
        <x:v>71</x:v>
      </x:c>
      <x:c r="B713" s="2" t="n">
        <x:v>300</x:v>
      </x:c>
      <x:c r="C713" s="2" t="str">
        <x:f>'Покупки'!C78</x:f>
        <x:v>Докупка</x:v>
      </x:c>
      <x:c r="D713" s="9" t="n">
        <x:v>46281.6330787037</x:v>
      </x:c>
      <x:c r="E713" s="12"/>
      <x:c r="F713" s="12" t="n">
        <x:f>'Покупки'!H78</x:f>
        <x:v>0.0038898794995474617</x:v>
      </x:c>
      <x:c r="G713" s="14" t="str">
        <x:f>IF(I713="Есть цена",IF(AND(ISNUMBER(E713),E713&gt;0,F713&gt;0),E713/F713-1,NA()),"")</x:f>
      </x:c>
      <x:c r="H713" s="14" t="str">
        <x:f>IF(AND(I713="Есть цена",I708="Есть цена"),IF(AND(E713&gt;0,E708&gt;0),E713/E708-1,NA()),"")</x:f>
      </x:c>
      <x:c r="I713" s="2" t="str">
        <x:v>RPC: данные не загружены</x:v>
      </x:c>
      <x:c r="J713" s="2"/>
      <x:c r="K713" s="9"/>
      <x:c r="L713" s="2"/>
      <x:c r="M713" s="2"/>
      <x:c r="N713" s="2"/>
      <x:c r="O713" s="2"/>
      <x:c r="P713" s="2" t="str">
        <x:v>not_cached:getSignaturesForAddress:history/9185545b739195ac312a6f6d</x:v>
      </x:c>
      <x:c r="Q713" s="2" t="str"/>
      <x:c r="R713" s="14" t="str">
        <x:f>IF(AND(C713="Нулевой остаток",I713="Есть цена"),G713,"")</x:f>
      </x:c>
      <x:c r="S713" s="14" t="str">
        <x:f>IF(AND(C713="Докупка",I713="Есть цена"),G713,"")</x:f>
      </x:c>
    </x:row>
    <x:row r="714" ht="21" customHeight="1">
      <x:c r="A714" s="2" t="n">
        <x:v>71</x:v>
      </x:c>
      <x:c r="B714" s="2" t="n">
        <x:v>900</x:v>
      </x:c>
      <x:c r="C714" s="2" t="str">
        <x:f>'Покупки'!C78</x:f>
        <x:v>Докупка</x:v>
      </x:c>
      <x:c r="D714" s="9" t="n">
        <x:v>46281.640023148146</x:v>
      </x:c>
      <x:c r="E714" s="12"/>
      <x:c r="F714" s="12" t="n">
        <x:f>'Покупки'!H78</x:f>
        <x:v>0.0038898794995474617</x:v>
      </x:c>
      <x:c r="G714" s="14" t="str">
        <x:f>IF(I714="Есть цена",IF(AND(ISNUMBER(E714),E714&gt;0,F714&gt;0),E714/F714-1,NA()),"")</x:f>
      </x:c>
      <x:c r="H714" s="14" t="str">
        <x:f>IF(AND(I714="Есть цена",I708="Есть цена"),IF(AND(E714&gt;0,E708&gt;0),E714/E708-1,NA()),"")</x:f>
      </x:c>
      <x:c r="I714" s="2" t="str">
        <x:v>RPC: данные не загружены</x:v>
      </x:c>
      <x:c r="J714" s="2"/>
      <x:c r="K714" s="9"/>
      <x:c r="L714" s="2"/>
      <x:c r="M714" s="2"/>
      <x:c r="N714" s="2"/>
      <x:c r="O714" s="2"/>
      <x:c r="P714" s="2" t="str">
        <x:v>not_cached:getSignaturesForAddress:history/4fe640a71207a45efb5f5027</x:v>
      </x:c>
      <x:c r="Q714" s="2" t="str"/>
      <x:c r="R714" s="14" t="str">
        <x:f>IF(AND(C714="Нулевой остаток",I714="Есть цена"),G714,"")</x:f>
      </x:c>
      <x:c r="S714" s="14" t="str">
        <x:f>IF(AND(C714="Докупка",I714="Есть цена"),G714,"")</x:f>
      </x:c>
    </x:row>
    <x:row r="715" ht="21" customHeight="1">
      <x:c r="A715" s="2" t="n">
        <x:v>71</x:v>
      </x:c>
      <x:c r="B715" s="2" t="n">
        <x:v>3600</x:v>
      </x:c>
      <x:c r="C715" s="2" t="str">
        <x:f>'Покупки'!C78</x:f>
        <x:v>Докупка</x:v>
      </x:c>
      <x:c r="D715" s="9" t="n">
        <x:v>46281.671273148146</x:v>
      </x:c>
      <x:c r="E715" s="12"/>
      <x:c r="F715" s="12" t="n">
        <x:f>'Покупки'!H78</x:f>
        <x:v>0.0038898794995474617</x:v>
      </x:c>
      <x:c r="G715" s="14" t="str">
        <x:f>IF(I715="Есть цена",IF(AND(ISNUMBER(E715),E715&gt;0,F715&gt;0),E715/F715-1,NA()),"")</x:f>
      </x:c>
      <x:c r="H715" s="14" t="str">
        <x:f>IF(AND(I715="Есть цена",I708="Есть цена"),IF(AND(E715&gt;0,E708&gt;0),E715/E708-1,NA()),"")</x:f>
      </x:c>
      <x:c r="I715" s="2" t="str">
        <x:v>RPC: данные не загружены</x:v>
      </x:c>
      <x:c r="J715" s="2"/>
      <x:c r="K715" s="9"/>
      <x:c r="L715" s="2"/>
      <x:c r="M715" s="2"/>
      <x:c r="N715" s="2"/>
      <x:c r="O715" s="2"/>
      <x:c r="P715" s="2" t="str">
        <x:v>not_cached:getSignaturesForAddress:history/56f14b4d5059850163a86db9</x:v>
      </x:c>
      <x:c r="Q715" s="2" t="str"/>
      <x:c r="R715" s="14" t="str">
        <x:f>IF(AND(C715="Нулевой остаток",I715="Есть цена"),G715,"")</x:f>
      </x:c>
      <x:c r="S715" s="14" t="str">
        <x:f>IF(AND(C715="Докупка",I715="Есть цена"),G715,"")</x:f>
      </x:c>
    </x:row>
    <x:row r="716" ht="21" customHeight="1">
      <x:c r="A716" s="2" t="n">
        <x:v>71</x:v>
      </x:c>
      <x:c r="B716" s="2" t="n">
        <x:v>21600</x:v>
      </x:c>
      <x:c r="C716" s="2" t="str">
        <x:f>'Покупки'!C78</x:f>
        <x:v>Докупка</x:v>
      </x:c>
      <x:c r="D716" s="9" t="n">
        <x:v>46281.87960648148</x:v>
      </x:c>
      <x:c r="E716" s="12"/>
      <x:c r="F716" s="12" t="n">
        <x:f>'Покупки'!H78</x:f>
        <x:v>0.0038898794995474617</x:v>
      </x:c>
      <x:c r="G716" s="14" t="str">
        <x:f>IF(I716="Есть цена",IF(AND(ISNUMBER(E716),E716&gt;0,F716&gt;0),E716/F716-1,NA()),"")</x:f>
      </x:c>
      <x:c r="H716" s="14" t="str">
        <x:f>IF(AND(I716="Есть цена",I708="Есть цена"),IF(AND(E716&gt;0,E708&gt;0),E716/E708-1,NA()),"")</x:f>
      </x:c>
      <x:c r="I716" s="2" t="str">
        <x:v>RPC: данные не загружены</x:v>
      </x:c>
      <x:c r="J716" s="2"/>
      <x:c r="K716" s="9"/>
      <x:c r="L716" s="2"/>
      <x:c r="M716" s="2"/>
      <x:c r="N716" s="2"/>
      <x:c r="O716" s="2"/>
      <x:c r="P716" s="2" t="str">
        <x:v>not_cached:getSignaturesForAddress:history/d69d33c295d51326b8d04ea3</x:v>
      </x:c>
      <x:c r="Q716" s="2" t="str"/>
      <x:c r="R716" s="14" t="str">
        <x:f>IF(AND(C716="Нулевой остаток",I716="Есть цена"),G716,"")</x:f>
      </x:c>
      <x:c r="S716" s="14" t="str">
        <x:f>IF(AND(C716="Докупка",I716="Есть цена"),G716,"")</x:f>
      </x:c>
    </x:row>
    <x:row r="717" ht="21" customHeight="1">
      <x:c r="A717" s="2" t="n">
        <x:v>71</x:v>
      </x:c>
      <x:c r="B717" s="2" t="n">
        <x:v>86400</x:v>
      </x:c>
      <x:c r="C717" s="2" t="str">
        <x:f>'Покупки'!C78</x:f>
        <x:v>Докупка</x:v>
      </x:c>
      <x:c r="D717" s="9" t="n">
        <x:v>46282.62960648148</x:v>
      </x:c>
      <x:c r="E717" s="12"/>
      <x:c r="F717" s="12" t="n">
        <x:f>'Покупки'!H78</x:f>
        <x:v>0.0038898794995474617</x:v>
      </x:c>
      <x:c r="G717" s="14" t="str">
        <x:f>IF(I717="Есть цена",IF(AND(ISNUMBER(E717),E717&gt;0,F717&gt;0),E717/F717-1,NA()),"")</x:f>
      </x:c>
      <x:c r="H717" s="14" t="str">
        <x:f>IF(AND(I717="Есть цена",I708="Есть цена"),IF(AND(E717&gt;0,E708&gt;0),E717/E708-1,NA()),"")</x:f>
      </x:c>
      <x:c r="I717" s="2" t="str">
        <x:v>RPC: данные не загружены</x:v>
      </x:c>
      <x:c r="J717" s="2"/>
      <x:c r="K717" s="9"/>
      <x:c r="L717" s="2"/>
      <x:c r="M717" s="2"/>
      <x:c r="N717" s="2"/>
      <x:c r="O717" s="2"/>
      <x:c r="P717" s="2" t="str">
        <x:v>not_cached:getSignaturesForAddress:history/0c831c2080af3c7b1bad5dfb</x:v>
      </x:c>
      <x:c r="Q717" s="2" t="str"/>
      <x:c r="R717" s="14" t="str">
        <x:f>IF(AND(C717="Нулевой остаток",I717="Есть цена"),G717,"")</x:f>
      </x:c>
      <x:c r="S717" s="14" t="str">
        <x:f>IF(AND(C717="Докупка",I717="Есть цена"),G717,"")</x:f>
      </x:c>
    </x:row>
    <x:row r="718" ht="21" customHeight="1">
      <x:c r="A718" s="2" t="n">
        <x:v>72</x:v>
      </x:c>
      <x:c r="B718" s="2" t="n">
        <x:v>5</x:v>
      </x:c>
      <x:c r="C718" s="2" t="str">
        <x:f>'Покупки'!C79</x:f>
        <x:v>Докупка</x:v>
      </x:c>
      <x:c r="D718" s="9" t="n">
        <x:v>46281.62929398148</x:v>
      </x:c>
      <x:c r="E718" s="12"/>
      <x:c r="F718" s="12" t="n">
        <x:f>'Покупки'!H79</x:f>
        <x:v>0.16560664306399558</x:v>
      </x:c>
      <x:c r="G718" s="14" t="str">
        <x:f>IF(I718="Есть цена",IF(AND(ISNUMBER(E718),E718&gt;0,F718&gt;0),E718/F718-1,NA()),"")</x:f>
      </x:c>
      <x:c r="H718" s="14" t="str">
        <x:f>IF(AND(I718="Есть цена",I718="Есть цена"),IF(AND(E718&gt;0,E718&gt;0),E718/E718-1,NA()),"")</x:f>
      </x:c>
      <x:c r="I718" s="2" t="str">
        <x:v>RPC: данные не загружены</x:v>
      </x:c>
      <x:c r="J718" s="2"/>
      <x:c r="K718" s="9"/>
      <x:c r="L718" s="2"/>
      <x:c r="M718" s="2"/>
      <x:c r="N718" s="2"/>
      <x:c r="O718" s="2"/>
      <x:c r="P718" s="2" t="str">
        <x:v>not_cached:getSignaturesForAddress:history/019d9c69a83821a9e36aad8a</x:v>
      </x:c>
      <x:c r="Q718" s="2" t="str"/>
      <x:c r="R718" s="14" t="str">
        <x:f>IF(AND(C718="Нулевой остаток",I718="Есть цена"),G718,"")</x:f>
      </x:c>
      <x:c r="S718" s="14" t="str">
        <x:f>IF(AND(C718="Докупка",I718="Есть цена"),G718,"")</x:f>
      </x:c>
    </x:row>
    <x:row r="719" ht="21" customHeight="1">
      <x:c r="A719" s="2" t="n">
        <x:v>72</x:v>
      </x:c>
      <x:c r="B719" s="2" t="n">
        <x:v>15</x:v>
      </x:c>
      <x:c r="C719" s="2" t="str">
        <x:f>'Покупки'!C79</x:f>
        <x:v>Докупка</x:v>
      </x:c>
      <x:c r="D719" s="9" t="n">
        <x:v>46281.62940972222</x:v>
      </x:c>
      <x:c r="E719" s="12"/>
      <x:c r="F719" s="12" t="n">
        <x:f>'Покупки'!H79</x:f>
        <x:v>0.16560664306399558</x:v>
      </x:c>
      <x:c r="G719" s="14" t="str">
        <x:f>IF(I719="Есть цена",IF(AND(ISNUMBER(E719),E719&gt;0,F719&gt;0),E719/F719-1,NA()),"")</x:f>
      </x:c>
      <x:c r="H719" s="14" t="str">
        <x:f>IF(AND(I719="Есть цена",I718="Есть цена"),IF(AND(E719&gt;0,E718&gt;0),E719/E718-1,NA()),"")</x:f>
      </x:c>
      <x:c r="I719" s="2" t="str">
        <x:v>RPC: данные не загружены</x:v>
      </x:c>
      <x:c r="J719" s="2"/>
      <x:c r="K719" s="9"/>
      <x:c r="L719" s="2"/>
      <x:c r="M719" s="2"/>
      <x:c r="N719" s="2"/>
      <x:c r="O719" s="2"/>
      <x:c r="P719" s="2" t="str">
        <x:v>not_cached:getSignaturesForAddress:history/019d9c69a83821a9e36aad8a</x:v>
      </x:c>
      <x:c r="Q719" s="2" t="str"/>
      <x:c r="R719" s="14" t="str">
        <x:f>IF(AND(C719="Нулевой остаток",I719="Есть цена"),G719,"")</x:f>
      </x:c>
      <x:c r="S719" s="14" t="str">
        <x:f>IF(AND(C719="Докупка",I719="Есть цена"),G719,"")</x:f>
      </x:c>
    </x:row>
    <x:row r="720" ht="21" customHeight="1">
      <x:c r="A720" s="2" t="n">
        <x:v>72</x:v>
      </x:c>
      <x:c r="B720" s="2" t="n">
        <x:v>30</x:v>
      </x:c>
      <x:c r="C720" s="2" t="str">
        <x:f>'Покупки'!C79</x:f>
        <x:v>Докупка</x:v>
      </x:c>
      <x:c r="D720" s="9" t="n">
        <x:v>46281.629583333335</x:v>
      </x:c>
      <x:c r="E720" s="12"/>
      <x:c r="F720" s="12" t="n">
        <x:f>'Покупки'!H79</x:f>
        <x:v>0.16560664306399558</x:v>
      </x:c>
      <x:c r="G720" s="14" t="str">
        <x:f>IF(I720="Есть цена",IF(AND(ISNUMBER(E720),E720&gt;0,F720&gt;0),E720/F720-1,NA()),"")</x:f>
      </x:c>
      <x:c r="H720" s="14" t="str">
        <x:f>IF(AND(I720="Есть цена",I718="Есть цена"),IF(AND(E720&gt;0,E718&gt;0),E720/E718-1,NA()),"")</x:f>
      </x:c>
      <x:c r="I720" s="2" t="str">
        <x:v>RPC: данные не загружены</x:v>
      </x:c>
      <x:c r="J720" s="2"/>
      <x:c r="K720" s="9"/>
      <x:c r="L720" s="2"/>
      <x:c r="M720" s="2"/>
      <x:c r="N720" s="2"/>
      <x:c r="O720" s="2"/>
      <x:c r="P720" s="2" t="str">
        <x:v>not_cached:getSignaturesForAddress:history/6f31cf8c6332c92ad92e8bf4</x:v>
      </x:c>
      <x:c r="Q720" s="2" t="str"/>
      <x:c r="R720" s="14" t="str">
        <x:f>IF(AND(C720="Нулевой остаток",I720="Есть цена"),G720,"")</x:f>
      </x:c>
      <x:c r="S720" s="14" t="str">
        <x:f>IF(AND(C720="Докупка",I720="Есть цена"),G720,"")</x:f>
      </x:c>
    </x:row>
    <x:row r="721" ht="21" customHeight="1">
      <x:c r="A721" s="2" t="n">
        <x:v>72</x:v>
      </x:c>
      <x:c r="B721" s="2" t="n">
        <x:v>60</x:v>
      </x:c>
      <x:c r="C721" s="2" t="str">
        <x:f>'Покупки'!C79</x:f>
        <x:v>Докупка</x:v>
      </x:c>
      <x:c r="D721" s="9" t="n">
        <x:v>46281.62993055556</x:v>
      </x:c>
      <x:c r="E721" s="12"/>
      <x:c r="F721" s="12" t="n">
        <x:f>'Покупки'!H79</x:f>
        <x:v>0.16560664306399558</x:v>
      </x:c>
      <x:c r="G721" s="14" t="str">
        <x:f>IF(I721="Есть цена",IF(AND(ISNUMBER(E721),E721&gt;0,F721&gt;0),E721/F721-1,NA()),"")</x:f>
      </x:c>
      <x:c r="H721" s="14" t="str">
        <x:f>IF(AND(I721="Есть цена",I718="Есть цена"),IF(AND(E721&gt;0,E718&gt;0),E721/E718-1,NA()),"")</x:f>
      </x:c>
      <x:c r="I721" s="2" t="str">
        <x:v>RPC: данные не загружены</x:v>
      </x:c>
      <x:c r="J721" s="2"/>
      <x:c r="K721" s="9"/>
      <x:c r="L721" s="2"/>
      <x:c r="M721" s="2"/>
      <x:c r="N721" s="2"/>
      <x:c r="O721" s="2"/>
      <x:c r="P721" s="2" t="str">
        <x:v>not_cached:getSignaturesForAddress:history/af8625380c531efa03623340</x:v>
      </x:c>
      <x:c r="Q721" s="2" t="str"/>
      <x:c r="R721" s="14" t="str">
        <x:f>IF(AND(C721="Нулевой остаток",I721="Есть цена"),G721,"")</x:f>
      </x:c>
      <x:c r="S721" s="14" t="str">
        <x:f>IF(AND(C721="Докупка",I721="Есть цена"),G721,"")</x:f>
      </x:c>
    </x:row>
    <x:row r="722" ht="21" customHeight="1">
      <x:c r="A722" s="2" t="n">
        <x:v>72</x:v>
      </x:c>
      <x:c r="B722" s="2" t="n">
        <x:v>180</x:v>
      </x:c>
      <x:c r="C722" s="2" t="str">
        <x:f>'Покупки'!C79</x:f>
        <x:v>Докупка</x:v>
      </x:c>
      <x:c r="D722" s="9" t="n">
        <x:v>46281.631319444445</x:v>
      </x:c>
      <x:c r="E722" s="12"/>
      <x:c r="F722" s="12" t="n">
        <x:f>'Покупки'!H79</x:f>
        <x:v>0.16560664306399558</x:v>
      </x:c>
      <x:c r="G722" s="14" t="str">
        <x:f>IF(I722="Есть цена",IF(AND(ISNUMBER(E722),E722&gt;0,F722&gt;0),E722/F722-1,NA()),"")</x:f>
      </x:c>
      <x:c r="H722" s="14" t="str">
        <x:f>IF(AND(I722="Есть цена",I718="Есть цена"),IF(AND(E722&gt;0,E718&gt;0),E722/E718-1,NA()),"")</x:f>
      </x:c>
      <x:c r="I722" s="2" t="str">
        <x:v>RPC: данные не загружены</x:v>
      </x:c>
      <x:c r="J722" s="2"/>
      <x:c r="K722" s="9"/>
      <x:c r="L722" s="2"/>
      <x:c r="M722" s="2"/>
      <x:c r="N722" s="2"/>
      <x:c r="O722" s="2"/>
      <x:c r="P722" s="2" t="str">
        <x:v>not_cached:getSignaturesForAddress:history/af8625380c531efa03623340</x:v>
      </x:c>
      <x:c r="Q722" s="2" t="str"/>
      <x:c r="R722" s="14" t="str">
        <x:f>IF(AND(C722="Нулевой остаток",I722="Есть цена"),G722,"")</x:f>
      </x:c>
      <x:c r="S722" s="14" t="str">
        <x:f>IF(AND(C722="Докупка",I722="Есть цена"),G722,"")</x:f>
      </x:c>
    </x:row>
    <x:row r="723" ht="21" customHeight="1">
      <x:c r="A723" s="2" t="n">
        <x:v>72</x:v>
      </x:c>
      <x:c r="B723" s="2" t="n">
        <x:v>300</x:v>
      </x:c>
      <x:c r="C723" s="2" t="str">
        <x:f>'Покупки'!C79</x:f>
        <x:v>Докупка</x:v>
      </x:c>
      <x:c r="D723" s="9" t="n">
        <x:v>46281.63270833333</x:v>
      </x:c>
      <x:c r="E723" s="12"/>
      <x:c r="F723" s="12" t="n">
        <x:f>'Покупки'!H79</x:f>
        <x:v>0.16560664306399558</x:v>
      </x:c>
      <x:c r="G723" s="14" t="str">
        <x:f>IF(I723="Есть цена",IF(AND(ISNUMBER(E723),E723&gt;0,F723&gt;0),E723/F723-1,NA()),"")</x:f>
      </x:c>
      <x:c r="H723" s="14" t="str">
        <x:f>IF(AND(I723="Есть цена",I718="Есть цена"),IF(AND(E723&gt;0,E718&gt;0),E723/E718-1,NA()),"")</x:f>
      </x:c>
      <x:c r="I723" s="2" t="str">
        <x:v>RPC: данные не загружены</x:v>
      </x:c>
      <x:c r="J723" s="2"/>
      <x:c r="K723" s="9"/>
      <x:c r="L723" s="2"/>
      <x:c r="M723" s="2"/>
      <x:c r="N723" s="2"/>
      <x:c r="O723" s="2"/>
      <x:c r="P723" s="2" t="str">
        <x:v>not_cached:getSignaturesForAddress:history/8efa45d15859aa11ee5ed17c</x:v>
      </x:c>
      <x:c r="Q723" s="2" t="str"/>
      <x:c r="R723" s="14" t="str">
        <x:f>IF(AND(C723="Нулевой остаток",I723="Есть цена"),G723,"")</x:f>
      </x:c>
      <x:c r="S723" s="14" t="str">
        <x:f>IF(AND(C723="Докупка",I723="Есть цена"),G723,"")</x:f>
      </x:c>
    </x:row>
    <x:row r="724" ht="21" customHeight="1">
      <x:c r="A724" s="2" t="n">
        <x:v>72</x:v>
      </x:c>
      <x:c r="B724" s="2" t="n">
        <x:v>900</x:v>
      </x:c>
      <x:c r="C724" s="2" t="str">
        <x:f>'Покупки'!C79</x:f>
        <x:v>Докупка</x:v>
      </x:c>
      <x:c r="D724" s="9" t="n">
        <x:v>46281.639652777776</x:v>
      </x:c>
      <x:c r="E724" s="12"/>
      <x:c r="F724" s="12" t="n">
        <x:f>'Покупки'!H79</x:f>
        <x:v>0.16560664306399558</x:v>
      </x:c>
      <x:c r="G724" s="14" t="str">
        <x:f>IF(I724="Есть цена",IF(AND(ISNUMBER(E724),E724&gt;0,F724&gt;0),E724/F724-1,NA()),"")</x:f>
      </x:c>
      <x:c r="H724" s="14" t="str">
        <x:f>IF(AND(I724="Есть цена",I718="Есть цена"),IF(AND(E724&gt;0,E718&gt;0),E724/E718-1,NA()),"")</x:f>
      </x:c>
      <x:c r="I724" s="2" t="str">
        <x:v>RPC: данные не загружены</x:v>
      </x:c>
      <x:c r="J724" s="2"/>
      <x:c r="K724" s="9"/>
      <x:c r="L724" s="2"/>
      <x:c r="M724" s="2"/>
      <x:c r="N724" s="2"/>
      <x:c r="O724" s="2"/>
      <x:c r="P724" s="2" t="str">
        <x:v>not_cached:getSignaturesForAddress:history/a11370f9ad488bd05631b72b</x:v>
      </x:c>
      <x:c r="Q724" s="2" t="str"/>
      <x:c r="R724" s="14" t="str">
        <x:f>IF(AND(C724="Нулевой остаток",I724="Есть цена"),G724,"")</x:f>
      </x:c>
      <x:c r="S724" s="14" t="str">
        <x:f>IF(AND(C724="Докупка",I724="Есть цена"),G724,"")</x:f>
      </x:c>
    </x:row>
    <x:row r="725" ht="21" customHeight="1">
      <x:c r="A725" s="2" t="n">
        <x:v>72</x:v>
      </x:c>
      <x:c r="B725" s="2" t="n">
        <x:v>3600</x:v>
      </x:c>
      <x:c r="C725" s="2" t="str">
        <x:f>'Покупки'!C79</x:f>
        <x:v>Докупка</x:v>
      </x:c>
      <x:c r="D725" s="9" t="n">
        <x:v>46281.670902777776</x:v>
      </x:c>
      <x:c r="E725" s="12"/>
      <x:c r="F725" s="12" t="n">
        <x:f>'Покупки'!H79</x:f>
        <x:v>0.16560664306399558</x:v>
      </x:c>
      <x:c r="G725" s="14" t="str">
        <x:f>IF(I725="Есть цена",IF(AND(ISNUMBER(E725),E725&gt;0,F725&gt;0),E725/F725-1,NA()),"")</x:f>
      </x:c>
      <x:c r="H725" s="14" t="str">
        <x:f>IF(AND(I725="Есть цена",I718="Есть цена"),IF(AND(E725&gt;0,E718&gt;0),E725/E718-1,NA()),"")</x:f>
      </x:c>
      <x:c r="I725" s="2" t="str">
        <x:v>RPC: данные не загружены</x:v>
      </x:c>
      <x:c r="J725" s="2"/>
      <x:c r="K725" s="9"/>
      <x:c r="L725" s="2"/>
      <x:c r="M725" s="2"/>
      <x:c r="N725" s="2"/>
      <x:c r="O725" s="2"/>
      <x:c r="P725" s="2" t="str">
        <x:v>not_cached:getSignaturesForAddress:history/d58f800186c3068056ef0c2a</x:v>
      </x:c>
      <x:c r="Q725" s="2" t="str"/>
      <x:c r="R725" s="14" t="str">
        <x:f>IF(AND(C725="Нулевой остаток",I725="Есть цена"),G725,"")</x:f>
      </x:c>
      <x:c r="S725" s="14" t="str">
        <x:f>IF(AND(C725="Докупка",I725="Есть цена"),G725,"")</x:f>
      </x:c>
    </x:row>
    <x:row r="726" ht="21" customHeight="1">
      <x:c r="A726" s="2" t="n">
        <x:v>72</x:v>
      </x:c>
      <x:c r="B726" s="2" t="n">
        <x:v>21600</x:v>
      </x:c>
      <x:c r="C726" s="2" t="str">
        <x:f>'Покупки'!C79</x:f>
        <x:v>Докупка</x:v>
      </x:c>
      <x:c r="D726" s="9" t="n">
        <x:v>46281.87923611111</x:v>
      </x:c>
      <x:c r="E726" s="12"/>
      <x:c r="F726" s="12" t="n">
        <x:f>'Покупки'!H79</x:f>
        <x:v>0.16560664306399558</x:v>
      </x:c>
      <x:c r="G726" s="14" t="str">
        <x:f>IF(I726="Есть цена",IF(AND(ISNUMBER(E726),E726&gt;0,F726&gt;0),E726/F726-1,NA()),"")</x:f>
      </x:c>
      <x:c r="H726" s="14" t="str">
        <x:f>IF(AND(I726="Есть цена",I718="Есть цена"),IF(AND(E726&gt;0,E718&gt;0),E726/E718-1,NA()),"")</x:f>
      </x:c>
      <x:c r="I726" s="2" t="str">
        <x:v>RPC: данные не загружены</x:v>
      </x:c>
      <x:c r="J726" s="2"/>
      <x:c r="K726" s="9"/>
      <x:c r="L726" s="2"/>
      <x:c r="M726" s="2"/>
      <x:c r="N726" s="2"/>
      <x:c r="O726" s="2"/>
      <x:c r="P726" s="2" t="str">
        <x:v>not_cached:getSignaturesForAddress:history/272829ad6ecb89b7313341f3</x:v>
      </x:c>
      <x:c r="Q726" s="2" t="str"/>
      <x:c r="R726" s="14" t="str">
        <x:f>IF(AND(C726="Нулевой остаток",I726="Есть цена"),G726,"")</x:f>
      </x:c>
      <x:c r="S726" s="14" t="str">
        <x:f>IF(AND(C726="Докупка",I726="Есть цена"),G726,"")</x:f>
      </x:c>
    </x:row>
    <x:row r="727" ht="21" customHeight="1">
      <x:c r="A727" s="2" t="n">
        <x:v>72</x:v>
      </x:c>
      <x:c r="B727" s="2" t="n">
        <x:v>86400</x:v>
      </x:c>
      <x:c r="C727" s="2" t="str">
        <x:f>'Покупки'!C79</x:f>
        <x:v>Докупка</x:v>
      </x:c>
      <x:c r="D727" s="9" t="n">
        <x:v>46282.62923611111</x:v>
      </x:c>
      <x:c r="E727" s="12"/>
      <x:c r="F727" s="12" t="n">
        <x:f>'Покупки'!H79</x:f>
        <x:v>0.16560664306399558</x:v>
      </x:c>
      <x:c r="G727" s="14" t="str">
        <x:f>IF(I727="Есть цена",IF(AND(ISNUMBER(E727),E727&gt;0,F727&gt;0),E727/F727-1,NA()),"")</x:f>
      </x:c>
      <x:c r="H727" s="14" t="str">
        <x:f>IF(AND(I727="Есть цена",I718="Есть цена"),IF(AND(E727&gt;0,E718&gt;0),E727/E718-1,NA()),"")</x:f>
      </x:c>
      <x:c r="I727" s="2" t="str">
        <x:v>RPC: данные не загружены</x:v>
      </x:c>
      <x:c r="J727" s="2"/>
      <x:c r="K727" s="9"/>
      <x:c r="L727" s="2"/>
      <x:c r="M727" s="2"/>
      <x:c r="N727" s="2"/>
      <x:c r="O727" s="2"/>
      <x:c r="P727" s="2" t="str">
        <x:v>not_cached:getSignaturesForAddress:history/68e7141b85b113e284e24a80</x:v>
      </x:c>
      <x:c r="Q727" s="2" t="str"/>
      <x:c r="R727" s="14" t="str">
        <x:f>IF(AND(C727="Нулевой остаток",I727="Есть цена"),G727,"")</x:f>
      </x:c>
      <x:c r="S727" s="14" t="str">
        <x:f>IF(AND(C727="Докупка",I727="Есть цена"),G727,"")</x:f>
      </x:c>
    </x:row>
    <x:row r="728" ht="21" customHeight="1">
      <x:c r="A728" s="2" t="n">
        <x:v>73</x:v>
      </x:c>
      <x:c r="B728" s="2" t="n">
        <x:v>5</x:v>
      </x:c>
      <x:c r="C728" s="2" t="str">
        <x:f>'Покупки'!C80</x:f>
        <x:v>Докупка</x:v>
      </x:c>
      <x:c r="D728" s="9" t="n">
        <x:v>46281.628912037035</x:v>
      </x:c>
      <x:c r="E728" s="12"/>
      <x:c r="F728" s="12" t="n">
        <x:f>'Покупки'!H80</x:f>
        <x:v>0.003616144202407062</x:v>
      </x:c>
      <x:c r="G728" s="14" t="str">
        <x:f>IF(I728="Есть цена",IF(AND(ISNUMBER(E728),E728&gt;0,F728&gt;0),E728/F728-1,NA()),"")</x:f>
      </x:c>
      <x:c r="H728" s="14" t="str">
        <x:f>IF(AND(I728="Есть цена",I728="Есть цена"),IF(AND(E728&gt;0,E728&gt;0),E728/E728-1,NA()),"")</x:f>
      </x:c>
      <x:c r="I728" s="2" t="str">
        <x:v>RPC: данные не загружены</x:v>
      </x:c>
      <x:c r="J728" s="2"/>
      <x:c r="K728" s="9"/>
      <x:c r="L728" s="2"/>
      <x:c r="M728" s="2"/>
      <x:c r="N728" s="2"/>
      <x:c r="O728" s="2"/>
      <x:c r="P728" s="2" t="str">
        <x:v>not_cached:getSignaturesForAddress:history/15cd27b4b17fe1753413dbe3</x:v>
      </x:c>
      <x:c r="Q728" s="2" t="str"/>
      <x:c r="R728" s="14" t="str">
        <x:f>IF(AND(C728="Нулевой остаток",I728="Есть цена"),G728,"")</x:f>
      </x:c>
      <x:c r="S728" s="14" t="str">
        <x:f>IF(AND(C728="Докупка",I728="Есть цена"),G728,"")</x:f>
      </x:c>
    </x:row>
    <x:row r="729" ht="21" customHeight="1">
      <x:c r="A729" s="2" t="n">
        <x:v>73</x:v>
      </x:c>
      <x:c r="B729" s="2" t="n">
        <x:v>15</x:v>
      </x:c>
      <x:c r="C729" s="2" t="str">
        <x:f>'Покупки'!C80</x:f>
        <x:v>Докупка</x:v>
      </x:c>
      <x:c r="D729" s="9" t="n">
        <x:v>46281.62902777778</x:v>
      </x:c>
      <x:c r="E729" s="12"/>
      <x:c r="F729" s="12" t="n">
        <x:f>'Покупки'!H80</x:f>
        <x:v>0.003616144202407062</x:v>
      </x:c>
      <x:c r="G729" s="14" t="str">
        <x:f>IF(I729="Есть цена",IF(AND(ISNUMBER(E729),E729&gt;0,F729&gt;0),E729/F729-1,NA()),"")</x:f>
      </x:c>
      <x:c r="H729" s="14" t="str">
        <x:f>IF(AND(I729="Есть цена",I728="Есть цена"),IF(AND(E729&gt;0,E728&gt;0),E729/E728-1,NA()),"")</x:f>
      </x:c>
      <x:c r="I729" s="2" t="str">
        <x:v>RPC: данные не загружены</x:v>
      </x:c>
      <x:c r="J729" s="2"/>
      <x:c r="K729" s="9"/>
      <x:c r="L729" s="2"/>
      <x:c r="M729" s="2"/>
      <x:c r="N729" s="2"/>
      <x:c r="O729" s="2"/>
      <x:c r="P729" s="2" t="str">
        <x:v>not_cached:getSignaturesForAddress:history/15cd27b4b17fe1753413dbe3</x:v>
      </x:c>
      <x:c r="Q729" s="2" t="str"/>
      <x:c r="R729" s="14" t="str">
        <x:f>IF(AND(C729="Нулевой остаток",I729="Есть цена"),G729,"")</x:f>
      </x:c>
      <x:c r="S729" s="14" t="str">
        <x:f>IF(AND(C729="Докупка",I729="Есть цена"),G729,"")</x:f>
      </x:c>
    </x:row>
    <x:row r="730" ht="21" customHeight="1">
      <x:c r="A730" s="2" t="n">
        <x:v>73</x:v>
      </x:c>
      <x:c r="B730" s="2" t="n">
        <x:v>30</x:v>
      </x:c>
      <x:c r="C730" s="2" t="str">
        <x:f>'Покупки'!C80</x:f>
        <x:v>Докупка</x:v>
      </x:c>
      <x:c r="D730" s="9" t="n">
        <x:v>46281.62920138889</x:v>
      </x:c>
      <x:c r="E730" s="12"/>
      <x:c r="F730" s="12" t="n">
        <x:f>'Покупки'!H80</x:f>
        <x:v>0.003616144202407062</x:v>
      </x:c>
      <x:c r="G730" s="14" t="str">
        <x:f>IF(I730="Есть цена",IF(AND(ISNUMBER(E730),E730&gt;0,F730&gt;0),E730/F730-1,NA()),"")</x:f>
      </x:c>
      <x:c r="H730" s="14" t="str">
        <x:f>IF(AND(I730="Есть цена",I728="Есть цена"),IF(AND(E730&gt;0,E728&gt;0),E730/E728-1,NA()),"")</x:f>
      </x:c>
      <x:c r="I730" s="2" t="str">
        <x:v>RPC: данные не загружены</x:v>
      </x:c>
      <x:c r="J730" s="2"/>
      <x:c r="K730" s="9"/>
      <x:c r="L730" s="2"/>
      <x:c r="M730" s="2"/>
      <x:c r="N730" s="2"/>
      <x:c r="O730" s="2"/>
      <x:c r="P730" s="2" t="str">
        <x:v>not_cached:getSignaturesForAddress:history/15cd27b4b17fe1753413dbe3</x:v>
      </x:c>
      <x:c r="Q730" s="2" t="str"/>
      <x:c r="R730" s="14" t="str">
        <x:f>IF(AND(C730="Нулевой остаток",I730="Есть цена"),G730,"")</x:f>
      </x:c>
      <x:c r="S730" s="14" t="str">
        <x:f>IF(AND(C730="Докупка",I730="Есть цена"),G730,"")</x:f>
      </x:c>
    </x:row>
    <x:row r="731" ht="21" customHeight="1">
      <x:c r="A731" s="2" t="n">
        <x:v>73</x:v>
      </x:c>
      <x:c r="B731" s="2" t="n">
        <x:v>60</x:v>
      </x:c>
      <x:c r="C731" s="2" t="str">
        <x:f>'Покупки'!C80</x:f>
        <x:v>Докупка</x:v>
      </x:c>
      <x:c r="D731" s="9" t="n">
        <x:v>46281.62954861111</x:v>
      </x:c>
      <x:c r="E731" s="12"/>
      <x:c r="F731" s="12" t="n">
        <x:f>'Покупки'!H80</x:f>
        <x:v>0.003616144202407062</x:v>
      </x:c>
      <x:c r="G731" s="14" t="str">
        <x:f>IF(I731="Есть цена",IF(AND(ISNUMBER(E731),E731&gt;0,F731&gt;0),E731/F731-1,NA()),"")</x:f>
      </x:c>
      <x:c r="H731" s="14" t="str">
        <x:f>IF(AND(I731="Есть цена",I728="Есть цена"),IF(AND(E731&gt;0,E728&gt;0),E731/E728-1,NA()),"")</x:f>
      </x:c>
      <x:c r="I731" s="2" t="str">
        <x:v>RPC: данные не загружены</x:v>
      </x:c>
      <x:c r="J731" s="2"/>
      <x:c r="K731" s="9"/>
      <x:c r="L731" s="2"/>
      <x:c r="M731" s="2"/>
      <x:c r="N731" s="2"/>
      <x:c r="O731" s="2"/>
      <x:c r="P731" s="2" t="str">
        <x:v>not_cached:getSignaturesForAddress:history/316a116fb61233fda87a5ee3</x:v>
      </x:c>
      <x:c r="Q731" s="2" t="str"/>
      <x:c r="R731" s="14" t="str">
        <x:f>IF(AND(C731="Нулевой остаток",I731="Есть цена"),G731,"")</x:f>
      </x:c>
      <x:c r="S731" s="14" t="str">
        <x:f>IF(AND(C731="Докупка",I731="Есть цена"),G731,"")</x:f>
      </x:c>
    </x:row>
    <x:row r="732" ht="21" customHeight="1">
      <x:c r="A732" s="2" t="n">
        <x:v>73</x:v>
      </x:c>
      <x:c r="B732" s="2" t="n">
        <x:v>180</x:v>
      </x:c>
      <x:c r="C732" s="2" t="str">
        <x:f>'Покупки'!C80</x:f>
        <x:v>Докупка</x:v>
      </x:c>
      <x:c r="D732" s="9" t="n">
        <x:v>46281.6309375</x:v>
      </x:c>
      <x:c r="E732" s="12"/>
      <x:c r="F732" s="12" t="n">
        <x:f>'Покупки'!H80</x:f>
        <x:v>0.003616144202407062</x:v>
      </x:c>
      <x:c r="G732" s="14" t="str">
        <x:f>IF(I732="Есть цена",IF(AND(ISNUMBER(E732),E732&gt;0,F732&gt;0),E732/F732-1,NA()),"")</x:f>
      </x:c>
      <x:c r="H732" s="14" t="str">
        <x:f>IF(AND(I732="Есть цена",I728="Есть цена"),IF(AND(E732&gt;0,E728&gt;0),E732/E728-1,NA()),"")</x:f>
      </x:c>
      <x:c r="I732" s="2" t="str">
        <x:v>RPC: данные не загружены</x:v>
      </x:c>
      <x:c r="J732" s="2"/>
      <x:c r="K732" s="9"/>
      <x:c r="L732" s="2"/>
      <x:c r="M732" s="2"/>
      <x:c r="N732" s="2"/>
      <x:c r="O732" s="2"/>
      <x:c r="P732" s="2" t="str">
        <x:v>not_cached:getSignaturesForAddress:history/71f1c7d4cab4dd89d2a8ccbb</x:v>
      </x:c>
      <x:c r="Q732" s="2" t="str"/>
      <x:c r="R732" s="14" t="str">
        <x:f>IF(AND(C732="Нулевой остаток",I732="Есть цена"),G732,"")</x:f>
      </x:c>
      <x:c r="S732" s="14" t="str">
        <x:f>IF(AND(C732="Докупка",I732="Есть цена"),G732,"")</x:f>
      </x:c>
    </x:row>
    <x:row r="733" ht="21" customHeight="1">
      <x:c r="A733" s="2" t="n">
        <x:v>73</x:v>
      </x:c>
      <x:c r="B733" s="2" t="n">
        <x:v>300</x:v>
      </x:c>
      <x:c r="C733" s="2" t="str">
        <x:f>'Покупки'!C80</x:f>
        <x:v>Докупка</x:v>
      </x:c>
      <x:c r="D733" s="9" t="n">
        <x:v>46281.63232638889</x:v>
      </x:c>
      <x:c r="E733" s="12"/>
      <x:c r="F733" s="12" t="n">
        <x:f>'Покупки'!H80</x:f>
        <x:v>0.003616144202407062</x:v>
      </x:c>
      <x:c r="G733" s="14" t="str">
        <x:f>IF(I733="Есть цена",IF(AND(ISNUMBER(E733),E733&gt;0,F733&gt;0),E733/F733-1,NA()),"")</x:f>
      </x:c>
      <x:c r="H733" s="14" t="str">
        <x:f>IF(AND(I733="Есть цена",I728="Есть цена"),IF(AND(E733&gt;0,E728&gt;0),E733/E728-1,NA()),"")</x:f>
      </x:c>
      <x:c r="I733" s="2" t="str">
        <x:v>RPC: данные не загружены</x:v>
      </x:c>
      <x:c r="J733" s="2"/>
      <x:c r="K733" s="9"/>
      <x:c r="L733" s="2"/>
      <x:c r="M733" s="2"/>
      <x:c r="N733" s="2"/>
      <x:c r="O733" s="2"/>
      <x:c r="P733" s="2" t="str">
        <x:v>not_cached:getSignaturesForAddress:history/9185545b739195ac312a6f6d</x:v>
      </x:c>
      <x:c r="Q733" s="2" t="str"/>
      <x:c r="R733" s="14" t="str">
        <x:f>IF(AND(C733="Нулевой остаток",I733="Есть цена"),G733,"")</x:f>
      </x:c>
      <x:c r="S733" s="14" t="str">
        <x:f>IF(AND(C733="Докупка",I733="Есть цена"),G733,"")</x:f>
      </x:c>
    </x:row>
    <x:row r="734" ht="21" customHeight="1">
      <x:c r="A734" s="2" t="n">
        <x:v>73</x:v>
      </x:c>
      <x:c r="B734" s="2" t="n">
        <x:v>900</x:v>
      </x:c>
      <x:c r="C734" s="2" t="str">
        <x:f>'Покупки'!C80</x:f>
        <x:v>Докупка</x:v>
      </x:c>
      <x:c r="D734" s="9" t="n">
        <x:v>46281.63927083334</x:v>
      </x:c>
      <x:c r="E734" s="12"/>
      <x:c r="F734" s="12" t="n">
        <x:f>'Покупки'!H80</x:f>
        <x:v>0.003616144202407062</x:v>
      </x:c>
      <x:c r="G734" s="14" t="str">
        <x:f>IF(I734="Есть цена",IF(AND(ISNUMBER(E734),E734&gt;0,F734&gt;0),E734/F734-1,NA()),"")</x:f>
      </x:c>
      <x:c r="H734" s="14" t="str">
        <x:f>IF(AND(I734="Есть цена",I728="Есть цена"),IF(AND(E734&gt;0,E728&gt;0),E734/E728-1,NA()),"")</x:f>
      </x:c>
      <x:c r="I734" s="2" t="str">
        <x:v>RPC: данные не загружены</x:v>
      </x:c>
      <x:c r="J734" s="2"/>
      <x:c r="K734" s="9"/>
      <x:c r="L734" s="2"/>
      <x:c r="M734" s="2"/>
      <x:c r="N734" s="2"/>
      <x:c r="O734" s="2"/>
      <x:c r="P734" s="2" t="str">
        <x:v>not_cached:getSignaturesForAddress:history/018244bdfe7644e438b9230f</x:v>
      </x:c>
      <x:c r="Q734" s="2" t="str"/>
      <x:c r="R734" s="14" t="str">
        <x:f>IF(AND(C734="Нулевой остаток",I734="Есть цена"),G734,"")</x:f>
      </x:c>
      <x:c r="S734" s="14" t="str">
        <x:f>IF(AND(C734="Докупка",I734="Есть цена"),G734,"")</x:f>
      </x:c>
    </x:row>
    <x:row r="735" ht="21" customHeight="1">
      <x:c r="A735" s="2" t="n">
        <x:v>73</x:v>
      </x:c>
      <x:c r="B735" s="2" t="n">
        <x:v>3600</x:v>
      </x:c>
      <x:c r="C735" s="2" t="str">
        <x:f>'Покупки'!C80</x:f>
        <x:v>Докупка</x:v>
      </x:c>
      <x:c r="D735" s="9" t="n">
        <x:v>46281.67052083334</x:v>
      </x:c>
      <x:c r="E735" s="12"/>
      <x:c r="F735" s="12" t="n">
        <x:f>'Покупки'!H80</x:f>
        <x:v>0.003616144202407062</x:v>
      </x:c>
      <x:c r="G735" s="14" t="str">
        <x:f>IF(I735="Есть цена",IF(AND(ISNUMBER(E735),E735&gt;0,F735&gt;0),E735/F735-1,NA()),"")</x:f>
      </x:c>
      <x:c r="H735" s="14" t="str">
        <x:f>IF(AND(I735="Есть цена",I728="Есть цена"),IF(AND(E735&gt;0,E728&gt;0),E735/E728-1,NA()),"")</x:f>
      </x:c>
      <x:c r="I735" s="2" t="str">
        <x:v>RPC: данные не загружены</x:v>
      </x:c>
      <x:c r="J735" s="2"/>
      <x:c r="K735" s="9"/>
      <x:c r="L735" s="2"/>
      <x:c r="M735" s="2"/>
      <x:c r="N735" s="2"/>
      <x:c r="O735" s="2"/>
      <x:c r="P735" s="2" t="str">
        <x:v>not_cached:getSignaturesForAddress:history/56f14b4d5059850163a86db9</x:v>
      </x:c>
      <x:c r="Q735" s="2" t="str"/>
      <x:c r="R735" s="14" t="str">
        <x:f>IF(AND(C735="Нулевой остаток",I735="Есть цена"),G735,"")</x:f>
      </x:c>
      <x:c r="S735" s="14" t="str">
        <x:f>IF(AND(C735="Докупка",I735="Есть цена"),G735,"")</x:f>
      </x:c>
    </x:row>
    <x:row r="736" ht="21" customHeight="1">
      <x:c r="A736" s="2" t="n">
        <x:v>73</x:v>
      </x:c>
      <x:c r="B736" s="2" t="n">
        <x:v>21600</x:v>
      </x:c>
      <x:c r="C736" s="2" t="str">
        <x:f>'Покупки'!C80</x:f>
        <x:v>Докупка</x:v>
      </x:c>
      <x:c r="D736" s="9" t="n">
        <x:v>46281.878854166665</x:v>
      </x:c>
      <x:c r="E736" s="12"/>
      <x:c r="F736" s="12" t="n">
        <x:f>'Покупки'!H80</x:f>
        <x:v>0.003616144202407062</x:v>
      </x:c>
      <x:c r="G736" s="14" t="str">
        <x:f>IF(I736="Есть цена",IF(AND(ISNUMBER(E736),E736&gt;0,F736&gt;0),E736/F736-1,NA()),"")</x:f>
      </x:c>
      <x:c r="H736" s="14" t="str">
        <x:f>IF(AND(I736="Есть цена",I728="Есть цена"),IF(AND(E736&gt;0,E728&gt;0),E736/E728-1,NA()),"")</x:f>
      </x:c>
      <x:c r="I736" s="2" t="str">
        <x:v>RPC: данные не загружены</x:v>
      </x:c>
      <x:c r="J736" s="2"/>
      <x:c r="K736" s="9"/>
      <x:c r="L736" s="2"/>
      <x:c r="M736" s="2"/>
      <x:c r="N736" s="2"/>
      <x:c r="O736" s="2"/>
      <x:c r="P736" s="2" t="str">
        <x:v>not_cached:getSignaturesForAddress:history/ac3f82cee1ff1c2656924280</x:v>
      </x:c>
      <x:c r="Q736" s="2" t="str"/>
      <x:c r="R736" s="14" t="str">
        <x:f>IF(AND(C736="Нулевой остаток",I736="Есть цена"),G736,"")</x:f>
      </x:c>
      <x:c r="S736" s="14" t="str">
        <x:f>IF(AND(C736="Докупка",I736="Есть цена"),G736,"")</x:f>
      </x:c>
    </x:row>
    <x:row r="737" ht="21" customHeight="1">
      <x:c r="A737" s="2" t="n">
        <x:v>73</x:v>
      </x:c>
      <x:c r="B737" s="2" t="n">
        <x:v>86400</x:v>
      </x:c>
      <x:c r="C737" s="2" t="str">
        <x:f>'Покупки'!C80</x:f>
        <x:v>Докупка</x:v>
      </x:c>
      <x:c r="D737" s="9" t="n">
        <x:v>46282.628854166665</x:v>
      </x:c>
      <x:c r="E737" s="12"/>
      <x:c r="F737" s="12" t="n">
        <x:f>'Покупки'!H80</x:f>
        <x:v>0.003616144202407062</x:v>
      </x:c>
      <x:c r="G737" s="14" t="str">
        <x:f>IF(I737="Есть цена",IF(AND(ISNUMBER(E737),E737&gt;0,F737&gt;0),E737/F737-1,NA()),"")</x:f>
      </x:c>
      <x:c r="H737" s="14" t="str">
        <x:f>IF(AND(I737="Есть цена",I728="Есть цена"),IF(AND(E737&gt;0,E728&gt;0),E737/E728-1,NA()),"")</x:f>
      </x:c>
      <x:c r="I737" s="2" t="str">
        <x:v>RPC: данные не загружены</x:v>
      </x:c>
      <x:c r="J737" s="2"/>
      <x:c r="K737" s="9"/>
      <x:c r="L737" s="2"/>
      <x:c r="M737" s="2"/>
      <x:c r="N737" s="2"/>
      <x:c r="O737" s="2"/>
      <x:c r="P737" s="2" t="str">
        <x:v>not_cached:getSignaturesForAddress:history/0c831c2080af3c7b1bad5dfb</x:v>
      </x:c>
      <x:c r="Q737" s="2" t="str"/>
      <x:c r="R737" s="14" t="str">
        <x:f>IF(AND(C737="Нулевой остаток",I737="Есть цена"),G737,"")</x:f>
      </x:c>
      <x:c r="S737" s="14" t="str">
        <x:f>IF(AND(C737="Докупка",I737="Есть цена"),G737,"")</x:f>
      </x:c>
    </x:row>
    <x:row r="738" ht="21" customHeight="1">
      <x:c r="A738" s="2" t="n">
        <x:v>74</x:v>
      </x:c>
      <x:c r="B738" s="2" t="n">
        <x:v>5</x:v>
      </x:c>
      <x:c r="C738" s="2" t="str">
        <x:f>'Покупки'!C81</x:f>
        <x:v>Докупка</x:v>
      </x:c>
      <x:c r="D738" s="9" t="n">
        <x:v>46281.62416666667</x:v>
      </x:c>
      <x:c r="E738" s="12"/>
      <x:c r="F738" s="12" t="n">
        <x:f>'Покупки'!H81</x:f>
        <x:v>0.011590086748460023</x:v>
      </x:c>
      <x:c r="G738" s="14" t="str">
        <x:f>IF(I738="Есть цена",IF(AND(ISNUMBER(E738),E738&gt;0,F738&gt;0),E738/F738-1,NA()),"")</x:f>
      </x:c>
      <x:c r="H738" s="14" t="str">
        <x:f>IF(AND(I738="Есть цена",I738="Есть цена"),IF(AND(E738&gt;0,E738&gt;0),E738/E738-1,NA()),"")</x:f>
      </x:c>
      <x:c r="I738" s="2" t="str">
        <x:v>RPC: данные не загружены</x:v>
      </x:c>
      <x:c r="J738" s="2"/>
      <x:c r="K738" s="9"/>
      <x:c r="L738" s="2"/>
      <x:c r="M738" s="2"/>
      <x:c r="N738" s="2"/>
      <x:c r="O738" s="2"/>
      <x:c r="P738" s="2" t="str">
        <x:v>not_cached:getSignaturesForAddress:history/8af4c37e73b02a0a85bf2b98</x:v>
      </x:c>
      <x:c r="Q738" s="2" t="str"/>
      <x:c r="R738" s="14" t="str">
        <x:f>IF(AND(C738="Нулевой остаток",I738="Есть цена"),G738,"")</x:f>
      </x:c>
      <x:c r="S738" s="14" t="str">
        <x:f>IF(AND(C738="Докупка",I738="Есть цена"),G738,"")</x:f>
      </x:c>
    </x:row>
    <x:row r="739" ht="21" customHeight="1">
      <x:c r="A739" s="2" t="n">
        <x:v>74</x:v>
      </x:c>
      <x:c r="B739" s="2" t="n">
        <x:v>15</x:v>
      </x:c>
      <x:c r="C739" s="2" t="str">
        <x:f>'Покупки'!C81</x:f>
        <x:v>Докупка</x:v>
      </x:c>
      <x:c r="D739" s="9" t="n">
        <x:v>46281.62428240741</x:v>
      </x:c>
      <x:c r="E739" s="12"/>
      <x:c r="F739" s="12" t="n">
        <x:f>'Покупки'!H81</x:f>
        <x:v>0.011590086748460023</x:v>
      </x:c>
      <x:c r="G739" s="14" t="str">
        <x:f>IF(I739="Есть цена",IF(AND(ISNUMBER(E739),E739&gt;0,F739&gt;0),E739/F739-1,NA()),"")</x:f>
      </x:c>
      <x:c r="H739" s="14" t="str">
        <x:f>IF(AND(I739="Есть цена",I738="Есть цена"),IF(AND(E739&gt;0,E738&gt;0),E739/E738-1,NA()),"")</x:f>
      </x:c>
      <x:c r="I739" s="2" t="str">
        <x:v>RPC: данные не загружены</x:v>
      </x:c>
      <x:c r="J739" s="2"/>
      <x:c r="K739" s="9"/>
      <x:c r="L739" s="2"/>
      <x:c r="M739" s="2"/>
      <x:c r="N739" s="2"/>
      <x:c r="O739" s="2"/>
      <x:c r="P739" s="2" t="str">
        <x:v>not_cached:getSignaturesForAddress:history/8af4c37e73b02a0a85bf2b98</x:v>
      </x:c>
      <x:c r="Q739" s="2" t="str"/>
      <x:c r="R739" s="14" t="str">
        <x:f>IF(AND(C739="Нулевой остаток",I739="Есть цена"),G739,"")</x:f>
      </x:c>
      <x:c r="S739" s="14" t="str">
        <x:f>IF(AND(C739="Докупка",I739="Есть цена"),G739,"")</x:f>
      </x:c>
    </x:row>
    <x:row r="740" ht="21" customHeight="1">
      <x:c r="A740" s="2" t="n">
        <x:v>74</x:v>
      </x:c>
      <x:c r="B740" s="2" t="n">
        <x:v>30</x:v>
      </x:c>
      <x:c r="C740" s="2" t="str">
        <x:f>'Покупки'!C81</x:f>
        <x:v>Докупка</x:v>
      </x:c>
      <x:c r="D740" s="9" t="n">
        <x:v>46281.624456018515</x:v>
      </x:c>
      <x:c r="E740" s="12"/>
      <x:c r="F740" s="12" t="n">
        <x:f>'Покупки'!H81</x:f>
        <x:v>0.011590086748460023</x:v>
      </x:c>
      <x:c r="G740" s="14" t="str">
        <x:f>IF(I740="Есть цена",IF(AND(ISNUMBER(E740),E740&gt;0,F740&gt;0),E740/F740-1,NA()),"")</x:f>
      </x:c>
      <x:c r="H740" s="14" t="str">
        <x:f>IF(AND(I740="Есть цена",I738="Есть цена"),IF(AND(E740&gt;0,E738&gt;0),E740/E738-1,NA()),"")</x:f>
      </x:c>
      <x:c r="I740" s="2" t="str">
        <x:v>RPC: данные не загружены</x:v>
      </x:c>
      <x:c r="J740" s="2"/>
      <x:c r="K740" s="9"/>
      <x:c r="L740" s="2"/>
      <x:c r="M740" s="2"/>
      <x:c r="N740" s="2"/>
      <x:c r="O740" s="2"/>
      <x:c r="P740" s="2" t="str">
        <x:v>not_cached:getSignaturesForAddress:history/8af4c37e73b02a0a85bf2b98</x:v>
      </x:c>
      <x:c r="Q740" s="2" t="str"/>
      <x:c r="R740" s="14" t="str">
        <x:f>IF(AND(C740="Нулевой остаток",I740="Есть цена"),G740,"")</x:f>
      </x:c>
      <x:c r="S740" s="14" t="str">
        <x:f>IF(AND(C740="Докупка",I740="Есть цена"),G740,"")</x:f>
      </x:c>
    </x:row>
    <x:row r="741" ht="21" customHeight="1">
      <x:c r="A741" s="2" t="n">
        <x:v>74</x:v>
      </x:c>
      <x:c r="B741" s="2" t="n">
        <x:v>60</x:v>
      </x:c>
      <x:c r="C741" s="2" t="str">
        <x:f>'Покупки'!C81</x:f>
        <x:v>Докупка</x:v>
      </x:c>
      <x:c r="D741" s="9" t="n">
        <x:v>46281.62480324074</x:v>
      </x:c>
      <x:c r="E741" s="12"/>
      <x:c r="F741" s="12" t="n">
        <x:f>'Покупки'!H81</x:f>
        <x:v>0.011590086748460023</x:v>
      </x:c>
      <x:c r="G741" s="14" t="str">
        <x:f>IF(I741="Есть цена",IF(AND(ISNUMBER(E741),E741&gt;0,F741&gt;0),E741/F741-1,NA()),"")</x:f>
      </x:c>
      <x:c r="H741" s="14" t="str">
        <x:f>IF(AND(I741="Есть цена",I738="Есть цена"),IF(AND(E741&gt;0,E738&gt;0),E741/E738-1,NA()),"")</x:f>
      </x:c>
      <x:c r="I741" s="2" t="str">
        <x:v>RPC: данные не загружены</x:v>
      </x:c>
      <x:c r="J741" s="2"/>
      <x:c r="K741" s="9"/>
      <x:c r="L741" s="2"/>
      <x:c r="M741" s="2"/>
      <x:c r="N741" s="2"/>
      <x:c r="O741" s="2"/>
      <x:c r="P741" s="2" t="str">
        <x:v>not_cached:getSignaturesForAddress:history/2243aef29c0115c5d1aea455</x:v>
      </x:c>
      <x:c r="Q741" s="2" t="str"/>
      <x:c r="R741" s="14" t="str">
        <x:f>IF(AND(C741="Нулевой остаток",I741="Есть цена"),G741,"")</x:f>
      </x:c>
      <x:c r="S741" s="14" t="str">
        <x:f>IF(AND(C741="Докупка",I741="Есть цена"),G741,"")</x:f>
      </x:c>
    </x:row>
    <x:row r="742" ht="21" customHeight="1">
      <x:c r="A742" s="2" t="n">
        <x:v>74</x:v>
      </x:c>
      <x:c r="B742" s="2" t="n">
        <x:v>180</x:v>
      </x:c>
      <x:c r="C742" s="2" t="str">
        <x:f>'Покупки'!C81</x:f>
        <x:v>Докупка</x:v>
      </x:c>
      <x:c r="D742" s="9" t="n">
        <x:v>46281.62619212963</x:v>
      </x:c>
      <x:c r="E742" s="12"/>
      <x:c r="F742" s="12" t="n">
        <x:f>'Покупки'!H81</x:f>
        <x:v>0.011590086748460023</x:v>
      </x:c>
      <x:c r="G742" s="14" t="str">
        <x:f>IF(I742="Есть цена",IF(AND(ISNUMBER(E742),E742&gt;0,F742&gt;0),E742/F742-1,NA()),"")</x:f>
      </x:c>
      <x:c r="H742" s="14" t="str">
        <x:f>IF(AND(I742="Есть цена",I738="Есть цена"),IF(AND(E742&gt;0,E738&gt;0),E742/E738-1,NA()),"")</x:f>
      </x:c>
      <x:c r="I742" s="2" t="str">
        <x:v>RPC: данные не загружены</x:v>
      </x:c>
      <x:c r="J742" s="2"/>
      <x:c r="K742" s="9"/>
      <x:c r="L742" s="2"/>
      <x:c r="M742" s="2"/>
      <x:c r="N742" s="2"/>
      <x:c r="O742" s="2"/>
      <x:c r="P742" s="2" t="str">
        <x:v>not_cached:getSignaturesForAddress:history/81b30258aafa8937c5fa0dff</x:v>
      </x:c>
      <x:c r="Q742" s="2" t="str"/>
      <x:c r="R742" s="14" t="str">
        <x:f>IF(AND(C742="Нулевой остаток",I742="Есть цена"),G742,"")</x:f>
      </x:c>
      <x:c r="S742" s="14" t="str">
        <x:f>IF(AND(C742="Докупка",I742="Есть цена"),G742,"")</x:f>
      </x:c>
    </x:row>
    <x:row r="743" ht="21" customHeight="1">
      <x:c r="A743" s="2" t="n">
        <x:v>74</x:v>
      </x:c>
      <x:c r="B743" s="2" t="n">
        <x:v>300</x:v>
      </x:c>
      <x:c r="C743" s="2" t="str">
        <x:f>'Покупки'!C81</x:f>
        <x:v>Докупка</x:v>
      </x:c>
      <x:c r="D743" s="9" t="n">
        <x:v>46281.62758101852</x:v>
      </x:c>
      <x:c r="E743" s="12"/>
      <x:c r="F743" s="12" t="n">
        <x:f>'Покупки'!H81</x:f>
        <x:v>0.011590086748460023</x:v>
      </x:c>
      <x:c r="G743" s="14" t="str">
        <x:f>IF(I743="Есть цена",IF(AND(ISNUMBER(E743),E743&gt;0,F743&gt;0),E743/F743-1,NA()),"")</x:f>
      </x:c>
      <x:c r="H743" s="14" t="str">
        <x:f>IF(AND(I743="Есть цена",I738="Есть цена"),IF(AND(E743&gt;0,E738&gt;0),E743/E738-1,NA()),"")</x:f>
      </x:c>
      <x:c r="I743" s="2" t="str">
        <x:v>RPC: данные не загружены</x:v>
      </x:c>
      <x:c r="J743" s="2"/>
      <x:c r="K743" s="9"/>
      <x:c r="L743" s="2"/>
      <x:c r="M743" s="2"/>
      <x:c r="N743" s="2"/>
      <x:c r="O743" s="2"/>
      <x:c r="P743" s="2" t="str">
        <x:v>not_cached:getSignaturesForAddress:history/2b5fd1115a4335b297b37ab9</x:v>
      </x:c>
      <x:c r="Q743" s="2" t="str"/>
      <x:c r="R743" s="14" t="str">
        <x:f>IF(AND(C743="Нулевой остаток",I743="Есть цена"),G743,"")</x:f>
      </x:c>
      <x:c r="S743" s="14" t="str">
        <x:f>IF(AND(C743="Докупка",I743="Есть цена"),G743,"")</x:f>
      </x:c>
    </x:row>
    <x:row r="744" ht="21" customHeight="1">
      <x:c r="A744" s="2" t="n">
        <x:v>74</x:v>
      </x:c>
      <x:c r="B744" s="2" t="n">
        <x:v>900</x:v>
      </x:c>
      <x:c r="C744" s="2" t="str">
        <x:f>'Покупки'!C81</x:f>
        <x:v>Докупка</x:v>
      </x:c>
      <x:c r="D744" s="9" t="n">
        <x:v>46281.63452546296</x:v>
      </x:c>
      <x:c r="E744" s="12"/>
      <x:c r="F744" s="12" t="n">
        <x:f>'Покупки'!H81</x:f>
        <x:v>0.011590086748460023</x:v>
      </x:c>
      <x:c r="G744" s="14" t="str">
        <x:f>IF(I744="Есть цена",IF(AND(ISNUMBER(E744),E744&gt;0,F744&gt;0),E744/F744-1,NA()),"")</x:f>
      </x:c>
      <x:c r="H744" s="14" t="str">
        <x:f>IF(AND(I744="Есть цена",I738="Есть цена"),IF(AND(E744&gt;0,E738&gt;0),E744/E738-1,NA()),"")</x:f>
      </x:c>
      <x:c r="I744" s="2" t="str">
        <x:v>RPC: данные не загружены</x:v>
      </x:c>
      <x:c r="J744" s="2"/>
      <x:c r="K744" s="9"/>
      <x:c r="L744" s="2"/>
      <x:c r="M744" s="2"/>
      <x:c r="N744" s="2"/>
      <x:c r="O744" s="2"/>
      <x:c r="P744" s="2" t="str">
        <x:v>not_cached:getSignaturesForAddress:history/7ef5688ffec752380d7a455e</x:v>
      </x:c>
      <x:c r="Q744" s="2" t="str"/>
      <x:c r="R744" s="14" t="str">
        <x:f>IF(AND(C744="Нулевой остаток",I744="Есть цена"),G744,"")</x:f>
      </x:c>
      <x:c r="S744" s="14" t="str">
        <x:f>IF(AND(C744="Докупка",I744="Есть цена"),G744,"")</x:f>
      </x:c>
    </x:row>
    <x:row r="745" ht="21" customHeight="1">
      <x:c r="A745" s="2" t="n">
        <x:v>74</x:v>
      </x:c>
      <x:c r="B745" s="2" t="n">
        <x:v>3600</x:v>
      </x:c>
      <x:c r="C745" s="2" t="str">
        <x:f>'Покупки'!C81</x:f>
        <x:v>Докупка</x:v>
      </x:c>
      <x:c r="D745" s="9" t="n">
        <x:v>46281.66577546296</x:v>
      </x:c>
      <x:c r="E745" s="12"/>
      <x:c r="F745" s="12" t="n">
        <x:f>'Покупки'!H81</x:f>
        <x:v>0.011590086748460023</x:v>
      </x:c>
      <x:c r="G745" s="14" t="str">
        <x:f>IF(I745="Есть цена",IF(AND(ISNUMBER(E745),E745&gt;0,F745&gt;0),E745/F745-1,NA()),"")</x:f>
      </x:c>
      <x:c r="H745" s="14" t="str">
        <x:f>IF(AND(I745="Есть цена",I738="Есть цена"),IF(AND(E745&gt;0,E738&gt;0),E745/E738-1,NA()),"")</x:f>
      </x:c>
      <x:c r="I745" s="2" t="str">
        <x:v>RPC: данные не загружены</x:v>
      </x:c>
      <x:c r="J745" s="2"/>
      <x:c r="K745" s="9"/>
      <x:c r="L745" s="2"/>
      <x:c r="M745" s="2"/>
      <x:c r="N745" s="2"/>
      <x:c r="O745" s="2"/>
      <x:c r="P745" s="2" t="str">
        <x:v>not_cached:getSignaturesForAddress:history/acd3dcdb10936ecfcfde9b09</x:v>
      </x:c>
      <x:c r="Q745" s="2" t="str"/>
      <x:c r="R745" s="14" t="str">
        <x:f>IF(AND(C745="Нулевой остаток",I745="Есть цена"),G745,"")</x:f>
      </x:c>
      <x:c r="S745" s="14" t="str">
        <x:f>IF(AND(C745="Докупка",I745="Есть цена"),G745,"")</x:f>
      </x:c>
    </x:row>
    <x:row r="746" ht="21" customHeight="1">
      <x:c r="A746" s="2" t="n">
        <x:v>74</x:v>
      </x:c>
      <x:c r="B746" s="2" t="n">
        <x:v>21600</x:v>
      </x:c>
      <x:c r="C746" s="2" t="str">
        <x:f>'Покупки'!C81</x:f>
        <x:v>Докупка</x:v>
      </x:c>
      <x:c r="D746" s="9" t="n">
        <x:v>46281.8741087963</x:v>
      </x:c>
      <x:c r="E746" s="12"/>
      <x:c r="F746" s="12" t="n">
        <x:f>'Покупки'!H81</x:f>
        <x:v>0.011590086748460023</x:v>
      </x:c>
      <x:c r="G746" s="14" t="str">
        <x:f>IF(I746="Есть цена",IF(AND(ISNUMBER(E746),E746&gt;0,F746&gt;0),E746/F746-1,NA()),"")</x:f>
      </x:c>
      <x:c r="H746" s="14" t="str">
        <x:f>IF(AND(I746="Есть цена",I738="Есть цена"),IF(AND(E746&gt;0,E738&gt;0),E746/E738-1,NA()),"")</x:f>
      </x:c>
      <x:c r="I746" s="2" t="str">
        <x:v>RPC: данные не загружены</x:v>
      </x:c>
      <x:c r="J746" s="2"/>
      <x:c r="K746" s="9"/>
      <x:c r="L746" s="2"/>
      <x:c r="M746" s="2"/>
      <x:c r="N746" s="2"/>
      <x:c r="O746" s="2"/>
      <x:c r="P746" s="2" t="str">
        <x:v>not_cached:getSignaturesForAddress:history/ffba98956a562e47fee573f2</x:v>
      </x:c>
      <x:c r="Q746" s="2" t="str"/>
      <x:c r="R746" s="14" t="str">
        <x:f>IF(AND(C746="Нулевой остаток",I746="Есть цена"),G746,"")</x:f>
      </x:c>
      <x:c r="S746" s="14" t="str">
        <x:f>IF(AND(C746="Докупка",I746="Есть цена"),G746,"")</x:f>
      </x:c>
    </x:row>
    <x:row r="747" ht="21" customHeight="1">
      <x:c r="A747" s="2" t="n">
        <x:v>74</x:v>
      </x:c>
      <x:c r="B747" s="2" t="n">
        <x:v>86400</x:v>
      </x:c>
      <x:c r="C747" s="2" t="str">
        <x:f>'Покупки'!C81</x:f>
        <x:v>Докупка</x:v>
      </x:c>
      <x:c r="D747" s="9" t="n">
        <x:v>46282.6241087963</x:v>
      </x:c>
      <x:c r="E747" s="12"/>
      <x:c r="F747" s="12" t="n">
        <x:f>'Покупки'!H81</x:f>
        <x:v>0.011590086748460023</x:v>
      </x:c>
      <x:c r="G747" s="14" t="str">
        <x:f>IF(I747="Есть цена",IF(AND(ISNUMBER(E747),E747&gt;0,F747&gt;0),E747/F747-1,NA()),"")</x:f>
      </x:c>
      <x:c r="H747" s="14" t="str">
        <x:f>IF(AND(I747="Есть цена",I738="Есть цена"),IF(AND(E747&gt;0,E738&gt;0),E747/E738-1,NA()),"")</x:f>
      </x:c>
      <x:c r="I747" s="2" t="str">
        <x:v>RPC: данные не загружены</x:v>
      </x:c>
      <x:c r="J747" s="2"/>
      <x:c r="K747" s="9"/>
      <x:c r="L747" s="2"/>
      <x:c r="M747" s="2"/>
      <x:c r="N747" s="2"/>
      <x:c r="O747" s="2"/>
      <x:c r="P747" s="2" t="str">
        <x:v>not_cached:getSignaturesForAddress:history/cc88c3c550d07640a7670ba0</x:v>
      </x:c>
      <x:c r="Q747" s="2" t="str"/>
      <x:c r="R747" s="14" t="str">
        <x:f>IF(AND(C747="Нулевой остаток",I747="Есть цена"),G747,"")</x:f>
      </x:c>
      <x:c r="S747" s="14" t="str">
        <x:f>IF(AND(C747="Докупка",I747="Есть цена"),G747,"")</x:f>
      </x:c>
    </x:row>
    <x:row r="748" ht="21" customHeight="1">
      <x:c r="A748" s="2" t="n">
        <x:v>75</x:v>
      </x:c>
      <x:c r="B748" s="2" t="n">
        <x:v>5</x:v>
      </x:c>
      <x:c r="C748" s="2" t="str">
        <x:f>'Покупки'!C82</x:f>
        <x:v>Докупка</x:v>
      </x:c>
      <x:c r="D748" s="9" t="n">
        <x:v>46281.62400462963</x:v>
      </x:c>
      <x:c r="E748" s="12"/>
      <x:c r="F748" s="12" t="n">
        <x:f>'Покупки'!H82</x:f>
        <x:v>0.1626421199287682</x:v>
      </x:c>
      <x:c r="G748" s="14" t="str">
        <x:f>IF(I748="Есть цена",IF(AND(ISNUMBER(E748),E748&gt;0,F748&gt;0),E748/F748-1,NA()),"")</x:f>
      </x:c>
      <x:c r="H748" s="14" t="str">
        <x:f>IF(AND(I748="Есть цена",I748="Есть цена"),IF(AND(E748&gt;0,E748&gt;0),E748/E748-1,NA()),"")</x:f>
      </x:c>
      <x:c r="I748" s="2" t="str">
        <x:v>RPC: данные не загружены</x:v>
      </x:c>
      <x:c r="J748" s="2"/>
      <x:c r="K748" s="9"/>
      <x:c r="L748" s="2"/>
      <x:c r="M748" s="2"/>
      <x:c r="N748" s="2"/>
      <x:c r="O748" s="2"/>
      <x:c r="P748" s="2" t="str">
        <x:v>not_cached:getSignaturesForAddress:history/1f8a0e3b61da101ab87d4762</x:v>
      </x:c>
      <x:c r="Q748" s="2" t="str"/>
      <x:c r="R748" s="14" t="str">
        <x:f>IF(AND(C748="Нулевой остаток",I748="Есть цена"),G748,"")</x:f>
      </x:c>
      <x:c r="S748" s="14" t="str">
        <x:f>IF(AND(C748="Докупка",I748="Есть цена"),G748,"")</x:f>
      </x:c>
    </x:row>
    <x:row r="749" ht="21" customHeight="1">
      <x:c r="A749" s="2" t="n">
        <x:v>75</x:v>
      </x:c>
      <x:c r="B749" s="2" t="n">
        <x:v>15</x:v>
      </x:c>
      <x:c r="C749" s="2" t="str">
        <x:f>'Покупки'!C82</x:f>
        <x:v>Докупка</x:v>
      </x:c>
      <x:c r="D749" s="9" t="n">
        <x:v>46281.62412037037</x:v>
      </x:c>
      <x:c r="E749" s="12"/>
      <x:c r="F749" s="12" t="n">
        <x:f>'Покупки'!H82</x:f>
        <x:v>0.1626421199287682</x:v>
      </x:c>
      <x:c r="G749" s="14" t="str">
        <x:f>IF(I749="Есть цена",IF(AND(ISNUMBER(E749),E749&gt;0,F749&gt;0),E749/F749-1,NA()),"")</x:f>
      </x:c>
      <x:c r="H749" s="14" t="str">
        <x:f>IF(AND(I749="Есть цена",I748="Есть цена"),IF(AND(E749&gt;0,E748&gt;0),E749/E748-1,NA()),"")</x:f>
      </x:c>
      <x:c r="I749" s="2" t="str">
        <x:v>RPC: данные не загружены</x:v>
      </x:c>
      <x:c r="J749" s="2"/>
      <x:c r="K749" s="9"/>
      <x:c r="L749" s="2"/>
      <x:c r="M749" s="2"/>
      <x:c r="N749" s="2"/>
      <x:c r="O749" s="2"/>
      <x:c r="P749" s="2" t="str">
        <x:v>not_cached:getSignaturesForAddress:history/0583c5282079bfa90bf705f5</x:v>
      </x:c>
      <x:c r="Q749" s="2" t="str"/>
      <x:c r="R749" s="14" t="str">
        <x:f>IF(AND(C749="Нулевой остаток",I749="Есть цена"),G749,"")</x:f>
      </x:c>
      <x:c r="S749" s="14" t="str">
        <x:f>IF(AND(C749="Докупка",I749="Есть цена"),G749,"")</x:f>
      </x:c>
    </x:row>
    <x:row r="750" ht="21" customHeight="1">
      <x:c r="A750" s="2" t="n">
        <x:v>75</x:v>
      </x:c>
      <x:c r="B750" s="2" t="n">
        <x:v>30</x:v>
      </x:c>
      <x:c r="C750" s="2" t="str">
        <x:f>'Покупки'!C82</x:f>
        <x:v>Докупка</x:v>
      </x:c>
      <x:c r="D750" s="9" t="n">
        <x:v>46281.624293981484</x:v>
      </x:c>
      <x:c r="E750" s="12"/>
      <x:c r="F750" s="12" t="n">
        <x:f>'Покупки'!H82</x:f>
        <x:v>0.1626421199287682</x:v>
      </x:c>
      <x:c r="G750" s="14" t="str">
        <x:f>IF(I750="Есть цена",IF(AND(ISNUMBER(E750),E750&gt;0,F750&gt;0),E750/F750-1,NA()),"")</x:f>
      </x:c>
      <x:c r="H750" s="14" t="str">
        <x:f>IF(AND(I750="Есть цена",I748="Есть цена"),IF(AND(E750&gt;0,E748&gt;0),E750/E748-1,NA()),"")</x:f>
      </x:c>
      <x:c r="I750" s="2" t="str">
        <x:v>RPC: данные не загружены</x:v>
      </x:c>
      <x:c r="J750" s="2"/>
      <x:c r="K750" s="9"/>
      <x:c r="L750" s="2"/>
      <x:c r="M750" s="2"/>
      <x:c r="N750" s="2"/>
      <x:c r="O750" s="2"/>
      <x:c r="P750" s="2" t="str">
        <x:v>not_cached:getSignaturesForAddress:history/0583c5282079bfa90bf705f5</x:v>
      </x:c>
      <x:c r="Q750" s="2" t="str"/>
      <x:c r="R750" s="14" t="str">
        <x:f>IF(AND(C750="Нулевой остаток",I750="Есть цена"),G750,"")</x:f>
      </x:c>
      <x:c r="S750" s="14" t="str">
        <x:f>IF(AND(C750="Докупка",I750="Есть цена"),G750,"")</x:f>
      </x:c>
    </x:row>
    <x:row r="751" ht="21" customHeight="1">
      <x:c r="A751" s="2" t="n">
        <x:v>75</x:v>
      </x:c>
      <x:c r="B751" s="2" t="n">
        <x:v>60</x:v>
      </x:c>
      <x:c r="C751" s="2" t="str">
        <x:f>'Покупки'!C82</x:f>
        <x:v>Докупка</x:v>
      </x:c>
      <x:c r="D751" s="9" t="n">
        <x:v>46281.62464120371</x:v>
      </x:c>
      <x:c r="E751" s="12"/>
      <x:c r="F751" s="12" t="n">
        <x:f>'Покупки'!H82</x:f>
        <x:v>0.1626421199287682</x:v>
      </x:c>
      <x:c r="G751" s="14" t="str">
        <x:f>IF(I751="Есть цена",IF(AND(ISNUMBER(E751),E751&gt;0,F751&gt;0),E751/F751-1,NA()),"")</x:f>
      </x:c>
      <x:c r="H751" s="14" t="str">
        <x:f>IF(AND(I751="Есть цена",I748="Есть цена"),IF(AND(E751&gt;0,E748&gt;0),E751/E748-1,NA()),"")</x:f>
      </x:c>
      <x:c r="I751" s="2" t="str">
        <x:v>RPC: данные не загружены</x:v>
      </x:c>
      <x:c r="J751" s="2"/>
      <x:c r="K751" s="9"/>
      <x:c r="L751" s="2"/>
      <x:c r="M751" s="2"/>
      <x:c r="N751" s="2"/>
      <x:c r="O751" s="2"/>
      <x:c r="P751" s="2" t="str">
        <x:v>not_cached:getSignaturesForAddress:history/0f6643451ca86d88f53b8d30</x:v>
      </x:c>
      <x:c r="Q751" s="2" t="str"/>
      <x:c r="R751" s="14" t="str">
        <x:f>IF(AND(C751="Нулевой остаток",I751="Есть цена"),G751,"")</x:f>
      </x:c>
      <x:c r="S751" s="14" t="str">
        <x:f>IF(AND(C751="Докупка",I751="Есть цена"),G751,"")</x:f>
      </x:c>
    </x:row>
    <x:row r="752" ht="21" customHeight="1">
      <x:c r="A752" s="2" t="n">
        <x:v>75</x:v>
      </x:c>
      <x:c r="B752" s="2" t="n">
        <x:v>180</x:v>
      </x:c>
      <x:c r="C752" s="2" t="str">
        <x:f>'Покупки'!C82</x:f>
        <x:v>Докупка</x:v>
      </x:c>
      <x:c r="D752" s="9" t="n">
        <x:v>46281.62603009259</x:v>
      </x:c>
      <x:c r="E752" s="12"/>
      <x:c r="F752" s="12" t="n">
        <x:f>'Покупки'!H82</x:f>
        <x:v>0.1626421199287682</x:v>
      </x:c>
      <x:c r="G752" s="14" t="str">
        <x:f>IF(I752="Есть цена",IF(AND(ISNUMBER(E752),E752&gt;0,F752&gt;0),E752/F752-1,NA()),"")</x:f>
      </x:c>
      <x:c r="H752" s="14" t="str">
        <x:f>IF(AND(I752="Есть цена",I748="Есть цена"),IF(AND(E752&gt;0,E748&gt;0),E752/E748-1,NA()),"")</x:f>
      </x:c>
      <x:c r="I752" s="2" t="str">
        <x:v>RPC: данные не загружены</x:v>
      </x:c>
      <x:c r="J752" s="2"/>
      <x:c r="K752" s="9"/>
      <x:c r="L752" s="2"/>
      <x:c r="M752" s="2"/>
      <x:c r="N752" s="2"/>
      <x:c r="O752" s="2"/>
      <x:c r="P752" s="2" t="str">
        <x:v>not_cached:getSignaturesForAddress:history/22151dc397798d848b340ce2</x:v>
      </x:c>
      <x:c r="Q752" s="2" t="str"/>
      <x:c r="R752" s="14" t="str">
        <x:f>IF(AND(C752="Нулевой остаток",I752="Есть цена"),G752,"")</x:f>
      </x:c>
      <x:c r="S752" s="14" t="str">
        <x:f>IF(AND(C752="Докупка",I752="Есть цена"),G752,"")</x:f>
      </x:c>
    </x:row>
    <x:row r="753" ht="21" customHeight="1">
      <x:c r="A753" s="2" t="n">
        <x:v>75</x:v>
      </x:c>
      <x:c r="B753" s="2" t="n">
        <x:v>300</x:v>
      </x:c>
      <x:c r="C753" s="2" t="str">
        <x:f>'Покупки'!C82</x:f>
        <x:v>Докупка</x:v>
      </x:c>
      <x:c r="D753" s="9" t="n">
        <x:v>46281.62741898148</x:v>
      </x:c>
      <x:c r="E753" s="12"/>
      <x:c r="F753" s="12" t="n">
        <x:f>'Покупки'!H82</x:f>
        <x:v>0.1626421199287682</x:v>
      </x:c>
      <x:c r="G753" s="14" t="str">
        <x:f>IF(I753="Есть цена",IF(AND(ISNUMBER(E753),E753&gt;0,F753&gt;0),E753/F753-1,NA()),"")</x:f>
      </x:c>
      <x:c r="H753" s="14" t="str">
        <x:f>IF(AND(I753="Есть цена",I748="Есть цена"),IF(AND(E753&gt;0,E748&gt;0),E753/E748-1,NA()),"")</x:f>
      </x:c>
      <x:c r="I753" s="2" t="str">
        <x:v>RPC: данные не загружены</x:v>
      </x:c>
      <x:c r="J753" s="2"/>
      <x:c r="K753" s="9"/>
      <x:c r="L753" s="2"/>
      <x:c r="M753" s="2"/>
      <x:c r="N753" s="2"/>
      <x:c r="O753" s="2"/>
      <x:c r="P753" s="2" t="str">
        <x:v>not_cached:getSignaturesForAddress:history/9c0b641165cf4f2be3d004fe</x:v>
      </x:c>
      <x:c r="Q753" s="2" t="str"/>
      <x:c r="R753" s="14" t="str">
        <x:f>IF(AND(C753="Нулевой остаток",I753="Есть цена"),G753,"")</x:f>
      </x:c>
      <x:c r="S753" s="14" t="str">
        <x:f>IF(AND(C753="Докупка",I753="Есть цена"),G753,"")</x:f>
      </x:c>
    </x:row>
    <x:row r="754" ht="21" customHeight="1">
      <x:c r="A754" s="2" t="n">
        <x:v>75</x:v>
      </x:c>
      <x:c r="B754" s="2" t="n">
        <x:v>900</x:v>
      </x:c>
      <x:c r="C754" s="2" t="str">
        <x:f>'Покупки'!C82</x:f>
        <x:v>Докупка</x:v>
      </x:c>
      <x:c r="D754" s="9" t="n">
        <x:v>46281.634363425925</x:v>
      </x:c>
      <x:c r="E754" s="12"/>
      <x:c r="F754" s="12" t="n">
        <x:f>'Покупки'!H82</x:f>
        <x:v>0.1626421199287682</x:v>
      </x:c>
      <x:c r="G754" s="14" t="str">
        <x:f>IF(I754="Есть цена",IF(AND(ISNUMBER(E754),E754&gt;0,F754&gt;0),E754/F754-1,NA()),"")</x:f>
      </x:c>
      <x:c r="H754" s="14" t="str">
        <x:f>IF(AND(I754="Есть цена",I748="Есть цена"),IF(AND(E754&gt;0,E748&gt;0),E754/E748-1,NA()),"")</x:f>
      </x:c>
      <x:c r="I754" s="2" t="str">
        <x:v>RPC: данные не загружены</x:v>
      </x:c>
      <x:c r="J754" s="2"/>
      <x:c r="K754" s="9"/>
      <x:c r="L754" s="2"/>
      <x:c r="M754" s="2"/>
      <x:c r="N754" s="2"/>
      <x:c r="O754" s="2"/>
      <x:c r="P754" s="2" t="str">
        <x:v>not_cached:getSignaturesForAddress:history/7b443db5265c3dd595c25d4c</x:v>
      </x:c>
      <x:c r="Q754" s="2" t="str"/>
      <x:c r="R754" s="14" t="str">
        <x:f>IF(AND(C754="Нулевой остаток",I754="Есть цена"),G754,"")</x:f>
      </x:c>
      <x:c r="S754" s="14" t="str">
        <x:f>IF(AND(C754="Докупка",I754="Есть цена"),G754,"")</x:f>
      </x:c>
    </x:row>
    <x:row r="755" ht="21" customHeight="1">
      <x:c r="A755" s="2" t="n">
        <x:v>75</x:v>
      </x:c>
      <x:c r="B755" s="2" t="n">
        <x:v>3600</x:v>
      </x:c>
      <x:c r="C755" s="2" t="str">
        <x:f>'Покупки'!C82</x:f>
        <x:v>Докупка</x:v>
      </x:c>
      <x:c r="D755" s="9" t="n">
        <x:v>46281.665613425925</x:v>
      </x:c>
      <x:c r="E755" s="12"/>
      <x:c r="F755" s="12" t="n">
        <x:f>'Покупки'!H82</x:f>
        <x:v>0.1626421199287682</x:v>
      </x:c>
      <x:c r="G755" s="14" t="str">
        <x:f>IF(I755="Есть цена",IF(AND(ISNUMBER(E755),E755&gt;0,F755&gt;0),E755/F755-1,NA()),"")</x:f>
      </x:c>
      <x:c r="H755" s="14" t="str">
        <x:f>IF(AND(I755="Есть цена",I748="Есть цена"),IF(AND(E755&gt;0,E748&gt;0),E755/E748-1,NA()),"")</x:f>
      </x:c>
      <x:c r="I755" s="2" t="str">
        <x:v>RPC: данные не загружены</x:v>
      </x:c>
      <x:c r="J755" s="2"/>
      <x:c r="K755" s="9"/>
      <x:c r="L755" s="2"/>
      <x:c r="M755" s="2"/>
      <x:c r="N755" s="2"/>
      <x:c r="O755" s="2"/>
      <x:c r="P755" s="2" t="str">
        <x:v>not_cached:getSignaturesForAddress:history/9a5f529c544972a7ebc8bb09</x:v>
      </x:c>
      <x:c r="Q755" s="2" t="str"/>
      <x:c r="R755" s="14" t="str">
        <x:f>IF(AND(C755="Нулевой остаток",I755="Есть цена"),G755,"")</x:f>
      </x:c>
      <x:c r="S755" s="14" t="str">
        <x:f>IF(AND(C755="Докупка",I755="Есть цена"),G755,"")</x:f>
      </x:c>
    </x:row>
    <x:row r="756" ht="21" customHeight="1">
      <x:c r="A756" s="2" t="n">
        <x:v>75</x:v>
      </x:c>
      <x:c r="B756" s="2" t="n">
        <x:v>21600</x:v>
      </x:c>
      <x:c r="C756" s="2" t="str">
        <x:f>'Покупки'!C82</x:f>
        <x:v>Докупка</x:v>
      </x:c>
      <x:c r="D756" s="9" t="n">
        <x:v>46281.87394675926</x:v>
      </x:c>
      <x:c r="E756" s="12"/>
      <x:c r="F756" s="12" t="n">
        <x:f>'Покупки'!H82</x:f>
        <x:v>0.1626421199287682</x:v>
      </x:c>
      <x:c r="G756" s="14" t="str">
        <x:f>IF(I756="Есть цена",IF(AND(ISNUMBER(E756),E756&gt;0,F756&gt;0),E756/F756-1,NA()),"")</x:f>
      </x:c>
      <x:c r="H756" s="14" t="str">
        <x:f>IF(AND(I756="Есть цена",I748="Есть цена"),IF(AND(E756&gt;0,E748&gt;0),E756/E748-1,NA()),"")</x:f>
      </x:c>
      <x:c r="I756" s="2" t="str">
        <x:v>RPC: данные не загружены</x:v>
      </x:c>
      <x:c r="J756" s="2"/>
      <x:c r="K756" s="9"/>
      <x:c r="L756" s="2"/>
      <x:c r="M756" s="2"/>
      <x:c r="N756" s="2"/>
      <x:c r="O756" s="2"/>
      <x:c r="P756" s="2" t="str">
        <x:v>not_cached:getSignaturesForAddress:history/5ea7cf49a1def6f453ddd2fd</x:v>
      </x:c>
      <x:c r="Q756" s="2" t="str"/>
      <x:c r="R756" s="14" t="str">
        <x:f>IF(AND(C756="Нулевой остаток",I756="Есть цена"),G756,"")</x:f>
      </x:c>
      <x:c r="S756" s="14" t="str">
        <x:f>IF(AND(C756="Докупка",I756="Есть цена"),G756,"")</x:f>
      </x:c>
    </x:row>
    <x:row r="757" ht="21" customHeight="1">
      <x:c r="A757" s="2" t="n">
        <x:v>75</x:v>
      </x:c>
      <x:c r="B757" s="2" t="n">
        <x:v>86400</x:v>
      </x:c>
      <x:c r="C757" s="2" t="str">
        <x:f>'Покупки'!C82</x:f>
        <x:v>Докупка</x:v>
      </x:c>
      <x:c r="D757" s="9" t="n">
        <x:v>46282.62394675926</x:v>
      </x:c>
      <x:c r="E757" s="12"/>
      <x:c r="F757" s="12" t="n">
        <x:f>'Покупки'!H82</x:f>
        <x:v>0.1626421199287682</x:v>
      </x:c>
      <x:c r="G757" s="14" t="str">
        <x:f>IF(I757="Есть цена",IF(AND(ISNUMBER(E757),E757&gt;0,F757&gt;0),E757/F757-1,NA()),"")</x:f>
      </x:c>
      <x:c r="H757" s="14" t="str">
        <x:f>IF(AND(I757="Есть цена",I748="Есть цена"),IF(AND(E757&gt;0,E748&gt;0),E757/E748-1,NA()),"")</x:f>
      </x:c>
      <x:c r="I757" s="2" t="str">
        <x:v>RPC: данные не загружены</x:v>
      </x:c>
      <x:c r="J757" s="2"/>
      <x:c r="K757" s="9"/>
      <x:c r="L757" s="2"/>
      <x:c r="M757" s="2"/>
      <x:c r="N757" s="2"/>
      <x:c r="O757" s="2"/>
      <x:c r="P757" s="2" t="str">
        <x:v>not_cached:getSignaturesForAddress:history/965335e4e17830a78819e6c9</x:v>
      </x:c>
      <x:c r="Q757" s="2" t="str"/>
      <x:c r="R757" s="14" t="str">
        <x:f>IF(AND(C757="Нулевой остаток",I757="Есть цена"),G757,"")</x:f>
      </x:c>
      <x:c r="S757" s="14" t="str">
        <x:f>IF(AND(C757="Докупка",I757="Есть цена"),G757,"")</x:f>
      </x:c>
    </x:row>
    <x:row r="758" ht="21" customHeight="1">
      <x:c r="A758" s="2" t="n">
        <x:v>76</x:v>
      </x:c>
      <x:c r="B758" s="2" t="n">
        <x:v>5</x:v>
      </x:c>
      <x:c r="C758" s="2" t="str">
        <x:f>'Покупки'!C83</x:f>
        <x:v>Докупка</x:v>
      </x:c>
      <x:c r="D758" s="9" t="n">
        <x:v>46281.62320601852</x:v>
      </x:c>
      <x:c r="E758" s="12"/>
      <x:c r="F758" s="12" t="n">
        <x:f>'Покупки'!H83</x:f>
        <x:v>0.16189267865182153</x:v>
      </x:c>
      <x:c r="G758" s="14" t="str">
        <x:f>IF(I758="Есть цена",IF(AND(ISNUMBER(E758),E758&gt;0,F758&gt;0),E758/F758-1,NA()),"")</x:f>
      </x:c>
      <x:c r="H758" s="14" t="str">
        <x:f>IF(AND(I758="Есть цена",I758="Есть цена"),IF(AND(E758&gt;0,E758&gt;0),E758/E758-1,NA()),"")</x:f>
      </x:c>
      <x:c r="I758" s="2" t="str">
        <x:v>RPC: данные не загружены</x:v>
      </x:c>
      <x:c r="J758" s="2"/>
      <x:c r="K758" s="9"/>
      <x:c r="L758" s="2"/>
      <x:c r="M758" s="2"/>
      <x:c r="N758" s="2"/>
      <x:c r="O758" s="2"/>
      <x:c r="P758" s="2" t="str">
        <x:v>not_cached:getSignaturesForAddress:history/28009da9262994fc119bc637</x:v>
      </x:c>
      <x:c r="Q758" s="2" t="str"/>
      <x:c r="R758" s="14" t="str">
        <x:f>IF(AND(C758="Нулевой остаток",I758="Есть цена"),G758,"")</x:f>
      </x:c>
      <x:c r="S758" s="14" t="str">
        <x:f>IF(AND(C758="Докупка",I758="Есть цена"),G758,"")</x:f>
      </x:c>
    </x:row>
    <x:row r="759" ht="21" customHeight="1">
      <x:c r="A759" s="2" t="n">
        <x:v>76</x:v>
      </x:c>
      <x:c r="B759" s="2" t="n">
        <x:v>15</x:v>
      </x:c>
      <x:c r="C759" s="2" t="str">
        <x:f>'Покупки'!C83</x:f>
        <x:v>Докупка</x:v>
      </x:c>
      <x:c r="D759" s="9" t="n">
        <x:v>46281.62332175926</x:v>
      </x:c>
      <x:c r="E759" s="12"/>
      <x:c r="F759" s="12" t="n">
        <x:f>'Покупки'!H83</x:f>
        <x:v>0.16189267865182153</x:v>
      </x:c>
      <x:c r="G759" s="14" t="str">
        <x:f>IF(I759="Есть цена",IF(AND(ISNUMBER(E759),E759&gt;0,F759&gt;0),E759/F759-1,NA()),"")</x:f>
      </x:c>
      <x:c r="H759" s="14" t="str">
        <x:f>IF(AND(I759="Есть цена",I758="Есть цена"),IF(AND(E759&gt;0,E758&gt;0),E759/E758-1,NA()),"")</x:f>
      </x:c>
      <x:c r="I759" s="2" t="str">
        <x:v>RPC: данные не загружены</x:v>
      </x:c>
      <x:c r="J759" s="2"/>
      <x:c r="K759" s="9"/>
      <x:c r="L759" s="2"/>
      <x:c r="M759" s="2"/>
      <x:c r="N759" s="2"/>
      <x:c r="O759" s="2"/>
      <x:c r="P759" s="2" t="str">
        <x:v>not_cached:getSignaturesForAddress:history/28009da9262994fc119bc637</x:v>
      </x:c>
      <x:c r="Q759" s="2" t="str"/>
      <x:c r="R759" s="14" t="str">
        <x:f>IF(AND(C759="Нулевой остаток",I759="Есть цена"),G759,"")</x:f>
      </x:c>
      <x:c r="S759" s="14" t="str">
        <x:f>IF(AND(C759="Докупка",I759="Есть цена"),G759,"")</x:f>
      </x:c>
    </x:row>
    <x:row r="760" ht="21" customHeight="1">
      <x:c r="A760" s="2" t="n">
        <x:v>76</x:v>
      </x:c>
      <x:c r="B760" s="2" t="n">
        <x:v>30</x:v>
      </x:c>
      <x:c r="C760" s="2" t="str">
        <x:f>'Покупки'!C83</x:f>
        <x:v>Докупка</x:v>
      </x:c>
      <x:c r="D760" s="9" t="n">
        <x:v>46281.62349537037</x:v>
      </x:c>
      <x:c r="E760" s="12"/>
      <x:c r="F760" s="12" t="n">
        <x:f>'Покупки'!H83</x:f>
        <x:v>0.16189267865182153</x:v>
      </x:c>
      <x:c r="G760" s="14" t="str">
        <x:f>IF(I760="Есть цена",IF(AND(ISNUMBER(E760),E760&gt;0,F760&gt;0),E760/F760-1,NA()),"")</x:f>
      </x:c>
      <x:c r="H760" s="14" t="str">
        <x:f>IF(AND(I760="Есть цена",I758="Есть цена"),IF(AND(E760&gt;0,E758&gt;0),E760/E758-1,NA()),"")</x:f>
      </x:c>
      <x:c r="I760" s="2" t="str">
        <x:v>RPC: данные не загружены</x:v>
      </x:c>
      <x:c r="J760" s="2"/>
      <x:c r="K760" s="9"/>
      <x:c r="L760" s="2"/>
      <x:c r="M760" s="2"/>
      <x:c r="N760" s="2"/>
      <x:c r="O760" s="2"/>
      <x:c r="P760" s="2" t="str">
        <x:v>not_cached:getSignaturesForAddress:history/1d16a73ee5db41c0cfb3aea5</x:v>
      </x:c>
      <x:c r="Q760" s="2" t="str"/>
      <x:c r="R760" s="14" t="str">
        <x:f>IF(AND(C760="Нулевой остаток",I760="Есть цена"),G760,"")</x:f>
      </x:c>
      <x:c r="S760" s="14" t="str">
        <x:f>IF(AND(C760="Докупка",I760="Есть цена"),G760,"")</x:f>
      </x:c>
    </x:row>
    <x:row r="761" ht="21" customHeight="1">
      <x:c r="A761" s="2" t="n">
        <x:v>76</x:v>
      </x:c>
      <x:c r="B761" s="2" t="n">
        <x:v>60</x:v>
      </x:c>
      <x:c r="C761" s="2" t="str">
        <x:f>'Покупки'!C83</x:f>
        <x:v>Докупка</x:v>
      </x:c>
      <x:c r="D761" s="9" t="n">
        <x:v>46281.62384259259</x:v>
      </x:c>
      <x:c r="E761" s="12"/>
      <x:c r="F761" s="12" t="n">
        <x:f>'Покупки'!H83</x:f>
        <x:v>0.16189267865182153</x:v>
      </x:c>
      <x:c r="G761" s="14" t="str">
        <x:f>IF(I761="Есть цена",IF(AND(ISNUMBER(E761),E761&gt;0,F761&gt;0),E761/F761-1,NA()),"")</x:f>
      </x:c>
      <x:c r="H761" s="14" t="str">
        <x:f>IF(AND(I761="Есть цена",I758="Есть цена"),IF(AND(E761&gt;0,E758&gt;0),E761/E758-1,NA()),"")</x:f>
      </x:c>
      <x:c r="I761" s="2" t="str">
        <x:v>RPC: данные не загружены</x:v>
      </x:c>
      <x:c r="J761" s="2"/>
      <x:c r="K761" s="9"/>
      <x:c r="L761" s="2"/>
      <x:c r="M761" s="2"/>
      <x:c r="N761" s="2"/>
      <x:c r="O761" s="2"/>
      <x:c r="P761" s="2" t="str">
        <x:v>not_cached:getSignaturesForAddress:history/371b9bcba3b155762874313a</x:v>
      </x:c>
      <x:c r="Q761" s="2" t="str"/>
      <x:c r="R761" s="14" t="str">
        <x:f>IF(AND(C761="Нулевой остаток",I761="Есть цена"),G761,"")</x:f>
      </x:c>
      <x:c r="S761" s="14" t="str">
        <x:f>IF(AND(C761="Докупка",I761="Есть цена"),G761,"")</x:f>
      </x:c>
    </x:row>
    <x:row r="762" ht="21" customHeight="1">
      <x:c r="A762" s="2" t="n">
        <x:v>76</x:v>
      </x:c>
      <x:c r="B762" s="2" t="n">
        <x:v>180</x:v>
      </x:c>
      <x:c r="C762" s="2" t="str">
        <x:f>'Покупки'!C83</x:f>
        <x:v>Докупка</x:v>
      </x:c>
      <x:c r="D762" s="9" t="n">
        <x:v>46281.625231481485</x:v>
      </x:c>
      <x:c r="E762" s="12"/>
      <x:c r="F762" s="12" t="n">
        <x:f>'Покупки'!H83</x:f>
        <x:v>0.16189267865182153</x:v>
      </x:c>
      <x:c r="G762" s="14" t="str">
        <x:f>IF(I762="Есть цена",IF(AND(ISNUMBER(E762),E762&gt;0,F762&gt;0),E762/F762-1,NA()),"")</x:f>
      </x:c>
      <x:c r="H762" s="14" t="str">
        <x:f>IF(AND(I762="Есть цена",I758="Есть цена"),IF(AND(E762&gt;0,E758&gt;0),E762/E758-1,NA()),"")</x:f>
      </x:c>
      <x:c r="I762" s="2" t="str">
        <x:v>RPC: данные не загружены</x:v>
      </x:c>
      <x:c r="J762" s="2"/>
      <x:c r="K762" s="9"/>
      <x:c r="L762" s="2"/>
      <x:c r="M762" s="2"/>
      <x:c r="N762" s="2"/>
      <x:c r="O762" s="2"/>
      <x:c r="P762" s="2" t="str">
        <x:v>not_cached:getSignaturesForAddress:history/22151dc397798d848b340ce2</x:v>
      </x:c>
      <x:c r="Q762" s="2" t="str"/>
      <x:c r="R762" s="14" t="str">
        <x:f>IF(AND(C762="Нулевой остаток",I762="Есть цена"),G762,"")</x:f>
      </x:c>
      <x:c r="S762" s="14" t="str">
        <x:f>IF(AND(C762="Докупка",I762="Есть цена"),G762,"")</x:f>
      </x:c>
    </x:row>
    <x:row r="763" ht="21" customHeight="1">
      <x:c r="A763" s="2" t="n">
        <x:v>76</x:v>
      </x:c>
      <x:c r="B763" s="2" t="n">
        <x:v>300</x:v>
      </x:c>
      <x:c r="C763" s="2" t="str">
        <x:f>'Покупки'!C83</x:f>
        <x:v>Докупка</x:v>
      </x:c>
      <x:c r="D763" s="9" t="n">
        <x:v>46281.62662037037</x:v>
      </x:c>
      <x:c r="E763" s="12"/>
      <x:c r="F763" s="12" t="n">
        <x:f>'Покупки'!H83</x:f>
        <x:v>0.16189267865182153</x:v>
      </x:c>
      <x:c r="G763" s="14" t="str">
        <x:f>IF(I763="Есть цена",IF(AND(ISNUMBER(E763),E763&gt;0,F763&gt;0),E763/F763-1,NA()),"")</x:f>
      </x:c>
      <x:c r="H763" s="14" t="str">
        <x:f>IF(AND(I763="Есть цена",I758="Есть цена"),IF(AND(E763&gt;0,E758&gt;0),E763/E758-1,NA()),"")</x:f>
      </x:c>
      <x:c r="I763" s="2" t="str">
        <x:v>RPC: данные не загружены</x:v>
      </x:c>
      <x:c r="J763" s="2"/>
      <x:c r="K763" s="9"/>
      <x:c r="L763" s="2"/>
      <x:c r="M763" s="2"/>
      <x:c r="N763" s="2"/>
      <x:c r="O763" s="2"/>
      <x:c r="P763" s="2" t="str">
        <x:v>not_cached:getSignaturesForAddress:history/6ea55dc9f7752b096b3a7da1</x:v>
      </x:c>
      <x:c r="Q763" s="2" t="str"/>
      <x:c r="R763" s="14" t="str">
        <x:f>IF(AND(C763="Нулевой остаток",I763="Есть цена"),G763,"")</x:f>
      </x:c>
      <x:c r="S763" s="14" t="str">
        <x:f>IF(AND(C763="Докупка",I763="Есть цена"),G763,"")</x:f>
      </x:c>
    </x:row>
    <x:row r="764" ht="21" customHeight="1">
      <x:c r="A764" s="2" t="n">
        <x:v>76</x:v>
      </x:c>
      <x:c r="B764" s="2" t="n">
        <x:v>900</x:v>
      </x:c>
      <x:c r="C764" s="2" t="str">
        <x:f>'Покупки'!C83</x:f>
        <x:v>Докупка</x:v>
      </x:c>
      <x:c r="D764" s="9" t="n">
        <x:v>46281.633564814816</x:v>
      </x:c>
      <x:c r="E764" s="12"/>
      <x:c r="F764" s="12" t="n">
        <x:f>'Покупки'!H83</x:f>
        <x:v>0.16189267865182153</x:v>
      </x:c>
      <x:c r="G764" s="14" t="str">
        <x:f>IF(I764="Есть цена",IF(AND(ISNUMBER(E764),E764&gt;0,F764&gt;0),E764/F764-1,NA()),"")</x:f>
      </x:c>
      <x:c r="H764" s="14" t="str">
        <x:f>IF(AND(I764="Есть цена",I758="Есть цена"),IF(AND(E764&gt;0,E758&gt;0),E764/E758-1,NA()),"")</x:f>
      </x:c>
      <x:c r="I764" s="2" t="str">
        <x:v>RPC: данные не загружены</x:v>
      </x:c>
      <x:c r="J764" s="2"/>
      <x:c r="K764" s="9"/>
      <x:c r="L764" s="2"/>
      <x:c r="M764" s="2"/>
      <x:c r="N764" s="2"/>
      <x:c r="O764" s="2"/>
      <x:c r="P764" s="2" t="str">
        <x:v>not_cached:getSignaturesForAddress:history/063ed3e6b3aee7bf231fbaf1</x:v>
      </x:c>
      <x:c r="Q764" s="2" t="str"/>
      <x:c r="R764" s="14" t="str">
        <x:f>IF(AND(C764="Нулевой остаток",I764="Есть цена"),G764,"")</x:f>
      </x:c>
      <x:c r="S764" s="14" t="str">
        <x:f>IF(AND(C764="Докупка",I764="Есть цена"),G764,"")</x:f>
      </x:c>
    </x:row>
    <x:row r="765" ht="21" customHeight="1">
      <x:c r="A765" s="2" t="n">
        <x:v>76</x:v>
      </x:c>
      <x:c r="B765" s="2" t="n">
        <x:v>3600</x:v>
      </x:c>
      <x:c r="C765" s="2" t="str">
        <x:f>'Покупки'!C83</x:f>
        <x:v>Докупка</x:v>
      </x:c>
      <x:c r="D765" s="9" t="n">
        <x:v>46281.664814814816</x:v>
      </x:c>
      <x:c r="E765" s="12"/>
      <x:c r="F765" s="12" t="n">
        <x:f>'Покупки'!H83</x:f>
        <x:v>0.16189267865182153</x:v>
      </x:c>
      <x:c r="G765" s="14" t="str">
        <x:f>IF(I765="Есть цена",IF(AND(ISNUMBER(E765),E765&gt;0,F765&gt;0),E765/F765-1,NA()),"")</x:f>
      </x:c>
      <x:c r="H765" s="14" t="str">
        <x:f>IF(AND(I765="Есть цена",I758="Есть цена"),IF(AND(E765&gt;0,E758&gt;0),E765/E758-1,NA()),"")</x:f>
      </x:c>
      <x:c r="I765" s="2" t="str">
        <x:v>RPC: данные не загружены</x:v>
      </x:c>
      <x:c r="J765" s="2"/>
      <x:c r="K765" s="9"/>
      <x:c r="L765" s="2"/>
      <x:c r="M765" s="2"/>
      <x:c r="N765" s="2"/>
      <x:c r="O765" s="2"/>
      <x:c r="P765" s="2" t="str">
        <x:v>not_cached:getSignaturesForAddress:history/0881979eecfc012a3101060a</x:v>
      </x:c>
      <x:c r="Q765" s="2" t="str"/>
      <x:c r="R765" s="14" t="str">
        <x:f>IF(AND(C765="Нулевой остаток",I765="Есть цена"),G765,"")</x:f>
      </x:c>
      <x:c r="S765" s="14" t="str">
        <x:f>IF(AND(C765="Докупка",I765="Есть цена"),G765,"")</x:f>
      </x:c>
    </x:row>
    <x:row r="766" ht="21" customHeight="1">
      <x:c r="A766" s="2" t="n">
        <x:v>76</x:v>
      </x:c>
      <x:c r="B766" s="2" t="n">
        <x:v>21600</x:v>
      </x:c>
      <x:c r="C766" s="2" t="str">
        <x:f>'Покупки'!C83</x:f>
        <x:v>Докупка</x:v>
      </x:c>
      <x:c r="D766" s="9" t="n">
        <x:v>46281.873148148145</x:v>
      </x:c>
      <x:c r="E766" s="12"/>
      <x:c r="F766" s="12" t="n">
        <x:f>'Покупки'!H83</x:f>
        <x:v>0.16189267865182153</x:v>
      </x:c>
      <x:c r="G766" s="14" t="str">
        <x:f>IF(I766="Есть цена",IF(AND(ISNUMBER(E766),E766&gt;0,F766&gt;0),E766/F766-1,NA()),"")</x:f>
      </x:c>
      <x:c r="H766" s="14" t="str">
        <x:f>IF(AND(I766="Есть цена",I758="Есть цена"),IF(AND(E766&gt;0,E758&gt;0),E766/E758-1,NA()),"")</x:f>
      </x:c>
      <x:c r="I766" s="2" t="str">
        <x:v>RPC: данные не загружены</x:v>
      </x:c>
      <x:c r="J766" s="2"/>
      <x:c r="K766" s="9"/>
      <x:c r="L766" s="2"/>
      <x:c r="M766" s="2"/>
      <x:c r="N766" s="2"/>
      <x:c r="O766" s="2"/>
      <x:c r="P766" s="2" t="str">
        <x:v>not_cached:getSignaturesForAddress:history/5ea7cf49a1def6f453ddd2fd</x:v>
      </x:c>
      <x:c r="Q766" s="2" t="str"/>
      <x:c r="R766" s="14" t="str">
        <x:f>IF(AND(C766="Нулевой остаток",I766="Есть цена"),G766,"")</x:f>
      </x:c>
      <x:c r="S766" s="14" t="str">
        <x:f>IF(AND(C766="Докупка",I766="Есть цена"),G766,"")</x:f>
      </x:c>
    </x:row>
    <x:row r="767" ht="21" customHeight="1">
      <x:c r="A767" s="2" t="n">
        <x:v>76</x:v>
      </x:c>
      <x:c r="B767" s="2" t="n">
        <x:v>86400</x:v>
      </x:c>
      <x:c r="C767" s="2" t="str">
        <x:f>'Покупки'!C83</x:f>
        <x:v>Докупка</x:v>
      </x:c>
      <x:c r="D767" s="9" t="n">
        <x:v>46282.623148148145</x:v>
      </x:c>
      <x:c r="E767" s="12"/>
      <x:c r="F767" s="12" t="n">
        <x:f>'Покупки'!H83</x:f>
        <x:v>0.16189267865182153</x:v>
      </x:c>
      <x:c r="G767" s="14" t="str">
        <x:f>IF(I767="Есть цена",IF(AND(ISNUMBER(E767),E767&gt;0,F767&gt;0),E767/F767-1,NA()),"")</x:f>
      </x:c>
      <x:c r="H767" s="14" t="str">
        <x:f>IF(AND(I767="Есть цена",I758="Есть цена"),IF(AND(E767&gt;0,E758&gt;0),E767/E758-1,NA()),"")</x:f>
      </x:c>
      <x:c r="I767" s="2" t="str">
        <x:v>RPC: данные не загружены</x:v>
      </x:c>
      <x:c r="J767" s="2"/>
      <x:c r="K767" s="9"/>
      <x:c r="L767" s="2"/>
      <x:c r="M767" s="2"/>
      <x:c r="N767" s="2"/>
      <x:c r="O767" s="2"/>
      <x:c r="P767" s="2" t="str">
        <x:v>not_cached:getSignaturesForAddress:history/965335e4e17830a78819e6c9</x:v>
      </x:c>
      <x:c r="Q767" s="2" t="str"/>
      <x:c r="R767" s="14" t="str">
        <x:f>IF(AND(C767="Нулевой остаток",I767="Есть цена"),G767,"")</x:f>
      </x:c>
      <x:c r="S767" s="14" t="str">
        <x:f>IF(AND(C767="Докупка",I767="Есть цена"),G767,"")</x:f>
      </x:c>
    </x:row>
    <x:row r="768" ht="21" customHeight="1">
      <x:c r="A768" s="2" t="n">
        <x:v>77</x:v>
      </x:c>
      <x:c r="B768" s="2" t="n">
        <x:v>5</x:v>
      </x:c>
      <x:c r="C768" s="2" t="str">
        <x:f>'Покупки'!C84</x:f>
        <x:v>Докупка</x:v>
      </x:c>
      <x:c r="D768" s="9" t="n">
        <x:v>46281.620462962965</x:v>
      </x:c>
      <x:c r="E768" s="12"/>
      <x:c r="F768" s="12" t="n">
        <x:f>'Покупки'!H84</x:f>
        <x:v>0.16216779173029494</x:v>
      </x:c>
      <x:c r="G768" s="14" t="str">
        <x:f>IF(I768="Есть цена",IF(AND(ISNUMBER(E768),E768&gt;0,F768&gt;0),E768/F768-1,NA()),"")</x:f>
      </x:c>
      <x:c r="H768" s="14" t="str">
        <x:f>IF(AND(I768="Есть цена",I768="Есть цена"),IF(AND(E768&gt;0,E768&gt;0),E768/E768-1,NA()),"")</x:f>
      </x:c>
      <x:c r="I768" s="2" t="str">
        <x:v>RPC: данные не загружены</x:v>
      </x:c>
      <x:c r="J768" s="2"/>
      <x:c r="K768" s="9"/>
      <x:c r="L768" s="2"/>
      <x:c r="M768" s="2"/>
      <x:c r="N768" s="2"/>
      <x:c r="O768" s="2"/>
      <x:c r="P768" s="2" t="str">
        <x:v>not_cached:getSignaturesForAddress:history/b1f6ce046e7f915a7e4fd408</x:v>
      </x:c>
      <x:c r="Q768" s="2" t="str"/>
      <x:c r="R768" s="14" t="str">
        <x:f>IF(AND(C768="Нулевой остаток",I768="Есть цена"),G768,"")</x:f>
      </x:c>
      <x:c r="S768" s="14" t="str">
        <x:f>IF(AND(C768="Докупка",I768="Есть цена"),G768,"")</x:f>
      </x:c>
    </x:row>
    <x:row r="769" ht="21" customHeight="1">
      <x:c r="A769" s="2" t="n">
        <x:v>77</x:v>
      </x:c>
      <x:c r="B769" s="2" t="n">
        <x:v>15</x:v>
      </x:c>
      <x:c r="C769" s="2" t="str">
        <x:f>'Покупки'!C84</x:f>
        <x:v>Докупка</x:v>
      </x:c>
      <x:c r="D769" s="9" t="n">
        <x:v>46281.6205787037</x:v>
      </x:c>
      <x:c r="E769" s="12"/>
      <x:c r="F769" s="12" t="n">
        <x:f>'Покупки'!H84</x:f>
        <x:v>0.16216779173029494</x:v>
      </x:c>
      <x:c r="G769" s="14" t="str">
        <x:f>IF(I769="Есть цена",IF(AND(ISNUMBER(E769),E769&gt;0,F769&gt;0),E769/F769-1,NA()),"")</x:f>
      </x:c>
      <x:c r="H769" s="14" t="str">
        <x:f>IF(AND(I769="Есть цена",I768="Есть цена"),IF(AND(E769&gt;0,E768&gt;0),E769/E768-1,NA()),"")</x:f>
      </x:c>
      <x:c r="I769" s="2" t="str">
        <x:v>RPC: данные не загружены</x:v>
      </x:c>
      <x:c r="J769" s="2"/>
      <x:c r="K769" s="9"/>
      <x:c r="L769" s="2"/>
      <x:c r="M769" s="2"/>
      <x:c r="N769" s="2"/>
      <x:c r="O769" s="2"/>
      <x:c r="P769" s="2" t="str">
        <x:v>not_cached:getSignaturesForAddress:history/b1f6ce046e7f915a7e4fd408</x:v>
      </x:c>
      <x:c r="Q769" s="2" t="str"/>
      <x:c r="R769" s="14" t="str">
        <x:f>IF(AND(C769="Нулевой остаток",I769="Есть цена"),G769,"")</x:f>
      </x:c>
      <x:c r="S769" s="14" t="str">
        <x:f>IF(AND(C769="Докупка",I769="Есть цена"),G769,"")</x:f>
      </x:c>
    </x:row>
    <x:row r="770" ht="21" customHeight="1">
      <x:c r="A770" s="2" t="n">
        <x:v>77</x:v>
      </x:c>
      <x:c r="B770" s="2" t="n">
        <x:v>30</x:v>
      </x:c>
      <x:c r="C770" s="2" t="str">
        <x:f>'Покупки'!C84</x:f>
        <x:v>Докупка</x:v>
      </x:c>
      <x:c r="D770" s="9" t="n">
        <x:v>46281.62075231481</x:v>
      </x:c>
      <x:c r="E770" s="12"/>
      <x:c r="F770" s="12" t="n">
        <x:f>'Покупки'!H84</x:f>
        <x:v>0.16216779173029494</x:v>
      </x:c>
      <x:c r="G770" s="14" t="str">
        <x:f>IF(I770="Есть цена",IF(AND(ISNUMBER(E770),E770&gt;0,F770&gt;0),E770/F770-1,NA()),"")</x:f>
      </x:c>
      <x:c r="H770" s="14" t="str">
        <x:f>IF(AND(I770="Есть цена",I768="Есть цена"),IF(AND(E770&gt;0,E768&gt;0),E770/E768-1,NA()),"")</x:f>
      </x:c>
      <x:c r="I770" s="2" t="str">
        <x:v>RPC: данные не загружены</x:v>
      </x:c>
      <x:c r="J770" s="2"/>
      <x:c r="K770" s="9"/>
      <x:c r="L770" s="2"/>
      <x:c r="M770" s="2"/>
      <x:c r="N770" s="2"/>
      <x:c r="O770" s="2"/>
      <x:c r="P770" s="2" t="str">
        <x:v>not_cached:getSignaturesForAddress:history/b1f6ce046e7f915a7e4fd408</x:v>
      </x:c>
      <x:c r="Q770" s="2" t="str"/>
      <x:c r="R770" s="14" t="str">
        <x:f>IF(AND(C770="Нулевой остаток",I770="Есть цена"),G770,"")</x:f>
      </x:c>
      <x:c r="S770" s="14" t="str">
        <x:f>IF(AND(C770="Докупка",I770="Есть цена"),G770,"")</x:f>
      </x:c>
    </x:row>
    <x:row r="771" ht="21" customHeight="1">
      <x:c r="A771" s="2" t="n">
        <x:v>77</x:v>
      </x:c>
      <x:c r="B771" s="2" t="n">
        <x:v>60</x:v>
      </x:c>
      <x:c r="C771" s="2" t="str">
        <x:f>'Покупки'!C84</x:f>
        <x:v>Докупка</x:v>
      </x:c>
      <x:c r="D771" s="9" t="n">
        <x:v>46281.621099537035</x:v>
      </x:c>
      <x:c r="E771" s="12"/>
      <x:c r="F771" s="12" t="n">
        <x:f>'Покупки'!H84</x:f>
        <x:v>0.16216779173029494</x:v>
      </x:c>
      <x:c r="G771" s="14" t="str">
        <x:f>IF(I771="Есть цена",IF(AND(ISNUMBER(E771),E771&gt;0,F771&gt;0),E771/F771-1,NA()),"")</x:f>
      </x:c>
      <x:c r="H771" s="14" t="str">
        <x:f>IF(AND(I771="Есть цена",I768="Есть цена"),IF(AND(E771&gt;0,E768&gt;0),E771/E768-1,NA()),"")</x:f>
      </x:c>
      <x:c r="I771" s="2" t="str">
        <x:v>RPC: данные не загружены</x:v>
      </x:c>
      <x:c r="J771" s="2"/>
      <x:c r="K771" s="9"/>
      <x:c r="L771" s="2"/>
      <x:c r="M771" s="2"/>
      <x:c r="N771" s="2"/>
      <x:c r="O771" s="2"/>
      <x:c r="P771" s="2" t="str">
        <x:v>not_cached:getSignaturesForAddress:history/9f0f3685ee9885bce1978c15</x:v>
      </x:c>
      <x:c r="Q771" s="2" t="str"/>
      <x:c r="R771" s="14" t="str">
        <x:f>IF(AND(C771="Нулевой остаток",I771="Есть цена"),G771,"")</x:f>
      </x:c>
      <x:c r="S771" s="14" t="str">
        <x:f>IF(AND(C771="Докупка",I771="Есть цена"),G771,"")</x:f>
      </x:c>
    </x:row>
    <x:row r="772" ht="21" customHeight="1">
      <x:c r="A772" s="2" t="n">
        <x:v>77</x:v>
      </x:c>
      <x:c r="B772" s="2" t="n">
        <x:v>180</x:v>
      </x:c>
      <x:c r="C772" s="2" t="str">
        <x:f>'Покупки'!C84</x:f>
        <x:v>Докупка</x:v>
      </x:c>
      <x:c r="D772" s="9" t="n">
        <x:v>46281.62248842593</x:v>
      </x:c>
      <x:c r="E772" s="12"/>
      <x:c r="F772" s="12" t="n">
        <x:f>'Покупки'!H84</x:f>
        <x:v>0.16216779173029494</x:v>
      </x:c>
      <x:c r="G772" s="14" t="str">
        <x:f>IF(I772="Есть цена",IF(AND(ISNUMBER(E772),E772&gt;0,F772&gt;0),E772/F772-1,NA()),"")</x:f>
      </x:c>
      <x:c r="H772" s="14" t="str">
        <x:f>IF(AND(I772="Есть цена",I768="Есть цена"),IF(AND(E772&gt;0,E768&gt;0),E772/E768-1,NA()),"")</x:f>
      </x:c>
      <x:c r="I772" s="2" t="str">
        <x:v>RPC: данные не загружены</x:v>
      </x:c>
      <x:c r="J772" s="2"/>
      <x:c r="K772" s="9"/>
      <x:c r="L772" s="2"/>
      <x:c r="M772" s="2"/>
      <x:c r="N772" s="2"/>
      <x:c r="O772" s="2"/>
      <x:c r="P772" s="2" t="str">
        <x:v>not_cached:getSignaturesForAddress:history/acf30ec96447b4f1a00ec9d6</x:v>
      </x:c>
      <x:c r="Q772" s="2" t="str"/>
      <x:c r="R772" s="14" t="str">
        <x:f>IF(AND(C772="Нулевой остаток",I772="Есть цена"),G772,"")</x:f>
      </x:c>
      <x:c r="S772" s="14" t="str">
        <x:f>IF(AND(C772="Докупка",I772="Есть цена"),G772,"")</x:f>
      </x:c>
    </x:row>
    <x:row r="773" ht="21" customHeight="1">
      <x:c r="A773" s="2" t="n">
        <x:v>77</x:v>
      </x:c>
      <x:c r="B773" s="2" t="n">
        <x:v>300</x:v>
      </x:c>
      <x:c r="C773" s="2" t="str">
        <x:f>'Покупки'!C84</x:f>
        <x:v>Докупка</x:v>
      </x:c>
      <x:c r="D773" s="9" t="n">
        <x:v>46281.623877314814</x:v>
      </x:c>
      <x:c r="E773" s="12"/>
      <x:c r="F773" s="12" t="n">
        <x:f>'Покупки'!H84</x:f>
        <x:v>0.16216779173029494</x:v>
      </x:c>
      <x:c r="G773" s="14" t="str">
        <x:f>IF(I773="Есть цена",IF(AND(ISNUMBER(E773),E773&gt;0,F773&gt;0),E773/F773-1,NA()),"")</x:f>
      </x:c>
      <x:c r="H773" s="14" t="str">
        <x:f>IF(AND(I773="Есть цена",I768="Есть цена"),IF(AND(E773&gt;0,E768&gt;0),E773/E768-1,NA()),"")</x:f>
      </x:c>
      <x:c r="I773" s="2" t="str">
        <x:v>RPC: данные не загружены</x:v>
      </x:c>
      <x:c r="J773" s="2"/>
      <x:c r="K773" s="9"/>
      <x:c r="L773" s="2"/>
      <x:c r="M773" s="2"/>
      <x:c r="N773" s="2"/>
      <x:c r="O773" s="2"/>
      <x:c r="P773" s="2" t="str">
        <x:v>not_cached:getSignaturesForAddress:history/bcdcf828527ad365ee64b723</x:v>
      </x:c>
      <x:c r="Q773" s="2" t="str"/>
      <x:c r="R773" s="14" t="str">
        <x:f>IF(AND(C773="Нулевой остаток",I773="Есть цена"),G773,"")</x:f>
      </x:c>
      <x:c r="S773" s="14" t="str">
        <x:f>IF(AND(C773="Докупка",I773="Есть цена"),G773,"")</x:f>
      </x:c>
    </x:row>
    <x:row r="774" ht="21" customHeight="1">
      <x:c r="A774" s="2" t="n">
        <x:v>77</x:v>
      </x:c>
      <x:c r="B774" s="2" t="n">
        <x:v>900</x:v>
      </x:c>
      <x:c r="C774" s="2" t="str">
        <x:f>'Покупки'!C84</x:f>
        <x:v>Докупка</x:v>
      </x:c>
      <x:c r="D774" s="9" t="n">
        <x:v>46281.63082175926</x:v>
      </x:c>
      <x:c r="E774" s="12"/>
      <x:c r="F774" s="12" t="n">
        <x:f>'Покупки'!H84</x:f>
        <x:v>0.16216779173029494</x:v>
      </x:c>
      <x:c r="G774" s="14" t="str">
        <x:f>IF(I774="Есть цена",IF(AND(ISNUMBER(E774),E774&gt;0,F774&gt;0),E774/F774-1,NA()),"")</x:f>
      </x:c>
      <x:c r="H774" s="14" t="str">
        <x:f>IF(AND(I774="Есть цена",I768="Есть цена"),IF(AND(E774&gt;0,E768&gt;0),E774/E768-1,NA()),"")</x:f>
      </x:c>
      <x:c r="I774" s="2" t="str">
        <x:v>RPC: данные не загружены</x:v>
      </x:c>
      <x:c r="J774" s="2"/>
      <x:c r="K774" s="9"/>
      <x:c r="L774" s="2"/>
      <x:c r="M774" s="2"/>
      <x:c r="N774" s="2"/>
      <x:c r="O774" s="2"/>
      <x:c r="P774" s="2" t="str">
        <x:v>not_cached:getSignaturesForAddress:history/75b71725f8b3086600d38614</x:v>
      </x:c>
      <x:c r="Q774" s="2" t="str"/>
      <x:c r="R774" s="14" t="str">
        <x:f>IF(AND(C774="Нулевой остаток",I774="Есть цена"),G774,"")</x:f>
      </x:c>
      <x:c r="S774" s="14" t="str">
        <x:f>IF(AND(C774="Докупка",I774="Есть цена"),G774,"")</x:f>
      </x:c>
    </x:row>
    <x:row r="775" ht="21" customHeight="1">
      <x:c r="A775" s="2" t="n">
        <x:v>77</x:v>
      </x:c>
      <x:c r="B775" s="2" t="n">
        <x:v>3600</x:v>
      </x:c>
      <x:c r="C775" s="2" t="str">
        <x:f>'Покупки'!C84</x:f>
        <x:v>Докупка</x:v>
      </x:c>
      <x:c r="D775" s="9" t="n">
        <x:v>46281.66207175926</x:v>
      </x:c>
      <x:c r="E775" s="12"/>
      <x:c r="F775" s="12" t="n">
        <x:f>'Покупки'!H84</x:f>
        <x:v>0.16216779173029494</x:v>
      </x:c>
      <x:c r="G775" s="14" t="str">
        <x:f>IF(I775="Есть цена",IF(AND(ISNUMBER(E775),E775&gt;0,F775&gt;0),E775/F775-1,NA()),"")</x:f>
      </x:c>
      <x:c r="H775" s="14" t="str">
        <x:f>IF(AND(I775="Есть цена",I768="Есть цена"),IF(AND(E775&gt;0,E768&gt;0),E775/E768-1,NA()),"")</x:f>
      </x:c>
      <x:c r="I775" s="2" t="str">
        <x:v>RPC: данные не загружены</x:v>
      </x:c>
      <x:c r="J775" s="2"/>
      <x:c r="K775" s="9"/>
      <x:c r="L775" s="2"/>
      <x:c r="M775" s="2"/>
      <x:c r="N775" s="2"/>
      <x:c r="O775" s="2"/>
      <x:c r="P775" s="2" t="str">
        <x:v>not_cached:getSignaturesForAddress:history/25c52e50d7c2c3d5a50d4a58</x:v>
      </x:c>
      <x:c r="Q775" s="2" t="str"/>
      <x:c r="R775" s="14" t="str">
        <x:f>IF(AND(C775="Нулевой остаток",I775="Есть цена"),G775,"")</x:f>
      </x:c>
      <x:c r="S775" s="14" t="str">
        <x:f>IF(AND(C775="Докупка",I775="Есть цена"),G775,"")</x:f>
      </x:c>
    </x:row>
    <x:row r="776" ht="21" customHeight="1">
      <x:c r="A776" s="2" t="n">
        <x:v>77</x:v>
      </x:c>
      <x:c r="B776" s="2" t="n">
        <x:v>21600</x:v>
      </x:c>
      <x:c r="C776" s="2" t="str">
        <x:f>'Покупки'!C84</x:f>
        <x:v>Докупка</x:v>
      </x:c>
      <x:c r="D776" s="9" t="n">
        <x:v>46281.870405092595</x:v>
      </x:c>
      <x:c r="E776" s="12"/>
      <x:c r="F776" s="12" t="n">
        <x:f>'Покупки'!H84</x:f>
        <x:v>0.16216779173029494</x:v>
      </x:c>
      <x:c r="G776" s="14" t="str">
        <x:f>IF(I776="Есть цена",IF(AND(ISNUMBER(E776),E776&gt;0,F776&gt;0),E776/F776-1,NA()),"")</x:f>
      </x:c>
      <x:c r="H776" s="14" t="str">
        <x:f>IF(AND(I776="Есть цена",I768="Есть цена"),IF(AND(E776&gt;0,E768&gt;0),E776/E768-1,NA()),"")</x:f>
      </x:c>
      <x:c r="I776" s="2" t="str">
        <x:v>RPC: данные не загружены</x:v>
      </x:c>
      <x:c r="J776" s="2"/>
      <x:c r="K776" s="9"/>
      <x:c r="L776" s="2"/>
      <x:c r="M776" s="2"/>
      <x:c r="N776" s="2"/>
      <x:c r="O776" s="2"/>
      <x:c r="P776" s="2" t="str">
        <x:v>not_cached:getSignaturesForAddress:history/7582c6d3f5efeb7aaa740ae3</x:v>
      </x:c>
      <x:c r="Q776" s="2" t="str"/>
      <x:c r="R776" s="14" t="str">
        <x:f>IF(AND(C776="Нулевой остаток",I776="Есть цена"),G776,"")</x:f>
      </x:c>
      <x:c r="S776" s="14" t="str">
        <x:f>IF(AND(C776="Докупка",I776="Есть цена"),G776,"")</x:f>
      </x:c>
    </x:row>
    <x:row r="777" ht="21" customHeight="1">
      <x:c r="A777" s="2" t="n">
        <x:v>77</x:v>
      </x:c>
      <x:c r="B777" s="2" t="n">
        <x:v>86400</x:v>
      </x:c>
      <x:c r="C777" s="2" t="str">
        <x:f>'Покупки'!C84</x:f>
        <x:v>Докупка</x:v>
      </x:c>
      <x:c r="D777" s="9" t="n">
        <x:v>46282.620405092595</x:v>
      </x:c>
      <x:c r="E777" s="12"/>
      <x:c r="F777" s="12" t="n">
        <x:f>'Покупки'!H84</x:f>
        <x:v>0.16216779173029494</x:v>
      </x:c>
      <x:c r="G777" s="14" t="str">
        <x:f>IF(I777="Есть цена",IF(AND(ISNUMBER(E777),E777&gt;0,F777&gt;0),E777/F777-1,NA()),"")</x:f>
      </x:c>
      <x:c r="H777" s="14" t="str">
        <x:f>IF(AND(I777="Есть цена",I768="Есть цена"),IF(AND(E777&gt;0,E768&gt;0),E777/E768-1,NA()),"")</x:f>
      </x:c>
      <x:c r="I777" s="2" t="str">
        <x:v>RPC: данные не загружены</x:v>
      </x:c>
      <x:c r="J777" s="2"/>
      <x:c r="K777" s="9"/>
      <x:c r="L777" s="2"/>
      <x:c r="M777" s="2"/>
      <x:c r="N777" s="2"/>
      <x:c r="O777" s="2"/>
      <x:c r="P777" s="2" t="str">
        <x:v>not_cached:getSignaturesForAddress:history/084b88c8279cb12ba227a1e2</x:v>
      </x:c>
      <x:c r="Q777" s="2" t="str"/>
      <x:c r="R777" s="14" t="str">
        <x:f>IF(AND(C777="Нулевой остаток",I777="Есть цена"),G777,"")</x:f>
      </x:c>
      <x:c r="S777" s="14" t="str">
        <x:f>IF(AND(C777="Докупка",I777="Есть цена"),G777,"")</x:f>
      </x:c>
    </x:row>
    <x:row r="778" ht="21" customHeight="1">
      <x:c r="A778" s="2" t="n">
        <x:v>78</x:v>
      </x:c>
      <x:c r="B778" s="2" t="n">
        <x:v>5</x:v>
      </x:c>
      <x:c r="C778" s="2" t="str">
        <x:f>'Покупки'!C85</x:f>
        <x:v>Докупка</x:v>
      </x:c>
      <x:c r="D778" s="9" t="n">
        <x:v>46281.61988425926</x:v>
      </x:c>
      <x:c r="E778" s="12"/>
      <x:c r="F778" s="12" t="n">
        <x:f>'Покупки'!H85</x:f>
        <x:v>0.16180229493025633</x:v>
      </x:c>
      <x:c r="G778" s="14" t="str">
        <x:f>IF(I778="Есть цена",IF(AND(ISNUMBER(E778),E778&gt;0,F778&gt;0),E778/F778-1,NA()),"")</x:f>
      </x:c>
      <x:c r="H778" s="14" t="str">
        <x:f>IF(AND(I778="Есть цена",I778="Есть цена"),IF(AND(E778&gt;0,E778&gt;0),E778/E778-1,NA()),"")</x:f>
      </x:c>
      <x:c r="I778" s="2" t="str">
        <x:v>GatorSwap: нет модели цены</x:v>
      </x:c>
      <x:c r="J778" s="2"/>
      <x:c r="K778" s="9"/>
      <x:c r="L778" s="2"/>
      <x:c r="M778" s="2"/>
      <x:c r="N778" s="2"/>
      <x:c r="O778" s="2"/>
      <x:c r="P778" s="2" t="str">
        <x:v>route_decoder_missing</x:v>
      </x:c>
      <x:c r="Q778" s="2" t="str"/>
      <x:c r="R778" s="14" t="str">
        <x:f>IF(AND(C778="Нулевой остаток",I778="Есть цена"),G778,"")</x:f>
      </x:c>
      <x:c r="S778" s="14" t="str">
        <x:f>IF(AND(C778="Докупка",I778="Есть цена"),G778,"")</x:f>
      </x:c>
    </x:row>
    <x:row r="779" ht="21" customHeight="1">
      <x:c r="A779" s="2" t="n">
        <x:v>78</x:v>
      </x:c>
      <x:c r="B779" s="2" t="n">
        <x:v>15</x:v>
      </x:c>
      <x:c r="C779" s="2" t="str">
        <x:f>'Покупки'!C85</x:f>
        <x:v>Докупка</x:v>
      </x:c>
      <x:c r="D779" s="9" t="n">
        <x:v>46281.62</x:v>
      </x:c>
      <x:c r="E779" s="12"/>
      <x:c r="F779" s="12" t="n">
        <x:f>'Покупки'!H85</x:f>
        <x:v>0.16180229493025633</x:v>
      </x:c>
      <x:c r="G779" s="14" t="str">
        <x:f>IF(I779="Есть цена",IF(AND(ISNUMBER(E779),E779&gt;0,F779&gt;0),E779/F779-1,NA()),"")</x:f>
      </x:c>
      <x:c r="H779" s="14" t="str">
        <x:f>IF(AND(I779="Есть цена",I778="Есть цена"),IF(AND(E779&gt;0,E778&gt;0),E779/E778-1,NA()),"")</x:f>
      </x:c>
      <x:c r="I779" s="2" t="str">
        <x:v>GatorSwap: нет модели цены</x:v>
      </x:c>
      <x:c r="J779" s="2"/>
      <x:c r="K779" s="9"/>
      <x:c r="L779" s="2"/>
      <x:c r="M779" s="2"/>
      <x:c r="N779" s="2"/>
      <x:c r="O779" s="2"/>
      <x:c r="P779" s="2" t="str">
        <x:v>route_decoder_missing</x:v>
      </x:c>
      <x:c r="Q779" s="2" t="str"/>
      <x:c r="R779" s="14" t="str">
        <x:f>IF(AND(C779="Нулевой остаток",I779="Есть цена"),G779,"")</x:f>
      </x:c>
      <x:c r="S779" s="14" t="str">
        <x:f>IF(AND(C779="Докупка",I779="Есть цена"),G779,"")</x:f>
      </x:c>
    </x:row>
    <x:row r="780" ht="21" customHeight="1">
      <x:c r="A780" s="2" t="n">
        <x:v>78</x:v>
      </x:c>
      <x:c r="B780" s="2" t="n">
        <x:v>30</x:v>
      </x:c>
      <x:c r="C780" s="2" t="str">
        <x:f>'Покупки'!C85</x:f>
        <x:v>Докупка</x:v>
      </x:c>
      <x:c r="D780" s="9" t="n">
        <x:v>46281.62017361111</x:v>
      </x:c>
      <x:c r="E780" s="12"/>
      <x:c r="F780" s="12" t="n">
        <x:f>'Покупки'!H85</x:f>
        <x:v>0.16180229493025633</x:v>
      </x:c>
      <x:c r="G780" s="14" t="str">
        <x:f>IF(I780="Есть цена",IF(AND(ISNUMBER(E780),E780&gt;0,F780&gt;0),E780/F780-1,NA()),"")</x:f>
      </x:c>
      <x:c r="H780" s="14" t="str">
        <x:f>IF(AND(I780="Есть цена",I778="Есть цена"),IF(AND(E780&gt;0,E778&gt;0),E780/E778-1,NA()),"")</x:f>
      </x:c>
      <x:c r="I780" s="2" t="str">
        <x:v>GatorSwap: нет модели цены</x:v>
      </x:c>
      <x:c r="J780" s="2"/>
      <x:c r="K780" s="9"/>
      <x:c r="L780" s="2"/>
      <x:c r="M780" s="2"/>
      <x:c r="N780" s="2"/>
      <x:c r="O780" s="2"/>
      <x:c r="P780" s="2" t="str">
        <x:v>route_decoder_missing</x:v>
      </x:c>
      <x:c r="Q780" s="2" t="str"/>
      <x:c r="R780" s="14" t="str">
        <x:f>IF(AND(C780="Нулевой остаток",I780="Есть цена"),G780,"")</x:f>
      </x:c>
      <x:c r="S780" s="14" t="str">
        <x:f>IF(AND(C780="Докупка",I780="Есть цена"),G780,"")</x:f>
      </x:c>
    </x:row>
    <x:row r="781" ht="21" customHeight="1">
      <x:c r="A781" s="2" t="n">
        <x:v>78</x:v>
      </x:c>
      <x:c r="B781" s="2" t="n">
        <x:v>60</x:v>
      </x:c>
      <x:c r="C781" s="2" t="str">
        <x:f>'Покупки'!C85</x:f>
        <x:v>Докупка</x:v>
      </x:c>
      <x:c r="D781" s="9" t="n">
        <x:v>46281.620520833334</x:v>
      </x:c>
      <x:c r="E781" s="12"/>
      <x:c r="F781" s="12" t="n">
        <x:f>'Покупки'!H85</x:f>
        <x:v>0.16180229493025633</x:v>
      </x:c>
      <x:c r="G781" s="14" t="str">
        <x:f>IF(I781="Есть цена",IF(AND(ISNUMBER(E781),E781&gt;0,F781&gt;0),E781/F781-1,NA()),"")</x:f>
      </x:c>
      <x:c r="H781" s="14" t="str">
        <x:f>IF(AND(I781="Есть цена",I778="Есть цена"),IF(AND(E781&gt;0,E778&gt;0),E781/E778-1,NA()),"")</x:f>
      </x:c>
      <x:c r="I781" s="2" t="str">
        <x:v>GatorSwap: нет модели цены</x:v>
      </x:c>
      <x:c r="J781" s="2"/>
      <x:c r="K781" s="9"/>
      <x:c r="L781" s="2"/>
      <x:c r="M781" s="2"/>
      <x:c r="N781" s="2"/>
      <x:c r="O781" s="2"/>
      <x:c r="P781" s="2" t="str">
        <x:v>route_decoder_missing</x:v>
      </x:c>
      <x:c r="Q781" s="2" t="str"/>
      <x:c r="R781" s="14" t="str">
        <x:f>IF(AND(C781="Нулевой остаток",I781="Есть цена"),G781,"")</x:f>
      </x:c>
      <x:c r="S781" s="14" t="str">
        <x:f>IF(AND(C781="Докупка",I781="Есть цена"),G781,"")</x:f>
      </x:c>
    </x:row>
    <x:row r="782" ht="21" customHeight="1">
      <x:c r="A782" s="2" t="n">
        <x:v>78</x:v>
      </x:c>
      <x:c r="B782" s="2" t="n">
        <x:v>180</x:v>
      </x:c>
      <x:c r="C782" s="2" t="str">
        <x:f>'Покупки'!C85</x:f>
        <x:v>Докупка</x:v>
      </x:c>
      <x:c r="D782" s="9" t="n">
        <x:v>46281.62190972222</x:v>
      </x:c>
      <x:c r="E782" s="12"/>
      <x:c r="F782" s="12" t="n">
        <x:f>'Покупки'!H85</x:f>
        <x:v>0.16180229493025633</x:v>
      </x:c>
      <x:c r="G782" s="14" t="str">
        <x:f>IF(I782="Есть цена",IF(AND(ISNUMBER(E782),E782&gt;0,F782&gt;0),E782/F782-1,NA()),"")</x:f>
      </x:c>
      <x:c r="H782" s="14" t="str">
        <x:f>IF(AND(I782="Есть цена",I778="Есть цена"),IF(AND(E782&gt;0,E778&gt;0),E782/E778-1,NA()),"")</x:f>
      </x:c>
      <x:c r="I782" s="2" t="str">
        <x:v>GatorSwap: нет модели цены</x:v>
      </x:c>
      <x:c r="J782" s="2"/>
      <x:c r="K782" s="9"/>
      <x:c r="L782" s="2"/>
      <x:c r="M782" s="2"/>
      <x:c r="N782" s="2"/>
      <x:c r="O782" s="2"/>
      <x:c r="P782" s="2" t="str">
        <x:v>route_decoder_missing</x:v>
      </x:c>
      <x:c r="Q782" s="2" t="str"/>
      <x:c r="R782" s="14" t="str">
        <x:f>IF(AND(C782="Нулевой остаток",I782="Есть цена"),G782,"")</x:f>
      </x:c>
      <x:c r="S782" s="14" t="str">
        <x:f>IF(AND(C782="Докупка",I782="Есть цена"),G782,"")</x:f>
      </x:c>
    </x:row>
    <x:row r="783" ht="21" customHeight="1">
      <x:c r="A783" s="2" t="n">
        <x:v>78</x:v>
      </x:c>
      <x:c r="B783" s="2" t="n">
        <x:v>300</x:v>
      </x:c>
      <x:c r="C783" s="2" t="str">
        <x:f>'Покупки'!C85</x:f>
        <x:v>Докупка</x:v>
      </x:c>
      <x:c r="D783" s="9" t="n">
        <x:v>46281.62329861111</x:v>
      </x:c>
      <x:c r="E783" s="12"/>
      <x:c r="F783" s="12" t="n">
        <x:f>'Покупки'!H85</x:f>
        <x:v>0.16180229493025633</x:v>
      </x:c>
      <x:c r="G783" s="14" t="str">
        <x:f>IF(I783="Есть цена",IF(AND(ISNUMBER(E783),E783&gt;0,F783&gt;0),E783/F783-1,NA()),"")</x:f>
      </x:c>
      <x:c r="H783" s="14" t="str">
        <x:f>IF(AND(I783="Есть цена",I778="Есть цена"),IF(AND(E783&gt;0,E778&gt;0),E783/E778-1,NA()),"")</x:f>
      </x:c>
      <x:c r="I783" s="2" t="str">
        <x:v>GatorSwap: нет модели цены</x:v>
      </x:c>
      <x:c r="J783" s="2"/>
      <x:c r="K783" s="9"/>
      <x:c r="L783" s="2"/>
      <x:c r="M783" s="2"/>
      <x:c r="N783" s="2"/>
      <x:c r="O783" s="2"/>
      <x:c r="P783" s="2" t="str">
        <x:v>route_decoder_missing</x:v>
      </x:c>
      <x:c r="Q783" s="2" t="str"/>
      <x:c r="R783" s="14" t="str">
        <x:f>IF(AND(C783="Нулевой остаток",I783="Есть цена"),G783,"")</x:f>
      </x:c>
      <x:c r="S783" s="14" t="str">
        <x:f>IF(AND(C783="Докупка",I783="Есть цена"),G783,"")</x:f>
      </x:c>
    </x:row>
    <x:row r="784" ht="21" customHeight="1">
      <x:c r="A784" s="2" t="n">
        <x:v>78</x:v>
      </x:c>
      <x:c r="B784" s="2" t="n">
        <x:v>900</x:v>
      </x:c>
      <x:c r="C784" s="2" t="str">
        <x:f>'Покупки'!C85</x:f>
        <x:v>Докупка</x:v>
      </x:c>
      <x:c r="D784" s="9" t="n">
        <x:v>46281.63024305556</x:v>
      </x:c>
      <x:c r="E784" s="12"/>
      <x:c r="F784" s="12" t="n">
        <x:f>'Покупки'!H85</x:f>
        <x:v>0.16180229493025633</x:v>
      </x:c>
      <x:c r="G784" s="14" t="str">
        <x:f>IF(I784="Есть цена",IF(AND(ISNUMBER(E784),E784&gt;0,F784&gt;0),E784/F784-1,NA()),"")</x:f>
      </x:c>
      <x:c r="H784" s="14" t="str">
        <x:f>IF(AND(I784="Есть цена",I778="Есть цена"),IF(AND(E784&gt;0,E778&gt;0),E784/E778-1,NA()),"")</x:f>
      </x:c>
      <x:c r="I784" s="2" t="str">
        <x:v>GatorSwap: нет модели цены</x:v>
      </x:c>
      <x:c r="J784" s="2"/>
      <x:c r="K784" s="9"/>
      <x:c r="L784" s="2"/>
      <x:c r="M784" s="2"/>
      <x:c r="N784" s="2"/>
      <x:c r="O784" s="2"/>
      <x:c r="P784" s="2" t="str">
        <x:v>route_decoder_missing</x:v>
      </x:c>
      <x:c r="Q784" s="2" t="str"/>
      <x:c r="R784" s="14" t="str">
        <x:f>IF(AND(C784="Нулевой остаток",I784="Есть цена"),G784,"")</x:f>
      </x:c>
      <x:c r="S784" s="14" t="str">
        <x:f>IF(AND(C784="Докупка",I784="Есть цена"),G784,"")</x:f>
      </x:c>
    </x:row>
    <x:row r="785" ht="21" customHeight="1">
      <x:c r="A785" s="2" t="n">
        <x:v>78</x:v>
      </x:c>
      <x:c r="B785" s="2" t="n">
        <x:v>3600</x:v>
      </x:c>
      <x:c r="C785" s="2" t="str">
        <x:f>'Покупки'!C85</x:f>
        <x:v>Докупка</x:v>
      </x:c>
      <x:c r="D785" s="9" t="n">
        <x:v>46281.66149305556</x:v>
      </x:c>
      <x:c r="E785" s="12"/>
      <x:c r="F785" s="12" t="n">
        <x:f>'Покупки'!H85</x:f>
        <x:v>0.16180229493025633</x:v>
      </x:c>
      <x:c r="G785" s="14" t="str">
        <x:f>IF(I785="Есть цена",IF(AND(ISNUMBER(E785),E785&gt;0,F785&gt;0),E785/F785-1,NA()),"")</x:f>
      </x:c>
      <x:c r="H785" s="14" t="str">
        <x:f>IF(AND(I785="Есть цена",I778="Есть цена"),IF(AND(E785&gt;0,E778&gt;0),E785/E778-1,NA()),"")</x:f>
      </x:c>
      <x:c r="I785" s="2" t="str">
        <x:v>GatorSwap: нет модели цены</x:v>
      </x:c>
      <x:c r="J785" s="2"/>
      <x:c r="K785" s="9"/>
      <x:c r="L785" s="2"/>
      <x:c r="M785" s="2"/>
      <x:c r="N785" s="2"/>
      <x:c r="O785" s="2"/>
      <x:c r="P785" s="2" t="str">
        <x:v>route_decoder_missing</x:v>
      </x:c>
      <x:c r="Q785" s="2" t="str"/>
      <x:c r="R785" s="14" t="str">
        <x:f>IF(AND(C785="Нулевой остаток",I785="Есть цена"),G785,"")</x:f>
      </x:c>
      <x:c r="S785" s="14" t="str">
        <x:f>IF(AND(C785="Докупка",I785="Есть цена"),G785,"")</x:f>
      </x:c>
    </x:row>
    <x:row r="786" ht="21" customHeight="1">
      <x:c r="A786" s="2" t="n">
        <x:v>78</x:v>
      </x:c>
      <x:c r="B786" s="2" t="n">
        <x:v>21600</x:v>
      </x:c>
      <x:c r="C786" s="2" t="str">
        <x:f>'Покупки'!C85</x:f>
        <x:v>Докупка</x:v>
      </x:c>
      <x:c r="D786" s="9" t="n">
        <x:v>46281.86982638889</x:v>
      </x:c>
      <x:c r="E786" s="12"/>
      <x:c r="F786" s="12" t="n">
        <x:f>'Покупки'!H85</x:f>
        <x:v>0.16180229493025633</x:v>
      </x:c>
      <x:c r="G786" s="14" t="str">
        <x:f>IF(I786="Есть цена",IF(AND(ISNUMBER(E786),E786&gt;0,F786&gt;0),E786/F786-1,NA()),"")</x:f>
      </x:c>
      <x:c r="H786" s="14" t="str">
        <x:f>IF(AND(I786="Есть цена",I778="Есть цена"),IF(AND(E786&gt;0,E778&gt;0),E786/E778-1,NA()),"")</x:f>
      </x:c>
      <x:c r="I786" s="2" t="str">
        <x:v>GatorSwap: нет модели цены</x:v>
      </x:c>
      <x:c r="J786" s="2"/>
      <x:c r="K786" s="9"/>
      <x:c r="L786" s="2"/>
      <x:c r="M786" s="2"/>
      <x:c r="N786" s="2"/>
      <x:c r="O786" s="2"/>
      <x:c r="P786" s="2" t="str">
        <x:v>route_decoder_missing</x:v>
      </x:c>
      <x:c r="Q786" s="2" t="str"/>
      <x:c r="R786" s="14" t="str">
        <x:f>IF(AND(C786="Нулевой остаток",I786="Есть цена"),G786,"")</x:f>
      </x:c>
      <x:c r="S786" s="14" t="str">
        <x:f>IF(AND(C786="Докупка",I786="Есть цена"),G786,"")</x:f>
      </x:c>
    </x:row>
    <x:row r="787" ht="21" customHeight="1">
      <x:c r="A787" s="2" t="n">
        <x:v>78</x:v>
      </x:c>
      <x:c r="B787" s="2" t="n">
        <x:v>86400</x:v>
      </x:c>
      <x:c r="C787" s="2" t="str">
        <x:f>'Покупки'!C85</x:f>
        <x:v>Докупка</x:v>
      </x:c>
      <x:c r="D787" s="9" t="n">
        <x:v>46282.61982638889</x:v>
      </x:c>
      <x:c r="E787" s="12"/>
      <x:c r="F787" s="12" t="n">
        <x:f>'Покупки'!H85</x:f>
        <x:v>0.16180229493025633</x:v>
      </x:c>
      <x:c r="G787" s="14" t="str">
        <x:f>IF(I787="Есть цена",IF(AND(ISNUMBER(E787),E787&gt;0,F787&gt;0),E787/F787-1,NA()),"")</x:f>
      </x:c>
      <x:c r="H787" s="14" t="str">
        <x:f>IF(AND(I787="Есть цена",I778="Есть цена"),IF(AND(E787&gt;0,E778&gt;0),E787/E778-1,NA()),"")</x:f>
      </x:c>
      <x:c r="I787" s="2" t="str">
        <x:v>GatorSwap: нет модели цены</x:v>
      </x:c>
      <x:c r="J787" s="2"/>
      <x:c r="K787" s="9"/>
      <x:c r="L787" s="2"/>
      <x:c r="M787" s="2"/>
      <x:c r="N787" s="2"/>
      <x:c r="O787" s="2"/>
      <x:c r="P787" s="2" t="str">
        <x:v>route_decoder_missing</x:v>
      </x:c>
      <x:c r="Q787" s="2" t="str"/>
      <x:c r="R787" s="14" t="str">
        <x:f>IF(AND(C787="Нулевой остаток",I787="Есть цена"),G787,"")</x:f>
      </x:c>
      <x:c r="S787" s="14" t="str">
        <x:f>IF(AND(C787="Докупка",I787="Есть цена"),G787,"")</x:f>
      </x:c>
    </x:row>
    <x:row r="788" ht="21" customHeight="1">
      <x:c r="A788" s="2" t="n">
        <x:v>79</x:v>
      </x:c>
      <x:c r="B788" s="2" t="n">
        <x:v>5</x:v>
      </x:c>
      <x:c r="C788" s="2" t="str">
        <x:f>'Покупки'!C86</x:f>
        <x:v>Нулевой остаток</x:v>
      </x:c>
      <x:c r="D788" s="9" t="n">
        <x:v>46281.60318287037</x:v>
      </x:c>
      <x:c r="E788" s="12"/>
      <x:c r="F788" s="12" t="n">
        <x:f>'Покупки'!H86</x:f>
        <x:v>0.00016742704206772435</x:v>
      </x:c>
      <x:c r="G788" s="14" t="str">
        <x:f>IF(I788="Есть цена",IF(AND(ISNUMBER(E788),E788&gt;0,F788&gt;0),E788/F788-1,NA()),"")</x:f>
      </x:c>
      <x:c r="H788" s="14" t="str">
        <x:f>IF(AND(I788="Есть цена",I788="Есть цена"),IF(AND(E788&gt;0,E788&gt;0),E788/E788-1,NA()),"")</x:f>
      </x:c>
      <x:c r="I788" s="2" t="str">
        <x:v>RPC: данные не загружены</x:v>
      </x:c>
      <x:c r="J788" s="2"/>
      <x:c r="K788" s="9"/>
      <x:c r="L788" s="2"/>
      <x:c r="M788" s="2"/>
      <x:c r="N788" s="2"/>
      <x:c r="O788" s="2"/>
      <x:c r="P788" s="2" t="str">
        <x:v>not_cached:getSignaturesForAddress:history/a7a30d3551ed3d492ffb983d</x:v>
      </x:c>
      <x:c r="Q788" s="2" t="str"/>
      <x:c r="R788" s="14" t="str">
        <x:f>IF(AND(C788="Нулевой остаток",I788="Есть цена"),G788,"")</x:f>
      </x:c>
      <x:c r="S788" s="14" t="str">
        <x:f>IF(AND(C788="Докупка",I788="Есть цена"),G788,"")</x:f>
      </x:c>
    </x:row>
    <x:row r="789" ht="21" customHeight="1">
      <x:c r="A789" s="2" t="n">
        <x:v>79</x:v>
      </x:c>
      <x:c r="B789" s="2" t="n">
        <x:v>15</x:v>
      </x:c>
      <x:c r="C789" s="2" t="str">
        <x:f>'Покупки'!C86</x:f>
        <x:v>Нулевой остаток</x:v>
      </x:c>
      <x:c r="D789" s="9" t="n">
        <x:v>46281.60329861111</x:v>
      </x:c>
      <x:c r="E789" s="12"/>
      <x:c r="F789" s="12" t="n">
        <x:f>'Покупки'!H86</x:f>
        <x:v>0.00016742704206772435</x:v>
      </x:c>
      <x:c r="G789" s="14" t="str">
        <x:f>IF(I789="Есть цена",IF(AND(ISNUMBER(E789),E789&gt;0,F789&gt;0),E789/F789-1,NA()),"")</x:f>
      </x:c>
      <x:c r="H789" s="14" t="str">
        <x:f>IF(AND(I789="Есть цена",I788="Есть цена"),IF(AND(E789&gt;0,E788&gt;0),E789/E788-1,NA()),"")</x:f>
      </x:c>
      <x:c r="I789" s="2" t="str">
        <x:v>RPC: данные не загружены</x:v>
      </x:c>
      <x:c r="J789" s="2"/>
      <x:c r="K789" s="9"/>
      <x:c r="L789" s="2"/>
      <x:c r="M789" s="2"/>
      <x:c r="N789" s="2"/>
      <x:c r="O789" s="2"/>
      <x:c r="P789" s="2" t="str">
        <x:v>not_cached:getSignaturesForAddress:history/a7a30d3551ed3d492ffb983d</x:v>
      </x:c>
      <x:c r="Q789" s="2" t="str"/>
      <x:c r="R789" s="14" t="str">
        <x:f>IF(AND(C789="Нулевой остаток",I789="Есть цена"),G789,"")</x:f>
      </x:c>
      <x:c r="S789" s="14" t="str">
        <x:f>IF(AND(C789="Докупка",I789="Есть цена"),G789,"")</x:f>
      </x:c>
    </x:row>
    <x:row r="790" ht="21" customHeight="1">
      <x:c r="A790" s="2" t="n">
        <x:v>79</x:v>
      </x:c>
      <x:c r="B790" s="2" t="n">
        <x:v>30</x:v>
      </x:c>
      <x:c r="C790" s="2" t="str">
        <x:f>'Покупки'!C86</x:f>
        <x:v>Нулевой остаток</x:v>
      </x:c>
      <x:c r="D790" s="9" t="n">
        <x:v>46281.603472222225</x:v>
      </x:c>
      <x:c r="E790" s="12"/>
      <x:c r="F790" s="12" t="n">
        <x:f>'Покупки'!H86</x:f>
        <x:v>0.00016742704206772435</x:v>
      </x:c>
      <x:c r="G790" s="14" t="str">
        <x:f>IF(I790="Есть цена",IF(AND(ISNUMBER(E790),E790&gt;0,F790&gt;0),E790/F790-1,NA()),"")</x:f>
      </x:c>
      <x:c r="H790" s="14" t="str">
        <x:f>IF(AND(I790="Есть цена",I788="Есть цена"),IF(AND(E790&gt;0,E788&gt;0),E790/E788-1,NA()),"")</x:f>
      </x:c>
      <x:c r="I790" s="2" t="str">
        <x:v>RPC: данные не загружены</x:v>
      </x:c>
      <x:c r="J790" s="2"/>
      <x:c r="K790" s="9"/>
      <x:c r="L790" s="2"/>
      <x:c r="M790" s="2"/>
      <x:c r="N790" s="2"/>
      <x:c r="O790" s="2"/>
      <x:c r="P790" s="2" t="str">
        <x:v>not_cached:getSignaturesForAddress:history/a7a30d3551ed3d492ffb983d</x:v>
      </x:c>
      <x:c r="Q790" s="2" t="str"/>
      <x:c r="R790" s="14" t="str">
        <x:f>IF(AND(C790="Нулевой остаток",I790="Есть цена"),G790,"")</x:f>
      </x:c>
      <x:c r="S790" s="14" t="str">
        <x:f>IF(AND(C790="Докупка",I790="Есть цена"),G790,"")</x:f>
      </x:c>
    </x:row>
    <x:row r="791" ht="21" customHeight="1">
      <x:c r="A791" s="2" t="n">
        <x:v>79</x:v>
      </x:c>
      <x:c r="B791" s="2" t="n">
        <x:v>60</x:v>
      </x:c>
      <x:c r="C791" s="2" t="str">
        <x:f>'Покупки'!C86</x:f>
        <x:v>Нулевой остаток</x:v>
      </x:c>
      <x:c r="D791" s="9" t="n">
        <x:v>46281.60381944444</x:v>
      </x:c>
      <x:c r="E791" s="12"/>
      <x:c r="F791" s="12" t="n">
        <x:f>'Покупки'!H86</x:f>
        <x:v>0.00016742704206772435</x:v>
      </x:c>
      <x:c r="G791" s="14" t="str">
        <x:f>IF(I791="Есть цена",IF(AND(ISNUMBER(E791),E791&gt;0,F791&gt;0),E791/F791-1,NA()),"")</x:f>
      </x:c>
      <x:c r="H791" s="14" t="str">
        <x:f>IF(AND(I791="Есть цена",I788="Есть цена"),IF(AND(E791&gt;0,E788&gt;0),E791/E788-1,NA()),"")</x:f>
      </x:c>
      <x:c r="I791" s="2" t="str">
        <x:v>RPC: данные не загружены</x:v>
      </x:c>
      <x:c r="J791" s="2"/>
      <x:c r="K791" s="9"/>
      <x:c r="L791" s="2"/>
      <x:c r="M791" s="2"/>
      <x:c r="N791" s="2"/>
      <x:c r="O791" s="2"/>
      <x:c r="P791" s="2" t="str">
        <x:v>not_cached:getSignaturesForAddress:history/a7a30d3551ed3d492ffb983d</x:v>
      </x:c>
      <x:c r="Q791" s="2" t="str"/>
      <x:c r="R791" s="14" t="str">
        <x:f>IF(AND(C791="Нулевой остаток",I791="Есть цена"),G791,"")</x:f>
      </x:c>
      <x:c r="S791" s="14" t="str">
        <x:f>IF(AND(C791="Докупка",I791="Есть цена"),G791,"")</x:f>
      </x:c>
    </x:row>
    <x:row r="792" ht="21" customHeight="1">
      <x:c r="A792" s="2" t="n">
        <x:v>79</x:v>
      </x:c>
      <x:c r="B792" s="2" t="n">
        <x:v>180</x:v>
      </x:c>
      <x:c r="C792" s="2" t="str">
        <x:f>'Покупки'!C86</x:f>
        <x:v>Нулевой остаток</x:v>
      </x:c>
      <x:c r="D792" s="9" t="n">
        <x:v>46281.605208333334</x:v>
      </x:c>
      <x:c r="E792" s="12"/>
      <x:c r="F792" s="12" t="n">
        <x:f>'Покупки'!H86</x:f>
        <x:v>0.00016742704206772435</x:v>
      </x:c>
      <x:c r="G792" s="14" t="str">
        <x:f>IF(I792="Есть цена",IF(AND(ISNUMBER(E792),E792&gt;0,F792&gt;0),E792/F792-1,NA()),"")</x:f>
      </x:c>
      <x:c r="H792" s="14" t="str">
        <x:f>IF(AND(I792="Есть цена",I788="Есть цена"),IF(AND(E792&gt;0,E788&gt;0),E792/E788-1,NA()),"")</x:f>
      </x:c>
      <x:c r="I792" s="2" t="str">
        <x:v>RPC: данные не загружены</x:v>
      </x:c>
      <x:c r="J792" s="2"/>
      <x:c r="K792" s="9"/>
      <x:c r="L792" s="2"/>
      <x:c r="M792" s="2"/>
      <x:c r="N792" s="2"/>
      <x:c r="O792" s="2"/>
      <x:c r="P792" s="2" t="str">
        <x:v>not_cached:getSignaturesForAddress:history/f812af3006b345f8d32d6091</x:v>
      </x:c>
      <x:c r="Q792" s="2" t="str"/>
      <x:c r="R792" s="14" t="str">
        <x:f>IF(AND(C792="Нулевой остаток",I792="Есть цена"),G792,"")</x:f>
      </x:c>
      <x:c r="S792" s="14" t="str">
        <x:f>IF(AND(C792="Докупка",I792="Есть цена"),G792,"")</x:f>
      </x:c>
    </x:row>
    <x:row r="793" ht="21" customHeight="1">
      <x:c r="A793" s="2" t="n">
        <x:v>79</x:v>
      </x:c>
      <x:c r="B793" s="2" t="n">
        <x:v>300</x:v>
      </x:c>
      <x:c r="C793" s="2" t="str">
        <x:f>'Покупки'!C86</x:f>
        <x:v>Нулевой остаток</x:v>
      </x:c>
      <x:c r="D793" s="9" t="n">
        <x:v>46281.60659722222</x:v>
      </x:c>
      <x:c r="E793" s="12"/>
      <x:c r="F793" s="12" t="n">
        <x:f>'Покупки'!H86</x:f>
        <x:v>0.00016742704206772435</x:v>
      </x:c>
      <x:c r="G793" s="14" t="str">
        <x:f>IF(I793="Есть цена",IF(AND(ISNUMBER(E793),E793&gt;0,F793&gt;0),E793/F793-1,NA()),"")</x:f>
      </x:c>
      <x:c r="H793" s="14" t="str">
        <x:f>IF(AND(I793="Есть цена",I788="Есть цена"),IF(AND(E793&gt;0,E788&gt;0),E793/E788-1,NA()),"")</x:f>
      </x:c>
      <x:c r="I793" s="2" t="str">
        <x:v>RPC: данные не загружены</x:v>
      </x:c>
      <x:c r="J793" s="2"/>
      <x:c r="K793" s="9"/>
      <x:c r="L793" s="2"/>
      <x:c r="M793" s="2"/>
      <x:c r="N793" s="2"/>
      <x:c r="O793" s="2"/>
      <x:c r="P793" s="2" t="str">
        <x:v>not_cached:getSignaturesForAddress:history/f812af3006b345f8d32d6091</x:v>
      </x:c>
      <x:c r="Q793" s="2" t="str"/>
      <x:c r="R793" s="14" t="str">
        <x:f>IF(AND(C793="Нулевой остаток",I793="Есть цена"),G793,"")</x:f>
      </x:c>
      <x:c r="S793" s="14" t="str">
        <x:f>IF(AND(C793="Докупка",I793="Есть цена"),G793,"")</x:f>
      </x:c>
    </x:row>
    <x:row r="794" ht="21" customHeight="1">
      <x:c r="A794" s="2" t="n">
        <x:v>79</x:v>
      </x:c>
      <x:c r="B794" s="2" t="n">
        <x:v>900</x:v>
      </x:c>
      <x:c r="C794" s="2" t="str">
        <x:f>'Покупки'!C86</x:f>
        <x:v>Нулевой остаток</x:v>
      </x:c>
      <x:c r="D794" s="9" t="n">
        <x:v>46281.613541666666</x:v>
      </x:c>
      <x:c r="E794" s="12"/>
      <x:c r="F794" s="12" t="n">
        <x:f>'Покупки'!H86</x:f>
        <x:v>0.00016742704206772435</x:v>
      </x:c>
      <x:c r="G794" s="14" t="str">
        <x:f>IF(I794="Есть цена",IF(AND(ISNUMBER(E794),E794&gt;0,F794&gt;0),E794/F794-1,NA()),"")</x:f>
      </x:c>
      <x:c r="H794" s="14" t="str">
        <x:f>IF(AND(I794="Есть цена",I788="Есть цена"),IF(AND(E794&gt;0,E788&gt;0),E794/E788-1,NA()),"")</x:f>
      </x:c>
      <x:c r="I794" s="2" t="str">
        <x:v>RPC: данные не загружены</x:v>
      </x:c>
      <x:c r="J794" s="2"/>
      <x:c r="K794" s="9"/>
      <x:c r="L794" s="2"/>
      <x:c r="M794" s="2"/>
      <x:c r="N794" s="2"/>
      <x:c r="O794" s="2"/>
      <x:c r="P794" s="2" t="str">
        <x:v>not_cached:getSignaturesForAddress:history/88ff8e2e4581100e07d816d7</x:v>
      </x:c>
      <x:c r="Q794" s="2" t="str"/>
      <x:c r="R794" s="14" t="str">
        <x:f>IF(AND(C794="Нулевой остаток",I794="Есть цена"),G794,"")</x:f>
      </x:c>
      <x:c r="S794" s="14" t="str">
        <x:f>IF(AND(C794="Докупка",I794="Есть цена"),G794,"")</x:f>
      </x:c>
    </x:row>
    <x:row r="795" ht="21" customHeight="1">
      <x:c r="A795" s="2" t="n">
        <x:v>79</x:v>
      </x:c>
      <x:c r="B795" s="2" t="n">
        <x:v>3600</x:v>
      </x:c>
      <x:c r="C795" s="2" t="str">
        <x:f>'Покупки'!C86</x:f>
        <x:v>Нулевой остаток</x:v>
      </x:c>
      <x:c r="D795" s="9" t="n">
        <x:v>46281.644791666666</x:v>
      </x:c>
      <x:c r="E795" s="12"/>
      <x:c r="F795" s="12" t="n">
        <x:f>'Покупки'!H86</x:f>
        <x:v>0.00016742704206772435</x:v>
      </x:c>
      <x:c r="G795" s="14" t="str">
        <x:f>IF(I795="Есть цена",IF(AND(ISNUMBER(E795),E795&gt;0,F795&gt;0),E795/F795-1,NA()),"")</x:f>
      </x:c>
      <x:c r="H795" s="14" t="str">
        <x:f>IF(AND(I795="Есть цена",I788="Есть цена"),IF(AND(E795&gt;0,E788&gt;0),E795/E788-1,NA()),"")</x:f>
      </x:c>
      <x:c r="I795" s="2" t="str">
        <x:v>RPC: данные не загружены</x:v>
      </x:c>
      <x:c r="J795" s="2"/>
      <x:c r="K795" s="9"/>
      <x:c r="L795" s="2"/>
      <x:c r="M795" s="2"/>
      <x:c r="N795" s="2"/>
      <x:c r="O795" s="2"/>
      <x:c r="P795" s="2" t="str">
        <x:v>not_cached:getSignaturesForAddress:history/482b6975db2c040c0198bcfe</x:v>
      </x:c>
      <x:c r="Q795" s="2" t="str"/>
      <x:c r="R795" s="14" t="str">
        <x:f>IF(AND(C795="Нулевой остаток",I795="Есть цена"),G795,"")</x:f>
      </x:c>
      <x:c r="S795" s="14" t="str">
        <x:f>IF(AND(C795="Докупка",I795="Есть цена"),G795,"")</x:f>
      </x:c>
    </x:row>
    <x:row r="796" ht="21" customHeight="1">
      <x:c r="A796" s="2" t="n">
        <x:v>79</x:v>
      </x:c>
      <x:c r="B796" s="2" t="n">
        <x:v>21600</x:v>
      </x:c>
      <x:c r="C796" s="2" t="str">
        <x:f>'Покупки'!C86</x:f>
        <x:v>Нулевой остаток</x:v>
      </x:c>
      <x:c r="D796" s="9" t="n">
        <x:v>46281.853125</x:v>
      </x:c>
      <x:c r="E796" s="12"/>
      <x:c r="F796" s="12" t="n">
        <x:f>'Покупки'!H86</x:f>
        <x:v>0.00016742704206772435</x:v>
      </x:c>
      <x:c r="G796" s="14" t="str">
        <x:f>IF(I796="Есть цена",IF(AND(ISNUMBER(E796),E796&gt;0,F796&gt;0),E796/F796-1,NA()),"")</x:f>
      </x:c>
      <x:c r="H796" s="14" t="str">
        <x:f>IF(AND(I796="Есть цена",I788="Есть цена"),IF(AND(E796&gt;0,E788&gt;0),E796/E788-1,NA()),"")</x:f>
      </x:c>
      <x:c r="I796" s="2" t="str">
        <x:v>RPC: данные не загружены</x:v>
      </x:c>
      <x:c r="J796" s="2"/>
      <x:c r="K796" s="9"/>
      <x:c r="L796" s="2"/>
      <x:c r="M796" s="2"/>
      <x:c r="N796" s="2"/>
      <x:c r="O796" s="2"/>
      <x:c r="P796" s="2" t="str">
        <x:v>not_cached:getSignaturesForAddress:history/3855bb9149348bcb42a77f61</x:v>
      </x:c>
      <x:c r="Q796" s="2" t="str"/>
      <x:c r="R796" s="14" t="str">
        <x:f>IF(AND(C796="Нулевой остаток",I796="Есть цена"),G796,"")</x:f>
      </x:c>
      <x:c r="S796" s="14" t="str">
        <x:f>IF(AND(C796="Докупка",I796="Есть цена"),G796,"")</x:f>
      </x:c>
    </x:row>
    <x:row r="797" ht="21" customHeight="1">
      <x:c r="A797" s="2" t="n">
        <x:v>79</x:v>
      </x:c>
      <x:c r="B797" s="2" t="n">
        <x:v>86400</x:v>
      </x:c>
      <x:c r="C797" s="2" t="str">
        <x:f>'Покупки'!C86</x:f>
        <x:v>Нулевой остаток</x:v>
      </x:c>
      <x:c r="D797" s="9" t="n">
        <x:v>46282.603125</x:v>
      </x:c>
      <x:c r="E797" s="12"/>
      <x:c r="F797" s="12" t="n">
        <x:f>'Покупки'!H86</x:f>
        <x:v>0.00016742704206772435</x:v>
      </x:c>
      <x:c r="G797" s="14" t="str">
        <x:f>IF(I797="Есть цена",IF(AND(ISNUMBER(E797),E797&gt;0,F797&gt;0),E797/F797-1,NA()),"")</x:f>
      </x:c>
      <x:c r="H797" s="14" t="str">
        <x:f>IF(AND(I797="Есть цена",I788="Есть цена"),IF(AND(E797&gt;0,E788&gt;0),E797/E788-1,NA()),"")</x:f>
      </x:c>
      <x:c r="I797" s="2" t="str">
        <x:v>RPC: данные не загружены</x:v>
      </x:c>
      <x:c r="J797" s="2"/>
      <x:c r="K797" s="9"/>
      <x:c r="L797" s="2"/>
      <x:c r="M797" s="2"/>
      <x:c r="N797" s="2"/>
      <x:c r="O797" s="2"/>
      <x:c r="P797" s="2" t="str">
        <x:v>not_cached:getSignaturesForAddress:history/80be5f23ff099eb1a73a5cae</x:v>
      </x:c>
      <x:c r="Q797" s="2" t="str"/>
      <x:c r="R797" s="14" t="str">
        <x:f>IF(AND(C797="Нулевой остаток",I797="Есть цена"),G797,"")</x:f>
      </x:c>
      <x:c r="S797" s="14" t="str">
        <x:f>IF(AND(C797="Докупка",I797="Есть цена"),G797,"")</x:f>
      </x:c>
    </x:row>
    <x:row r="798" ht="21" customHeight="1">
      <x:c r="A798" s="2" t="n">
        <x:v>80</x:v>
      </x:c>
      <x:c r="B798" s="2" t="n">
        <x:v>5</x:v>
      </x:c>
      <x:c r="C798" s="2" t="str">
        <x:f>'Покупки'!C87</x:f>
        <x:v>Докупка</x:v>
      </x:c>
      <x:c r="D798" s="9" t="n">
        <x:v>46281.58828703704</x:v>
      </x:c>
      <x:c r="E798" s="12"/>
      <x:c r="F798" s="12" t="n">
        <x:f>'Покупки'!H87</x:f>
        <x:v>0.15947097750283512</x:v>
      </x:c>
      <x:c r="G798" s="14" t="str">
        <x:f>IF(I798="Есть цена",IF(AND(ISNUMBER(E798),E798&gt;0,F798&gt;0),E798/F798-1,NA()),"")</x:f>
      </x:c>
      <x:c r="H798" s="14" t="str">
        <x:f>IF(AND(I798="Есть цена",I798="Есть цена"),IF(AND(E798&gt;0,E798&gt;0),E798/E798-1,NA()),"")</x:f>
      </x:c>
      <x:c r="I798" s="2" t="str">
        <x:v>RPC: данные не загружены</x:v>
      </x:c>
      <x:c r="J798" s="2"/>
      <x:c r="K798" s="9"/>
      <x:c r="L798" s="2"/>
      <x:c r="M798" s="2"/>
      <x:c r="N798" s="2"/>
      <x:c r="O798" s="2"/>
      <x:c r="P798" s="2" t="str">
        <x:v>not_cached:getSignaturesForAddress:history/99bc6a46f06e91a3163398b4</x:v>
      </x:c>
      <x:c r="Q798" s="2" t="str"/>
      <x:c r="R798" s="14" t="str">
        <x:f>IF(AND(C798="Нулевой остаток",I798="Есть цена"),G798,"")</x:f>
      </x:c>
      <x:c r="S798" s="14" t="str">
        <x:f>IF(AND(C798="Докупка",I798="Есть цена"),G798,"")</x:f>
      </x:c>
    </x:row>
    <x:row r="799" ht="21" customHeight="1">
      <x:c r="A799" s="2" t="n">
        <x:v>80</x:v>
      </x:c>
      <x:c r="B799" s="2" t="n">
        <x:v>15</x:v>
      </x:c>
      <x:c r="C799" s="2" t="str">
        <x:f>'Покупки'!C87</x:f>
        <x:v>Докупка</x:v>
      </x:c>
      <x:c r="D799" s="9" t="n">
        <x:v>46281.58840277778</x:v>
      </x:c>
      <x:c r="E799" s="12"/>
      <x:c r="F799" s="12" t="n">
        <x:f>'Покупки'!H87</x:f>
        <x:v>0.15947097750283512</x:v>
      </x:c>
      <x:c r="G799" s="14" t="str">
        <x:f>IF(I799="Есть цена",IF(AND(ISNUMBER(E799),E799&gt;0,F799&gt;0),E799/F799-1,NA()),"")</x:f>
      </x:c>
      <x:c r="H799" s="14" t="str">
        <x:f>IF(AND(I799="Есть цена",I798="Есть цена"),IF(AND(E799&gt;0,E798&gt;0),E799/E798-1,NA()),"")</x:f>
      </x:c>
      <x:c r="I799" s="2" t="str">
        <x:v>RPC: данные не загружены</x:v>
      </x:c>
      <x:c r="J799" s="2"/>
      <x:c r="K799" s="9"/>
      <x:c r="L799" s="2"/>
      <x:c r="M799" s="2"/>
      <x:c r="N799" s="2"/>
      <x:c r="O799" s="2"/>
      <x:c r="P799" s="2" t="str">
        <x:v>not_cached:getSignaturesForAddress:history/99bc6a46f06e91a3163398b4</x:v>
      </x:c>
      <x:c r="Q799" s="2" t="str"/>
      <x:c r="R799" s="14" t="str">
        <x:f>IF(AND(C799="Нулевой остаток",I799="Есть цена"),G799,"")</x:f>
      </x:c>
      <x:c r="S799" s="14" t="str">
        <x:f>IF(AND(C799="Докупка",I799="Есть цена"),G799,"")</x:f>
      </x:c>
    </x:row>
    <x:row r="800" ht="21" customHeight="1">
      <x:c r="A800" s="2" t="n">
        <x:v>80</x:v>
      </x:c>
      <x:c r="B800" s="2" t="n">
        <x:v>30</x:v>
      </x:c>
      <x:c r="C800" s="2" t="str">
        <x:f>'Покупки'!C87</x:f>
        <x:v>Докупка</x:v>
      </x:c>
      <x:c r="D800" s="9" t="n">
        <x:v>46281.58857638889</x:v>
      </x:c>
      <x:c r="E800" s="12"/>
      <x:c r="F800" s="12" t="n">
        <x:f>'Покупки'!H87</x:f>
        <x:v>0.15947097750283512</x:v>
      </x:c>
      <x:c r="G800" s="14" t="str">
        <x:f>IF(I800="Есть цена",IF(AND(ISNUMBER(E800),E800&gt;0,F800&gt;0),E800/F800-1,NA()),"")</x:f>
      </x:c>
      <x:c r="H800" s="14" t="str">
        <x:f>IF(AND(I800="Есть цена",I798="Есть цена"),IF(AND(E800&gt;0,E798&gt;0),E800/E798-1,NA()),"")</x:f>
      </x:c>
      <x:c r="I800" s="2" t="str">
        <x:v>RPC: данные не загружены</x:v>
      </x:c>
      <x:c r="J800" s="2"/>
      <x:c r="K800" s="9"/>
      <x:c r="L800" s="2"/>
      <x:c r="M800" s="2"/>
      <x:c r="N800" s="2"/>
      <x:c r="O800" s="2"/>
      <x:c r="P800" s="2" t="str">
        <x:v>not_cached:getSignaturesForAddress:history/99bc6a46f06e91a3163398b4</x:v>
      </x:c>
      <x:c r="Q800" s="2" t="str"/>
      <x:c r="R800" s="14" t="str">
        <x:f>IF(AND(C800="Нулевой остаток",I800="Есть цена"),G800,"")</x:f>
      </x:c>
      <x:c r="S800" s="14" t="str">
        <x:f>IF(AND(C800="Докупка",I800="Есть цена"),G800,"")</x:f>
      </x:c>
    </x:row>
    <x:row r="801" ht="21" customHeight="1">
      <x:c r="A801" s="2" t="n">
        <x:v>80</x:v>
      </x:c>
      <x:c r="B801" s="2" t="n">
        <x:v>60</x:v>
      </x:c>
      <x:c r="C801" s="2" t="str">
        <x:f>'Покупки'!C87</x:f>
        <x:v>Докупка</x:v>
      </x:c>
      <x:c r="D801" s="9" t="n">
        <x:v>46281.58892361111</x:v>
      </x:c>
      <x:c r="E801" s="12"/>
      <x:c r="F801" s="12" t="n">
        <x:f>'Покупки'!H87</x:f>
        <x:v>0.15947097750283512</x:v>
      </x:c>
      <x:c r="G801" s="14" t="str">
        <x:f>IF(I801="Есть цена",IF(AND(ISNUMBER(E801),E801&gt;0,F801&gt;0),E801/F801-1,NA()),"")</x:f>
      </x:c>
      <x:c r="H801" s="14" t="str">
        <x:f>IF(AND(I801="Есть цена",I798="Есть цена"),IF(AND(E801&gt;0,E798&gt;0),E801/E798-1,NA()),"")</x:f>
      </x:c>
      <x:c r="I801" s="2" t="str">
        <x:v>RPC: данные не загружены</x:v>
      </x:c>
      <x:c r="J801" s="2"/>
      <x:c r="K801" s="9"/>
      <x:c r="L801" s="2"/>
      <x:c r="M801" s="2"/>
      <x:c r="N801" s="2"/>
      <x:c r="O801" s="2"/>
      <x:c r="P801" s="2" t="str">
        <x:v>not_cached:getSignaturesForAddress:history/99bc6a46f06e91a3163398b4</x:v>
      </x:c>
      <x:c r="Q801" s="2" t="str"/>
      <x:c r="R801" s="14" t="str">
        <x:f>IF(AND(C801="Нулевой остаток",I801="Есть цена"),G801,"")</x:f>
      </x:c>
      <x:c r="S801" s="14" t="str">
        <x:f>IF(AND(C801="Докупка",I801="Есть цена"),G801,"")</x:f>
      </x:c>
    </x:row>
    <x:row r="802" ht="21" customHeight="1">
      <x:c r="A802" s="2" t="n">
        <x:v>80</x:v>
      </x:c>
      <x:c r="B802" s="2" t="n">
        <x:v>180</x:v>
      </x:c>
      <x:c r="C802" s="2" t="str">
        <x:f>'Покупки'!C87</x:f>
        <x:v>Докупка</x:v>
      </x:c>
      <x:c r="D802" s="9" t="n">
        <x:v>46281.5903125</x:v>
      </x:c>
      <x:c r="E802" s="12"/>
      <x:c r="F802" s="12" t="n">
        <x:f>'Покупки'!H87</x:f>
        <x:v>0.15947097750283512</x:v>
      </x:c>
      <x:c r="G802" s="14" t="str">
        <x:f>IF(I802="Есть цена",IF(AND(ISNUMBER(E802),E802&gt;0,F802&gt;0),E802/F802-1,NA()),"")</x:f>
      </x:c>
      <x:c r="H802" s="14" t="str">
        <x:f>IF(AND(I802="Есть цена",I798="Есть цена"),IF(AND(E802&gt;0,E798&gt;0),E802/E798-1,NA()),"")</x:f>
      </x:c>
      <x:c r="I802" s="2" t="str">
        <x:v>RPC: данные не загружены</x:v>
      </x:c>
      <x:c r="J802" s="2"/>
      <x:c r="K802" s="9"/>
      <x:c r="L802" s="2"/>
      <x:c r="M802" s="2"/>
      <x:c r="N802" s="2"/>
      <x:c r="O802" s="2"/>
      <x:c r="P802" s="2" t="str">
        <x:v>not_cached:getSignaturesForAddress:history/6a5c6aaecf0f05f2e7034522</x:v>
      </x:c>
      <x:c r="Q802" s="2" t="str"/>
      <x:c r="R802" s="14" t="str">
        <x:f>IF(AND(C802="Нулевой остаток",I802="Есть цена"),G802,"")</x:f>
      </x:c>
      <x:c r="S802" s="14" t="str">
        <x:f>IF(AND(C802="Докупка",I802="Есть цена"),G802,"")</x:f>
      </x:c>
    </x:row>
    <x:row r="803" ht="21" customHeight="1">
      <x:c r="A803" s="2" t="n">
        <x:v>80</x:v>
      </x:c>
      <x:c r="B803" s="2" t="n">
        <x:v>300</x:v>
      </x:c>
      <x:c r="C803" s="2" t="str">
        <x:f>'Покупки'!C87</x:f>
        <x:v>Докупка</x:v>
      </x:c>
      <x:c r="D803" s="9" t="n">
        <x:v>46281.59170138889</x:v>
      </x:c>
      <x:c r="E803" s="12"/>
      <x:c r="F803" s="12" t="n">
        <x:f>'Покупки'!H87</x:f>
        <x:v>0.15947097750283512</x:v>
      </x:c>
      <x:c r="G803" s="14" t="str">
        <x:f>IF(I803="Есть цена",IF(AND(ISNUMBER(E803),E803&gt;0,F803&gt;0),E803/F803-1,NA()),"")</x:f>
      </x:c>
      <x:c r="H803" s="14" t="str">
        <x:f>IF(AND(I803="Есть цена",I798="Есть цена"),IF(AND(E803&gt;0,E798&gt;0),E803/E798-1,NA()),"")</x:f>
      </x:c>
      <x:c r="I803" s="2" t="str">
        <x:v>RPC: данные не загружены</x:v>
      </x:c>
      <x:c r="J803" s="2"/>
      <x:c r="K803" s="9"/>
      <x:c r="L803" s="2"/>
      <x:c r="M803" s="2"/>
      <x:c r="N803" s="2"/>
      <x:c r="O803" s="2"/>
      <x:c r="P803" s="2" t="str">
        <x:v>not_cached:getSignaturesForAddress:history/dbd2eaeeef982cbd8bc6b90c</x:v>
      </x:c>
      <x:c r="Q803" s="2" t="str"/>
      <x:c r="R803" s="14" t="str">
        <x:f>IF(AND(C803="Нулевой остаток",I803="Есть цена"),G803,"")</x:f>
      </x:c>
      <x:c r="S803" s="14" t="str">
        <x:f>IF(AND(C803="Докупка",I803="Есть цена"),G803,"")</x:f>
      </x:c>
    </x:row>
    <x:row r="804" ht="21" customHeight="1">
      <x:c r="A804" s="2" t="n">
        <x:v>80</x:v>
      </x:c>
      <x:c r="B804" s="2" t="n">
        <x:v>900</x:v>
      </x:c>
      <x:c r="C804" s="2" t="str">
        <x:f>'Покупки'!C87</x:f>
        <x:v>Докупка</x:v>
      </x:c>
      <x:c r="D804" s="9" t="n">
        <x:v>46281.598645833335</x:v>
      </x:c>
      <x:c r="E804" s="12"/>
      <x:c r="F804" s="12" t="n">
        <x:f>'Покупки'!H87</x:f>
        <x:v>0.15947097750283512</x:v>
      </x:c>
      <x:c r="G804" s="14" t="str">
        <x:f>IF(I804="Есть цена",IF(AND(ISNUMBER(E804),E804&gt;0,F804&gt;0),E804/F804-1,NA()),"")</x:f>
      </x:c>
      <x:c r="H804" s="14" t="str">
        <x:f>IF(AND(I804="Есть цена",I798="Есть цена"),IF(AND(E804&gt;0,E798&gt;0),E804/E798-1,NA()),"")</x:f>
      </x:c>
      <x:c r="I804" s="2" t="str">
        <x:v>RPC: данные не загружены</x:v>
      </x:c>
      <x:c r="J804" s="2"/>
      <x:c r="K804" s="9"/>
      <x:c r="L804" s="2"/>
      <x:c r="M804" s="2"/>
      <x:c r="N804" s="2"/>
      <x:c r="O804" s="2"/>
      <x:c r="P804" s="2" t="str">
        <x:v>not_cached:getSignaturesForAddress:history/b91aabde3f67508b30ce843b</x:v>
      </x:c>
      <x:c r="Q804" s="2" t="str"/>
      <x:c r="R804" s="14" t="str">
        <x:f>IF(AND(C804="Нулевой остаток",I804="Есть цена"),G804,"")</x:f>
      </x:c>
      <x:c r="S804" s="14" t="str">
        <x:f>IF(AND(C804="Докупка",I804="Есть цена"),G804,"")</x:f>
      </x:c>
    </x:row>
    <x:row r="805" ht="21" customHeight="1">
      <x:c r="A805" s="2" t="n">
        <x:v>80</x:v>
      </x:c>
      <x:c r="B805" s="2" t="n">
        <x:v>3600</x:v>
      </x:c>
      <x:c r="C805" s="2" t="str">
        <x:f>'Покупки'!C87</x:f>
        <x:v>Докупка</x:v>
      </x:c>
      <x:c r="D805" s="9" t="n">
        <x:v>46281.629895833335</x:v>
      </x:c>
      <x:c r="E805" s="12"/>
      <x:c r="F805" s="12" t="n">
        <x:f>'Покупки'!H87</x:f>
        <x:v>0.15947097750283512</x:v>
      </x:c>
      <x:c r="G805" s="14" t="str">
        <x:f>IF(I805="Есть цена",IF(AND(ISNUMBER(E805),E805&gt;0,F805&gt;0),E805/F805-1,NA()),"")</x:f>
      </x:c>
      <x:c r="H805" s="14" t="str">
        <x:f>IF(AND(I805="Есть цена",I798="Есть цена"),IF(AND(E805&gt;0,E798&gt;0),E805/E798-1,NA()),"")</x:f>
      </x:c>
      <x:c r="I805" s="2" t="str">
        <x:v>RPC: данные не загружены</x:v>
      </x:c>
      <x:c r="J805" s="2"/>
      <x:c r="K805" s="9"/>
      <x:c r="L805" s="2"/>
      <x:c r="M805" s="2"/>
      <x:c r="N805" s="2"/>
      <x:c r="O805" s="2"/>
      <x:c r="P805" s="2" t="str">
        <x:v>not_cached:getSignaturesForAddress:history/fc5bba0e564cc4aeb01eb4a2</x:v>
      </x:c>
      <x:c r="Q805" s="2" t="str"/>
      <x:c r="R805" s="14" t="str">
        <x:f>IF(AND(C805="Нулевой остаток",I805="Есть цена"),G805,"")</x:f>
      </x:c>
      <x:c r="S805" s="14" t="str">
        <x:f>IF(AND(C805="Докупка",I805="Есть цена"),G805,"")</x:f>
      </x:c>
    </x:row>
    <x:row r="806" ht="21" customHeight="1">
      <x:c r="A806" s="2" t="n">
        <x:v>80</x:v>
      </x:c>
      <x:c r="B806" s="2" t="n">
        <x:v>21600</x:v>
      </x:c>
      <x:c r="C806" s="2" t="str">
        <x:f>'Покупки'!C87</x:f>
        <x:v>Докупка</x:v>
      </x:c>
      <x:c r="D806" s="9" t="n">
        <x:v>46281.838229166664</x:v>
      </x:c>
      <x:c r="E806" s="12"/>
      <x:c r="F806" s="12" t="n">
        <x:f>'Покупки'!H87</x:f>
        <x:v>0.15947097750283512</x:v>
      </x:c>
      <x:c r="G806" s="14" t="str">
        <x:f>IF(I806="Есть цена",IF(AND(ISNUMBER(E806),E806&gt;0,F806&gt;0),E806/F806-1,NA()),"")</x:f>
      </x:c>
      <x:c r="H806" s="14" t="str">
        <x:f>IF(AND(I806="Есть цена",I798="Есть цена"),IF(AND(E806&gt;0,E798&gt;0),E806/E798-1,NA()),"")</x:f>
      </x:c>
      <x:c r="I806" s="2" t="str">
        <x:v>RPC: данные не загружены</x:v>
      </x:c>
      <x:c r="J806" s="2"/>
      <x:c r="K806" s="9"/>
      <x:c r="L806" s="2"/>
      <x:c r="M806" s="2"/>
      <x:c r="N806" s="2"/>
      <x:c r="O806" s="2"/>
      <x:c r="P806" s="2" t="str">
        <x:v>not_cached:getSignaturesForAddress:history/1f62ba043d935d10a47439b5</x:v>
      </x:c>
      <x:c r="Q806" s="2" t="str"/>
      <x:c r="R806" s="14" t="str">
        <x:f>IF(AND(C806="Нулевой остаток",I806="Есть цена"),G806,"")</x:f>
      </x:c>
      <x:c r="S806" s="14" t="str">
        <x:f>IF(AND(C806="Докупка",I806="Есть цена"),G806,"")</x:f>
      </x:c>
    </x:row>
    <x:row r="807" ht="21" customHeight="1">
      <x:c r="A807" s="2" t="n">
        <x:v>80</x:v>
      </x:c>
      <x:c r="B807" s="2" t="n">
        <x:v>86400</x:v>
      </x:c>
      <x:c r="C807" s="2" t="str">
        <x:f>'Покупки'!C87</x:f>
        <x:v>Докупка</x:v>
      </x:c>
      <x:c r="D807" s="9" t="n">
        <x:v>46282.588229166664</x:v>
      </x:c>
      <x:c r="E807" s="12"/>
      <x:c r="F807" s="12" t="n">
        <x:f>'Покупки'!H87</x:f>
        <x:v>0.15947097750283512</x:v>
      </x:c>
      <x:c r="G807" s="14" t="str">
        <x:f>IF(I807="Есть цена",IF(AND(ISNUMBER(E807),E807&gt;0,F807&gt;0),E807/F807-1,NA()),"")</x:f>
      </x:c>
      <x:c r="H807" s="14" t="str">
        <x:f>IF(AND(I807="Есть цена",I798="Есть цена"),IF(AND(E807&gt;0,E798&gt;0),E807/E798-1,NA()),"")</x:f>
      </x:c>
      <x:c r="I807" s="2" t="str">
        <x:v>RPC: данные не загружены</x:v>
      </x:c>
      <x:c r="J807" s="2"/>
      <x:c r="K807" s="9"/>
      <x:c r="L807" s="2"/>
      <x:c r="M807" s="2"/>
      <x:c r="N807" s="2"/>
      <x:c r="O807" s="2"/>
      <x:c r="P807" s="2" t="str">
        <x:v>not_cached:getSignaturesForAddress:history/f9610a71dd917d9444181344</x:v>
      </x:c>
      <x:c r="Q807" s="2" t="str"/>
      <x:c r="R807" s="14" t="str">
        <x:f>IF(AND(C807="Нулевой остаток",I807="Есть цена"),G807,"")</x:f>
      </x:c>
      <x:c r="S807" s="14" t="str">
        <x:f>IF(AND(C807="Докупка",I807="Есть цена"),G807,"")</x:f>
      </x:c>
    </x:row>
    <x:row r="808" ht="21" customHeight="1">
      <x:c r="A808" s="2" t="n">
        <x:v>81</x:v>
      </x:c>
      <x:c r="B808" s="2" t="n">
        <x:v>5</x:v>
      </x:c>
      <x:c r="C808" s="2" t="str">
        <x:f>'Покупки'!C88</x:f>
        <x:v>Докупка</x:v>
      </x:c>
      <x:c r="D808" s="9" t="n">
        <x:v>46281.569398148145</x:v>
      </x:c>
      <x:c r="E808" s="12"/>
      <x:c r="F808" s="12" t="n">
        <x:f>'Покупки'!H88</x:f>
        <x:v>0.008901171490471352</x:v>
      </x:c>
      <x:c r="G808" s="14" t="str">
        <x:f>IF(I808="Есть цена",IF(AND(ISNUMBER(E808),E808&gt;0,F808&gt;0),E808/F808-1,NA()),"")</x:f>
      </x:c>
      <x:c r="H808" s="14" t="str">
        <x:f>IF(AND(I808="Есть цена",I808="Есть цена"),IF(AND(E808&gt;0,E808&gt;0),E808/E808-1,NA()),"")</x:f>
      </x:c>
      <x:c r="I808" s="2" t="str">
        <x:v>RPC: данные не загружены</x:v>
      </x:c>
      <x:c r="J808" s="2"/>
      <x:c r="K808" s="9"/>
      <x:c r="L808" s="2"/>
      <x:c r="M808" s="2"/>
      <x:c r="N808" s="2"/>
      <x:c r="O808" s="2"/>
      <x:c r="P808" s="2" t="str">
        <x:v>not_cached:getSignaturesForAddress:history/a4f42b421f05a8c0c1c26bc4</x:v>
      </x:c>
      <x:c r="Q808" s="2" t="str"/>
      <x:c r="R808" s="14" t="str">
        <x:f>IF(AND(C808="Нулевой остаток",I808="Есть цена"),G808,"")</x:f>
      </x:c>
      <x:c r="S808" s="14" t="str">
        <x:f>IF(AND(C808="Докупка",I808="Есть цена"),G808,"")</x:f>
      </x:c>
    </x:row>
    <x:row r="809" ht="21" customHeight="1">
      <x:c r="A809" s="2" t="n">
        <x:v>81</x:v>
      </x:c>
      <x:c r="B809" s="2" t="n">
        <x:v>15</x:v>
      </x:c>
      <x:c r="C809" s="2" t="str">
        <x:f>'Покупки'!C88</x:f>
        <x:v>Докупка</x:v>
      </x:c>
      <x:c r="D809" s="9" t="n">
        <x:v>46281.56951388889</x:v>
      </x:c>
      <x:c r="E809" s="12"/>
      <x:c r="F809" s="12" t="n">
        <x:f>'Покупки'!H88</x:f>
        <x:v>0.008901171490471352</x:v>
      </x:c>
      <x:c r="G809" s="14" t="str">
        <x:f>IF(I809="Есть цена",IF(AND(ISNUMBER(E809),E809&gt;0,F809&gt;0),E809/F809-1,NA()),"")</x:f>
      </x:c>
      <x:c r="H809" s="14" t="str">
        <x:f>IF(AND(I809="Есть цена",I808="Есть цена"),IF(AND(E809&gt;0,E808&gt;0),E809/E808-1,NA()),"")</x:f>
      </x:c>
      <x:c r="I809" s="2" t="str">
        <x:v>RPC: данные не загружены</x:v>
      </x:c>
      <x:c r="J809" s="2"/>
      <x:c r="K809" s="9"/>
      <x:c r="L809" s="2"/>
      <x:c r="M809" s="2"/>
      <x:c r="N809" s="2"/>
      <x:c r="O809" s="2"/>
      <x:c r="P809" s="2" t="str">
        <x:v>not_cached:getSignaturesForAddress:history/a4f42b421f05a8c0c1c26bc4</x:v>
      </x:c>
      <x:c r="Q809" s="2" t="str"/>
      <x:c r="R809" s="14" t="str">
        <x:f>IF(AND(C809="Нулевой остаток",I809="Есть цена"),G809,"")</x:f>
      </x:c>
      <x:c r="S809" s="14" t="str">
        <x:f>IF(AND(C809="Докупка",I809="Есть цена"),G809,"")</x:f>
      </x:c>
    </x:row>
    <x:row r="810" ht="21" customHeight="1">
      <x:c r="A810" s="2" t="n">
        <x:v>81</x:v>
      </x:c>
      <x:c r="B810" s="2" t="n">
        <x:v>30</x:v>
      </x:c>
      <x:c r="C810" s="2" t="str">
        <x:f>'Покупки'!C88</x:f>
        <x:v>Докупка</x:v>
      </x:c>
      <x:c r="D810" s="9" t="n">
        <x:v>46281.5696875</x:v>
      </x:c>
      <x:c r="E810" s="12"/>
      <x:c r="F810" s="12" t="n">
        <x:f>'Покупки'!H88</x:f>
        <x:v>0.008901171490471352</x:v>
      </x:c>
      <x:c r="G810" s="14" t="str">
        <x:f>IF(I810="Есть цена",IF(AND(ISNUMBER(E810),E810&gt;0,F810&gt;0),E810/F810-1,NA()),"")</x:f>
      </x:c>
      <x:c r="H810" s="14" t="str">
        <x:f>IF(AND(I810="Есть цена",I808="Есть цена"),IF(AND(E810&gt;0,E808&gt;0),E810/E808-1,NA()),"")</x:f>
      </x:c>
      <x:c r="I810" s="2" t="str">
        <x:v>RPC: данные не загружены</x:v>
      </x:c>
      <x:c r="J810" s="2"/>
      <x:c r="K810" s="9"/>
      <x:c r="L810" s="2"/>
      <x:c r="M810" s="2"/>
      <x:c r="N810" s="2"/>
      <x:c r="O810" s="2"/>
      <x:c r="P810" s="2" t="str">
        <x:v>not_cached:getSignaturesForAddress:history/a4f42b421f05a8c0c1c26bc4</x:v>
      </x:c>
      <x:c r="Q810" s="2" t="str"/>
      <x:c r="R810" s="14" t="str">
        <x:f>IF(AND(C810="Нулевой остаток",I810="Есть цена"),G810,"")</x:f>
      </x:c>
      <x:c r="S810" s="14" t="str">
        <x:f>IF(AND(C810="Докупка",I810="Есть цена"),G810,"")</x:f>
      </x:c>
    </x:row>
    <x:row r="811" ht="21" customHeight="1">
      <x:c r="A811" s="2" t="n">
        <x:v>81</x:v>
      </x:c>
      <x:c r="B811" s="2" t="n">
        <x:v>60</x:v>
      </x:c>
      <x:c r="C811" s="2" t="str">
        <x:f>'Покупки'!C88</x:f>
        <x:v>Докупка</x:v>
      </x:c>
      <x:c r="D811" s="9" t="n">
        <x:v>46281.57003472222</x:v>
      </x:c>
      <x:c r="E811" s="12"/>
      <x:c r="F811" s="12" t="n">
        <x:f>'Покупки'!H88</x:f>
        <x:v>0.008901171490471352</x:v>
      </x:c>
      <x:c r="G811" s="14" t="str">
        <x:f>IF(I811="Есть цена",IF(AND(ISNUMBER(E811),E811&gt;0,F811&gt;0),E811/F811-1,NA()),"")</x:f>
      </x:c>
      <x:c r="H811" s="14" t="str">
        <x:f>IF(AND(I811="Есть цена",I808="Есть цена"),IF(AND(E811&gt;0,E808&gt;0),E811/E808-1,NA()),"")</x:f>
      </x:c>
      <x:c r="I811" s="2" t="str">
        <x:v>RPC: данные не загружены</x:v>
      </x:c>
      <x:c r="J811" s="2"/>
      <x:c r="K811" s="9"/>
      <x:c r="L811" s="2"/>
      <x:c r="M811" s="2"/>
      <x:c r="N811" s="2"/>
      <x:c r="O811" s="2"/>
      <x:c r="P811" s="2" t="str">
        <x:v>not_cached:getSignaturesForAddress:history/a4f42b421f05a8c0c1c26bc4</x:v>
      </x:c>
      <x:c r="Q811" s="2" t="str"/>
      <x:c r="R811" s="14" t="str">
        <x:f>IF(AND(C811="Нулевой остаток",I811="Есть цена"),G811,"")</x:f>
      </x:c>
      <x:c r="S811" s="14" t="str">
        <x:f>IF(AND(C811="Докупка",I811="Есть цена"),G811,"")</x:f>
      </x:c>
    </x:row>
    <x:row r="812" ht="21" customHeight="1">
      <x:c r="A812" s="2" t="n">
        <x:v>81</x:v>
      </x:c>
      <x:c r="B812" s="2" t="n">
        <x:v>180</x:v>
      </x:c>
      <x:c r="C812" s="2" t="str">
        <x:f>'Покупки'!C88</x:f>
        <x:v>Докупка</x:v>
      </x:c>
      <x:c r="D812" s="9" t="n">
        <x:v>46281.57142361111</x:v>
      </x:c>
      <x:c r="E812" s="12"/>
      <x:c r="F812" s="12" t="n">
        <x:f>'Покупки'!H88</x:f>
        <x:v>0.008901171490471352</x:v>
      </x:c>
      <x:c r="G812" s="14" t="str">
        <x:f>IF(I812="Есть цена",IF(AND(ISNUMBER(E812),E812&gt;0,F812&gt;0),E812/F812-1,NA()),"")</x:f>
      </x:c>
      <x:c r="H812" s="14" t="str">
        <x:f>IF(AND(I812="Есть цена",I808="Есть цена"),IF(AND(E812&gt;0,E808&gt;0),E812/E808-1,NA()),"")</x:f>
      </x:c>
      <x:c r="I812" s="2" t="str">
        <x:v>RPC: данные не загружены</x:v>
      </x:c>
      <x:c r="J812" s="2"/>
      <x:c r="K812" s="9"/>
      <x:c r="L812" s="2"/>
      <x:c r="M812" s="2"/>
      <x:c r="N812" s="2"/>
      <x:c r="O812" s="2"/>
      <x:c r="P812" s="2" t="str">
        <x:v>not_cached:getSignaturesForAddress:history/667526461c29ed926b21adc2</x:v>
      </x:c>
      <x:c r="Q812" s="2" t="str"/>
      <x:c r="R812" s="14" t="str">
        <x:f>IF(AND(C812="Нулевой остаток",I812="Есть цена"),G812,"")</x:f>
      </x:c>
      <x:c r="S812" s="14" t="str">
        <x:f>IF(AND(C812="Докупка",I812="Есть цена"),G812,"")</x:f>
      </x:c>
    </x:row>
    <x:row r="813" ht="21" customHeight="1">
      <x:c r="A813" s="2" t="n">
        <x:v>81</x:v>
      </x:c>
      <x:c r="B813" s="2" t="n">
        <x:v>300</x:v>
      </x:c>
      <x:c r="C813" s="2" t="str">
        <x:f>'Покупки'!C88</x:f>
        <x:v>Докупка</x:v>
      </x:c>
      <x:c r="D813" s="9" t="n">
        <x:v>46281.5728125</x:v>
      </x:c>
      <x:c r="E813" s="12"/>
      <x:c r="F813" s="12" t="n">
        <x:f>'Покупки'!H88</x:f>
        <x:v>0.008901171490471352</x:v>
      </x:c>
      <x:c r="G813" s="14" t="str">
        <x:f>IF(I813="Есть цена",IF(AND(ISNUMBER(E813),E813&gt;0,F813&gt;0),E813/F813-1,NA()),"")</x:f>
      </x:c>
      <x:c r="H813" s="14" t="str">
        <x:f>IF(AND(I813="Есть цена",I808="Есть цена"),IF(AND(E813&gt;0,E808&gt;0),E813/E808-1,NA()),"")</x:f>
      </x:c>
      <x:c r="I813" s="2" t="str">
        <x:v>RPC: данные не загружены</x:v>
      </x:c>
      <x:c r="J813" s="2"/>
      <x:c r="K813" s="9"/>
      <x:c r="L813" s="2"/>
      <x:c r="M813" s="2"/>
      <x:c r="N813" s="2"/>
      <x:c r="O813" s="2"/>
      <x:c r="P813" s="2" t="str">
        <x:v>not_cached:getSignaturesForAddress:history/942b2138eaeb88be10c84011</x:v>
      </x:c>
      <x:c r="Q813" s="2" t="str"/>
      <x:c r="R813" s="14" t="str">
        <x:f>IF(AND(C813="Нулевой остаток",I813="Есть цена"),G813,"")</x:f>
      </x:c>
      <x:c r="S813" s="14" t="str">
        <x:f>IF(AND(C813="Докупка",I813="Есть цена"),G813,"")</x:f>
      </x:c>
    </x:row>
    <x:row r="814" ht="21" customHeight="1">
      <x:c r="A814" s="2" t="n">
        <x:v>81</x:v>
      </x:c>
      <x:c r="B814" s="2" t="n">
        <x:v>900</x:v>
      </x:c>
      <x:c r="C814" s="2" t="str">
        <x:f>'Покупки'!C88</x:f>
        <x:v>Докупка</x:v>
      </x:c>
      <x:c r="D814" s="9" t="n">
        <x:v>46281.57975694445</x:v>
      </x:c>
      <x:c r="E814" s="12"/>
      <x:c r="F814" s="12" t="n">
        <x:f>'Покупки'!H88</x:f>
        <x:v>0.008901171490471352</x:v>
      </x:c>
      <x:c r="G814" s="14" t="str">
        <x:f>IF(I814="Есть цена",IF(AND(ISNUMBER(E814),E814&gt;0,F814&gt;0),E814/F814-1,NA()),"")</x:f>
      </x:c>
      <x:c r="H814" s="14" t="str">
        <x:f>IF(AND(I814="Есть цена",I808="Есть цена"),IF(AND(E814&gt;0,E808&gt;0),E814/E808-1,NA()),"")</x:f>
      </x:c>
      <x:c r="I814" s="2" t="str">
        <x:v>RPC: данные не загружены</x:v>
      </x:c>
      <x:c r="J814" s="2"/>
      <x:c r="K814" s="9"/>
      <x:c r="L814" s="2"/>
      <x:c r="M814" s="2"/>
      <x:c r="N814" s="2"/>
      <x:c r="O814" s="2"/>
      <x:c r="P814" s="2" t="str">
        <x:v>not_cached:getSignaturesForAddress:history/a6b364ae8a598e6ae8ed22da</x:v>
      </x:c>
      <x:c r="Q814" s="2" t="str"/>
      <x:c r="R814" s="14" t="str">
        <x:f>IF(AND(C814="Нулевой остаток",I814="Есть цена"),G814,"")</x:f>
      </x:c>
      <x:c r="S814" s="14" t="str">
        <x:f>IF(AND(C814="Докупка",I814="Есть цена"),G814,"")</x:f>
      </x:c>
    </x:row>
    <x:row r="815" ht="21" customHeight="1">
      <x:c r="A815" s="2" t="n">
        <x:v>81</x:v>
      </x:c>
      <x:c r="B815" s="2" t="n">
        <x:v>3600</x:v>
      </x:c>
      <x:c r="C815" s="2" t="str">
        <x:f>'Покупки'!C88</x:f>
        <x:v>Докупка</x:v>
      </x:c>
      <x:c r="D815" s="9" t="n">
        <x:v>46281.61100694445</x:v>
      </x:c>
      <x:c r="E815" s="12"/>
      <x:c r="F815" s="12" t="n">
        <x:f>'Покупки'!H88</x:f>
        <x:v>0.008901171490471352</x:v>
      </x:c>
      <x:c r="G815" s="14" t="str">
        <x:f>IF(I815="Есть цена",IF(AND(ISNUMBER(E815),E815&gt;0,F815&gt;0),E815/F815-1,NA()),"")</x:f>
      </x:c>
      <x:c r="H815" s="14" t="str">
        <x:f>IF(AND(I815="Есть цена",I808="Есть цена"),IF(AND(E815&gt;0,E808&gt;0),E815/E808-1,NA()),"")</x:f>
      </x:c>
      <x:c r="I815" s="2" t="str">
        <x:v>RPC: данные не загружены</x:v>
      </x:c>
      <x:c r="J815" s="2"/>
      <x:c r="K815" s="9"/>
      <x:c r="L815" s="2"/>
      <x:c r="M815" s="2"/>
      <x:c r="N815" s="2"/>
      <x:c r="O815" s="2"/>
      <x:c r="P815" s="2" t="str">
        <x:v>not_cached:getSignaturesForAddress:history/e9531878d185da08c9be0554</x:v>
      </x:c>
      <x:c r="Q815" s="2" t="str"/>
      <x:c r="R815" s="14" t="str">
        <x:f>IF(AND(C815="Нулевой остаток",I815="Есть цена"),G815,"")</x:f>
      </x:c>
      <x:c r="S815" s="14" t="str">
        <x:f>IF(AND(C815="Докупка",I815="Есть цена"),G815,"")</x:f>
      </x:c>
    </x:row>
    <x:row r="816" ht="21" customHeight="1">
      <x:c r="A816" s="2" t="n">
        <x:v>81</x:v>
      </x:c>
      <x:c r="B816" s="2" t="n">
        <x:v>21600</x:v>
      </x:c>
      <x:c r="C816" s="2" t="str">
        <x:f>'Покупки'!C88</x:f>
        <x:v>Докупка</x:v>
      </x:c>
      <x:c r="D816" s="9" t="n">
        <x:v>46281.819340277776</x:v>
      </x:c>
      <x:c r="E816" s="12"/>
      <x:c r="F816" s="12" t="n">
        <x:f>'Покупки'!H88</x:f>
        <x:v>0.008901171490471352</x:v>
      </x:c>
      <x:c r="G816" s="14" t="str">
        <x:f>IF(I816="Есть цена",IF(AND(ISNUMBER(E816),E816&gt;0,F816&gt;0),E816/F816-1,NA()),"")</x:f>
      </x:c>
      <x:c r="H816" s="14" t="str">
        <x:f>IF(AND(I816="Есть цена",I808="Есть цена"),IF(AND(E816&gt;0,E808&gt;0),E816/E808-1,NA()),"")</x:f>
      </x:c>
      <x:c r="I816" s="2" t="str">
        <x:v>RPC: данные не загружены</x:v>
      </x:c>
      <x:c r="J816" s="2"/>
      <x:c r="K816" s="9"/>
      <x:c r="L816" s="2"/>
      <x:c r="M816" s="2"/>
      <x:c r="N816" s="2"/>
      <x:c r="O816" s="2"/>
      <x:c r="P816" s="2" t="str">
        <x:v>not_cached:getSignaturesForAddress:history/1b44ceaa9030387d3ea84b69</x:v>
      </x:c>
      <x:c r="Q816" s="2" t="str"/>
      <x:c r="R816" s="14" t="str">
        <x:f>IF(AND(C816="Нулевой остаток",I816="Есть цена"),G816,"")</x:f>
      </x:c>
      <x:c r="S816" s="14" t="str">
        <x:f>IF(AND(C816="Докупка",I816="Есть цена"),G816,"")</x:f>
      </x:c>
    </x:row>
    <x:row r="817" ht="21" customHeight="1">
      <x:c r="A817" s="2" t="n">
        <x:v>81</x:v>
      </x:c>
      <x:c r="B817" s="2" t="n">
        <x:v>86400</x:v>
      </x:c>
      <x:c r="C817" s="2" t="str">
        <x:f>'Покупки'!C88</x:f>
        <x:v>Докупка</x:v>
      </x:c>
      <x:c r="D817" s="9" t="n">
        <x:v>46282.569340277776</x:v>
      </x:c>
      <x:c r="E817" s="12"/>
      <x:c r="F817" s="12" t="n">
        <x:f>'Покупки'!H88</x:f>
        <x:v>0.008901171490471352</x:v>
      </x:c>
      <x:c r="G817" s="14" t="str">
        <x:f>IF(I817="Есть цена",IF(AND(ISNUMBER(E817),E817&gt;0,F817&gt;0),E817/F817-1,NA()),"")</x:f>
      </x:c>
      <x:c r="H817" s="14" t="str">
        <x:f>IF(AND(I817="Есть цена",I808="Есть цена"),IF(AND(E817&gt;0,E808&gt;0),E817/E808-1,NA()),"")</x:f>
      </x:c>
      <x:c r="I817" s="2" t="str">
        <x:v>RPC: данные не загружены</x:v>
      </x:c>
      <x:c r="J817" s="2"/>
      <x:c r="K817" s="9"/>
      <x:c r="L817" s="2"/>
      <x:c r="M817" s="2"/>
      <x:c r="N817" s="2"/>
      <x:c r="O817" s="2"/>
      <x:c r="P817" s="2" t="str">
        <x:v>not_cached:getSignaturesForAddress:history/de20b2499487599fc0309b88</x:v>
      </x:c>
      <x:c r="Q817" s="2" t="str"/>
      <x:c r="R817" s="14" t="str">
        <x:f>IF(AND(C817="Нулевой остаток",I817="Есть цена"),G817,"")</x:f>
      </x:c>
      <x:c r="S817" s="14" t="str">
        <x:f>IF(AND(C817="Докупка",I817="Есть цена"),G817,"")</x:f>
      </x:c>
    </x:row>
    <x:row r="818" ht="21" customHeight="1">
      <x:c r="A818" s="2" t="n">
        <x:v>82</x:v>
      </x:c>
      <x:c r="B818" s="2" t="n">
        <x:v>5</x:v>
      </x:c>
      <x:c r="C818" s="2" t="str">
        <x:f>'Покупки'!C89</x:f>
        <x:v>Докупка</x:v>
      </x:c>
      <x:c r="D818" s="9" t="n">
        <x:v>46281.56553240741</x:v>
      </x:c>
      <x:c r="E818" s="12"/>
      <x:c r="F818" s="12" t="n">
        <x:f>'Покупки'!H89</x:f>
        <x:v>0.16387654639656962</x:v>
      </x:c>
      <x:c r="G818" s="14" t="str">
        <x:f>IF(I818="Есть цена",IF(AND(ISNUMBER(E818),E818&gt;0,F818&gt;0),E818/F818-1,NA()),"")</x:f>
      </x:c>
      <x:c r="H818" s="14" t="str">
        <x:f>IF(AND(I818="Есть цена",I818="Есть цена"),IF(AND(E818&gt;0,E818&gt;0),E818/E818-1,NA()),"")</x:f>
      </x:c>
      <x:c r="I818" s="2" t="str">
        <x:v>RPC: данные не загружены</x:v>
      </x:c>
      <x:c r="J818" s="2"/>
      <x:c r="K818" s="9"/>
      <x:c r="L818" s="2"/>
      <x:c r="M818" s="2"/>
      <x:c r="N818" s="2"/>
      <x:c r="O818" s="2"/>
      <x:c r="P818" s="2" t="str">
        <x:v>not_cached:getSignaturesForAddress:history/48ed7aa4016f3bedbafa7ec8</x:v>
      </x:c>
      <x:c r="Q818" s="2" t="str"/>
      <x:c r="R818" s="14" t="str">
        <x:f>IF(AND(C818="Нулевой остаток",I818="Есть цена"),G818,"")</x:f>
      </x:c>
      <x:c r="S818" s="14" t="str">
        <x:f>IF(AND(C818="Докупка",I818="Есть цена"),G818,"")</x:f>
      </x:c>
    </x:row>
    <x:row r="819" ht="21" customHeight="1">
      <x:c r="A819" s="2" t="n">
        <x:v>82</x:v>
      </x:c>
      <x:c r="B819" s="2" t="n">
        <x:v>15</x:v>
      </x:c>
      <x:c r="C819" s="2" t="str">
        <x:f>'Покупки'!C89</x:f>
        <x:v>Докупка</x:v>
      </x:c>
      <x:c r="D819" s="9" t="n">
        <x:v>46281.56564814815</x:v>
      </x:c>
      <x:c r="E819" s="12"/>
      <x:c r="F819" s="12" t="n">
        <x:f>'Покупки'!H89</x:f>
        <x:v>0.16387654639656962</x:v>
      </x:c>
      <x:c r="G819" s="14" t="str">
        <x:f>IF(I819="Есть цена",IF(AND(ISNUMBER(E819),E819&gt;0,F819&gt;0),E819/F819-1,NA()),"")</x:f>
      </x:c>
      <x:c r="H819" s="14" t="str">
        <x:f>IF(AND(I819="Есть цена",I818="Есть цена"),IF(AND(E819&gt;0,E818&gt;0),E819/E818-1,NA()),"")</x:f>
      </x:c>
      <x:c r="I819" s="2" t="str">
        <x:v>RPC: данные не загружены</x:v>
      </x:c>
      <x:c r="J819" s="2"/>
      <x:c r="K819" s="9"/>
      <x:c r="L819" s="2"/>
      <x:c r="M819" s="2"/>
      <x:c r="N819" s="2"/>
      <x:c r="O819" s="2"/>
      <x:c r="P819" s="2" t="str">
        <x:v>not_cached:getSignaturesForAddress:history/48ed7aa4016f3bedbafa7ec8</x:v>
      </x:c>
      <x:c r="Q819" s="2" t="str"/>
      <x:c r="R819" s="14" t="str">
        <x:f>IF(AND(C819="Нулевой остаток",I819="Есть цена"),G819,"")</x:f>
      </x:c>
      <x:c r="S819" s="14" t="str">
        <x:f>IF(AND(C819="Докупка",I819="Есть цена"),G819,"")</x:f>
      </x:c>
    </x:row>
    <x:row r="820" ht="21" customHeight="1">
      <x:c r="A820" s="2" t="n">
        <x:v>82</x:v>
      </x:c>
      <x:c r="B820" s="2" t="n">
        <x:v>30</x:v>
      </x:c>
      <x:c r="C820" s="2" t="str">
        <x:f>'Покупки'!C89</x:f>
        <x:v>Докупка</x:v>
      </x:c>
      <x:c r="D820" s="9" t="n">
        <x:v>46281.56582175926</x:v>
      </x:c>
      <x:c r="E820" s="12"/>
      <x:c r="F820" s="12" t="n">
        <x:f>'Покупки'!H89</x:f>
        <x:v>0.16387654639656962</x:v>
      </x:c>
      <x:c r="G820" s="14" t="str">
        <x:f>IF(I820="Есть цена",IF(AND(ISNUMBER(E820),E820&gt;0,F820&gt;0),E820/F820-1,NA()),"")</x:f>
      </x:c>
      <x:c r="H820" s="14" t="str">
        <x:f>IF(AND(I820="Есть цена",I818="Есть цена"),IF(AND(E820&gt;0,E818&gt;0),E820/E818-1,NA()),"")</x:f>
      </x:c>
      <x:c r="I820" s="2" t="str">
        <x:v>RPC: данные не загружены</x:v>
      </x:c>
      <x:c r="J820" s="2"/>
      <x:c r="K820" s="9"/>
      <x:c r="L820" s="2"/>
      <x:c r="M820" s="2"/>
      <x:c r="N820" s="2"/>
      <x:c r="O820" s="2"/>
      <x:c r="P820" s="2" t="str">
        <x:v>not_cached:getSignaturesForAddress:history/48ed7aa4016f3bedbafa7ec8</x:v>
      </x:c>
      <x:c r="Q820" s="2" t="str"/>
      <x:c r="R820" s="14" t="str">
        <x:f>IF(AND(C820="Нулевой остаток",I820="Есть цена"),G820,"")</x:f>
      </x:c>
      <x:c r="S820" s="14" t="str">
        <x:f>IF(AND(C820="Докупка",I820="Есть цена"),G820,"")</x:f>
      </x:c>
    </x:row>
    <x:row r="821" ht="21" customHeight="1">
      <x:c r="A821" s="2" t="n">
        <x:v>82</x:v>
      </x:c>
      <x:c r="B821" s="2" t="n">
        <x:v>60</x:v>
      </x:c>
      <x:c r="C821" s="2" t="str">
        <x:f>'Покупки'!C89</x:f>
        <x:v>Докупка</x:v>
      </x:c>
      <x:c r="D821" s="9" t="n">
        <x:v>46281.56616898148</x:v>
      </x:c>
      <x:c r="E821" s="12"/>
      <x:c r="F821" s="12" t="n">
        <x:f>'Покупки'!H89</x:f>
        <x:v>0.16387654639656962</x:v>
      </x:c>
      <x:c r="G821" s="14" t="str">
        <x:f>IF(I821="Есть цена",IF(AND(ISNUMBER(E821),E821&gt;0,F821&gt;0),E821/F821-1,NA()),"")</x:f>
      </x:c>
      <x:c r="H821" s="14" t="str">
        <x:f>IF(AND(I821="Есть цена",I818="Есть цена"),IF(AND(E821&gt;0,E818&gt;0),E821/E818-1,NA()),"")</x:f>
      </x:c>
      <x:c r="I821" s="2" t="str">
        <x:v>RPC: данные не загружены</x:v>
      </x:c>
      <x:c r="J821" s="2"/>
      <x:c r="K821" s="9"/>
      <x:c r="L821" s="2"/>
      <x:c r="M821" s="2"/>
      <x:c r="N821" s="2"/>
      <x:c r="O821" s="2"/>
      <x:c r="P821" s="2" t="str">
        <x:v>not_cached:getSignaturesForAddress:history/48ed7aa4016f3bedbafa7ec8</x:v>
      </x:c>
      <x:c r="Q821" s="2" t="str"/>
      <x:c r="R821" s="14" t="str">
        <x:f>IF(AND(C821="Нулевой остаток",I821="Есть цена"),G821,"")</x:f>
      </x:c>
      <x:c r="S821" s="14" t="str">
        <x:f>IF(AND(C821="Докупка",I821="Есть цена"),G821,"")</x:f>
      </x:c>
    </x:row>
    <x:row r="822" ht="21" customHeight="1">
      <x:c r="A822" s="2" t="n">
        <x:v>82</x:v>
      </x:c>
      <x:c r="B822" s="2" t="n">
        <x:v>180</x:v>
      </x:c>
      <x:c r="C822" s="2" t="str">
        <x:f>'Покупки'!C89</x:f>
        <x:v>Докупка</x:v>
      </x:c>
      <x:c r="D822" s="9" t="n">
        <x:v>46281.567557870374</x:v>
      </x:c>
      <x:c r="E822" s="12"/>
      <x:c r="F822" s="12" t="n">
        <x:f>'Покупки'!H89</x:f>
        <x:v>0.16387654639656962</x:v>
      </x:c>
      <x:c r="G822" s="14" t="str">
        <x:f>IF(I822="Есть цена",IF(AND(ISNUMBER(E822),E822&gt;0,F822&gt;0),E822/F822-1,NA()),"")</x:f>
      </x:c>
      <x:c r="H822" s="14" t="str">
        <x:f>IF(AND(I822="Есть цена",I818="Есть цена"),IF(AND(E822&gt;0,E818&gt;0),E822/E818-1,NA()),"")</x:f>
      </x:c>
      <x:c r="I822" s="2" t="str">
        <x:v>RPC: данные не загружены</x:v>
      </x:c>
      <x:c r="J822" s="2"/>
      <x:c r="K822" s="9"/>
      <x:c r="L822" s="2"/>
      <x:c r="M822" s="2"/>
      <x:c r="N822" s="2"/>
      <x:c r="O822" s="2"/>
      <x:c r="P822" s="2" t="str">
        <x:v>not_cached:getSignaturesForAddress:history/48ed7aa4016f3bedbafa7ec8</x:v>
      </x:c>
      <x:c r="Q822" s="2" t="str"/>
      <x:c r="R822" s="14" t="str">
        <x:f>IF(AND(C822="Нулевой остаток",I822="Есть цена"),G822,"")</x:f>
      </x:c>
      <x:c r="S822" s="14" t="str">
        <x:f>IF(AND(C822="Докупка",I822="Есть цена"),G822,"")</x:f>
      </x:c>
    </x:row>
    <x:row r="823" ht="21" customHeight="1">
      <x:c r="A823" s="2" t="n">
        <x:v>82</x:v>
      </x:c>
      <x:c r="B823" s="2" t="n">
        <x:v>300</x:v>
      </x:c>
      <x:c r="C823" s="2" t="str">
        <x:f>'Покупки'!C89</x:f>
        <x:v>Докупка</x:v>
      </x:c>
      <x:c r="D823" s="9" t="n">
        <x:v>46281.56894675926</x:v>
      </x:c>
      <x:c r="E823" s="12"/>
      <x:c r="F823" s="12" t="n">
        <x:f>'Покупки'!H89</x:f>
        <x:v>0.16387654639656962</x:v>
      </x:c>
      <x:c r="G823" s="14" t="str">
        <x:f>IF(I823="Есть цена",IF(AND(ISNUMBER(E823),E823&gt;0,F823&gt;0),E823/F823-1,NA()),"")</x:f>
      </x:c>
      <x:c r="H823" s="14" t="str">
        <x:f>IF(AND(I823="Есть цена",I818="Есть цена"),IF(AND(E823&gt;0,E818&gt;0),E823/E818-1,NA()),"")</x:f>
      </x:c>
      <x:c r="I823" s="2" t="str">
        <x:v>RPC: данные не загружены</x:v>
      </x:c>
      <x:c r="J823" s="2"/>
      <x:c r="K823" s="9"/>
      <x:c r="L823" s="2"/>
      <x:c r="M823" s="2"/>
      <x:c r="N823" s="2"/>
      <x:c r="O823" s="2"/>
      <x:c r="P823" s="2" t="str">
        <x:v>not_cached:getSignaturesForAddress:history/48ed7aa4016f3bedbafa7ec8</x:v>
      </x:c>
      <x:c r="Q823" s="2" t="str"/>
      <x:c r="R823" s="14" t="str">
        <x:f>IF(AND(C823="Нулевой остаток",I823="Есть цена"),G823,"")</x:f>
      </x:c>
      <x:c r="S823" s="14" t="str">
        <x:f>IF(AND(C823="Докупка",I823="Есть цена"),G823,"")</x:f>
      </x:c>
    </x:row>
    <x:row r="824" ht="21" customHeight="1">
      <x:c r="A824" s="2" t="n">
        <x:v>82</x:v>
      </x:c>
      <x:c r="B824" s="2" t="n">
        <x:v>900</x:v>
      </x:c>
      <x:c r="C824" s="2" t="str">
        <x:f>'Покупки'!C89</x:f>
        <x:v>Докупка</x:v>
      </x:c>
      <x:c r="D824" s="9" t="n">
        <x:v>46281.575891203705</x:v>
      </x:c>
      <x:c r="E824" s="12"/>
      <x:c r="F824" s="12" t="n">
        <x:f>'Покупки'!H89</x:f>
        <x:v>0.16387654639656962</x:v>
      </x:c>
      <x:c r="G824" s="14" t="str">
        <x:f>IF(I824="Есть цена",IF(AND(ISNUMBER(E824),E824&gt;0,F824&gt;0),E824/F824-1,NA()),"")</x:f>
      </x:c>
      <x:c r="H824" s="14" t="str">
        <x:f>IF(AND(I824="Есть цена",I818="Есть цена"),IF(AND(E824&gt;0,E818&gt;0),E824/E818-1,NA()),"")</x:f>
      </x:c>
      <x:c r="I824" s="2" t="str">
        <x:v>RPC: данные не загружены</x:v>
      </x:c>
      <x:c r="J824" s="2"/>
      <x:c r="K824" s="9"/>
      <x:c r="L824" s="2"/>
      <x:c r="M824" s="2"/>
      <x:c r="N824" s="2"/>
      <x:c r="O824" s="2"/>
      <x:c r="P824" s="2" t="str">
        <x:v>not_cached:getSignaturesForAddress:history/95e428ca6dbea9ac3144972a</x:v>
      </x:c>
      <x:c r="Q824" s="2" t="str"/>
      <x:c r="R824" s="14" t="str">
        <x:f>IF(AND(C824="Нулевой остаток",I824="Есть цена"),G824,"")</x:f>
      </x:c>
      <x:c r="S824" s="14" t="str">
        <x:f>IF(AND(C824="Докупка",I824="Есть цена"),G824,"")</x:f>
      </x:c>
    </x:row>
    <x:row r="825" ht="21" customHeight="1">
      <x:c r="A825" s="2" t="n">
        <x:v>82</x:v>
      </x:c>
      <x:c r="B825" s="2" t="n">
        <x:v>3600</x:v>
      </x:c>
      <x:c r="C825" s="2" t="str">
        <x:f>'Покупки'!C89</x:f>
        <x:v>Докупка</x:v>
      </x:c>
      <x:c r="D825" s="9" t="n">
        <x:v>46281.607141203705</x:v>
      </x:c>
      <x:c r="E825" s="12"/>
      <x:c r="F825" s="12" t="n">
        <x:f>'Покупки'!H89</x:f>
        <x:v>0.16387654639656962</x:v>
      </x:c>
      <x:c r="G825" s="14" t="str">
        <x:f>IF(I825="Есть цена",IF(AND(ISNUMBER(E825),E825&gt;0,F825&gt;0),E825/F825-1,NA()),"")</x:f>
      </x:c>
      <x:c r="H825" s="14" t="str">
        <x:f>IF(AND(I825="Есть цена",I818="Есть цена"),IF(AND(E825&gt;0,E818&gt;0),E825/E818-1,NA()),"")</x:f>
      </x:c>
      <x:c r="I825" s="2" t="str">
        <x:v>RPC: данные не загружены</x:v>
      </x:c>
      <x:c r="J825" s="2"/>
      <x:c r="K825" s="9"/>
      <x:c r="L825" s="2"/>
      <x:c r="M825" s="2"/>
      <x:c r="N825" s="2"/>
      <x:c r="O825" s="2"/>
      <x:c r="P825" s="2" t="str">
        <x:v>not_cached:getSignaturesForAddress:history/ac5b1b620fdc59eff5339302</x:v>
      </x:c>
      <x:c r="Q825" s="2" t="str"/>
      <x:c r="R825" s="14" t="str">
        <x:f>IF(AND(C825="Нулевой остаток",I825="Есть цена"),G825,"")</x:f>
      </x:c>
      <x:c r="S825" s="14" t="str">
        <x:f>IF(AND(C825="Докупка",I825="Есть цена"),G825,"")</x:f>
      </x:c>
    </x:row>
    <x:row r="826" ht="21" customHeight="1">
      <x:c r="A826" s="2" t="n">
        <x:v>82</x:v>
      </x:c>
      <x:c r="B826" s="2" t="n">
        <x:v>21600</x:v>
      </x:c>
      <x:c r="C826" s="2" t="str">
        <x:f>'Покупки'!C89</x:f>
        <x:v>Докупка</x:v>
      </x:c>
      <x:c r="D826" s="9" t="n">
        <x:v>46281.815474537034</x:v>
      </x:c>
      <x:c r="E826" s="12"/>
      <x:c r="F826" s="12" t="n">
        <x:f>'Покупки'!H89</x:f>
        <x:v>0.16387654639656962</x:v>
      </x:c>
      <x:c r="G826" s="14" t="str">
        <x:f>IF(I826="Есть цена",IF(AND(ISNUMBER(E826),E826&gt;0,F826&gt;0),E826/F826-1,NA()),"")</x:f>
      </x:c>
      <x:c r="H826" s="14" t="str">
        <x:f>IF(AND(I826="Есть цена",I818="Есть цена"),IF(AND(E826&gt;0,E818&gt;0),E826/E818-1,NA()),"")</x:f>
      </x:c>
      <x:c r="I826" s="2" t="str">
        <x:v>RPC: данные не загружены</x:v>
      </x:c>
      <x:c r="J826" s="2"/>
      <x:c r="K826" s="9"/>
      <x:c r="L826" s="2"/>
      <x:c r="M826" s="2"/>
      <x:c r="N826" s="2"/>
      <x:c r="O826" s="2"/>
      <x:c r="P826" s="2" t="str">
        <x:v>not_cached:getSignaturesForAddress:history/892227aaefe6f6ca2c97142c</x:v>
      </x:c>
      <x:c r="Q826" s="2" t="str"/>
      <x:c r="R826" s="14" t="str">
        <x:f>IF(AND(C826="Нулевой остаток",I826="Есть цена"),G826,"")</x:f>
      </x:c>
      <x:c r="S826" s="14" t="str">
        <x:f>IF(AND(C826="Докупка",I826="Есть цена"),G826,"")</x:f>
      </x:c>
    </x:row>
    <x:row r="827" ht="21" customHeight="1">
      <x:c r="A827" s="2" t="n">
        <x:v>82</x:v>
      </x:c>
      <x:c r="B827" s="2" t="n">
        <x:v>86400</x:v>
      </x:c>
      <x:c r="C827" s="2" t="str">
        <x:f>'Покупки'!C89</x:f>
        <x:v>Докупка</x:v>
      </x:c>
      <x:c r="D827" s="9" t="n">
        <x:v>46282.565474537034</x:v>
      </x:c>
      <x:c r="E827" s="12"/>
      <x:c r="F827" s="12" t="n">
        <x:f>'Покупки'!H89</x:f>
        <x:v>0.16387654639656962</x:v>
      </x:c>
      <x:c r="G827" s="14" t="str">
        <x:f>IF(I827="Есть цена",IF(AND(ISNUMBER(E827),E827&gt;0,F827&gt;0),E827/F827-1,NA()),"")</x:f>
      </x:c>
      <x:c r="H827" s="14" t="str">
        <x:f>IF(AND(I827="Есть цена",I818="Есть цена"),IF(AND(E827&gt;0,E818&gt;0),E827/E818-1,NA()),"")</x:f>
      </x:c>
      <x:c r="I827" s="2" t="str">
        <x:v>RPC: данные не загружены</x:v>
      </x:c>
      <x:c r="J827" s="2"/>
      <x:c r="K827" s="9"/>
      <x:c r="L827" s="2"/>
      <x:c r="M827" s="2"/>
      <x:c r="N827" s="2"/>
      <x:c r="O827" s="2"/>
      <x:c r="P827" s="2" t="str">
        <x:v>not_cached:getSignaturesForAddress:history/98ee1066b6db8c863eb26c24</x:v>
      </x:c>
      <x:c r="Q827" s="2" t="str"/>
      <x:c r="R827" s="14" t="str">
        <x:f>IF(AND(C827="Нулевой остаток",I827="Есть цена"),G827,"")</x:f>
      </x:c>
      <x:c r="S827" s="14" t="str">
        <x:f>IF(AND(C827="Докупка",I827="Есть цена"),G827,"")</x:f>
      </x:c>
    </x:row>
    <x:row r="828" ht="21" customHeight="1">
      <x:c r="A828" s="2" t="n">
        <x:v>83</x:v>
      </x:c>
      <x:c r="B828" s="2" t="n">
        <x:v>5</x:v>
      </x:c>
      <x:c r="C828" s="2" t="str">
        <x:f>'Покупки'!C90</x:f>
        <x:v>Докупка</x:v>
      </x:c>
      <x:c r="D828" s="9" t="n">
        <x:v>46281.564351851855</x:v>
      </x:c>
      <x:c r="E828" s="12"/>
      <x:c r="F828" s="12" t="n">
        <x:f>'Покупки'!H90</x:f>
        <x:v>0.16285966195440282</x:v>
      </x:c>
      <x:c r="G828" s="14" t="str">
        <x:f>IF(I828="Есть цена",IF(AND(ISNUMBER(E828),E828&gt;0,F828&gt;0),E828/F828-1,NA()),"")</x:f>
      </x:c>
      <x:c r="H828" s="14" t="str">
        <x:f>IF(AND(I828="Есть цена",I828="Есть цена"),IF(AND(E828&gt;0,E828&gt;0),E828/E828-1,NA()),"")</x:f>
      </x:c>
      <x:c r="I828" s="2" t="str">
        <x:v>RPC: данные не загружены</x:v>
      </x:c>
      <x:c r="J828" s="2"/>
      <x:c r="K828" s="9"/>
      <x:c r="L828" s="2"/>
      <x:c r="M828" s="2"/>
      <x:c r="N828" s="2"/>
      <x:c r="O828" s="2"/>
      <x:c r="P828" s="2" t="str">
        <x:v>not_cached:getSignaturesForAddress:history/3ce9e6f80624603b8b355acb</x:v>
      </x:c>
      <x:c r="Q828" s="2" t="str"/>
      <x:c r="R828" s="14" t="str">
        <x:f>IF(AND(C828="Нулевой остаток",I828="Есть цена"),G828,"")</x:f>
      </x:c>
      <x:c r="S828" s="14" t="str">
        <x:f>IF(AND(C828="Докупка",I828="Есть цена"),G828,"")</x:f>
      </x:c>
    </x:row>
    <x:row r="829" ht="21" customHeight="1">
      <x:c r="A829" s="2" t="n">
        <x:v>83</x:v>
      </x:c>
      <x:c r="B829" s="2" t="n">
        <x:v>15</x:v>
      </x:c>
      <x:c r="C829" s="2" t="str">
        <x:f>'Покупки'!C90</x:f>
        <x:v>Докупка</x:v>
      </x:c>
      <x:c r="D829" s="9" t="n">
        <x:v>46281.564467592594</x:v>
      </x:c>
      <x:c r="E829" s="12"/>
      <x:c r="F829" s="12" t="n">
        <x:f>'Покупки'!H90</x:f>
        <x:v>0.16285966195440282</x:v>
      </x:c>
      <x:c r="G829" s="14" t="str">
        <x:f>IF(I829="Есть цена",IF(AND(ISNUMBER(E829),E829&gt;0,F829&gt;0),E829/F829-1,NA()),"")</x:f>
      </x:c>
      <x:c r="H829" s="14" t="str">
        <x:f>IF(AND(I829="Есть цена",I828="Есть цена"),IF(AND(E829&gt;0,E828&gt;0),E829/E828-1,NA()),"")</x:f>
      </x:c>
      <x:c r="I829" s="2" t="str">
        <x:v>RPC: данные не загружены</x:v>
      </x:c>
      <x:c r="J829" s="2"/>
      <x:c r="K829" s="9"/>
      <x:c r="L829" s="2"/>
      <x:c r="M829" s="2"/>
      <x:c r="N829" s="2"/>
      <x:c r="O829" s="2"/>
      <x:c r="P829" s="2" t="str">
        <x:v>not_cached:getSignaturesForAddress:history/3dd032d1a6b4067cf3916dc8</x:v>
      </x:c>
      <x:c r="Q829" s="2" t="str"/>
      <x:c r="R829" s="14" t="str">
        <x:f>IF(AND(C829="Нулевой остаток",I829="Есть цена"),G829,"")</x:f>
      </x:c>
      <x:c r="S829" s="14" t="str">
        <x:f>IF(AND(C829="Докупка",I829="Есть цена"),G829,"")</x:f>
      </x:c>
    </x:row>
    <x:row r="830" ht="21" customHeight="1">
      <x:c r="A830" s="2" t="n">
        <x:v>83</x:v>
      </x:c>
      <x:c r="B830" s="2" t="n">
        <x:v>30</x:v>
      </x:c>
      <x:c r="C830" s="2" t="str">
        <x:f>'Покупки'!C90</x:f>
        <x:v>Докупка</x:v>
      </x:c>
      <x:c r="D830" s="9" t="n">
        <x:v>46281.5646412037</x:v>
      </x:c>
      <x:c r="E830" s="12"/>
      <x:c r="F830" s="12" t="n">
        <x:f>'Покупки'!H90</x:f>
        <x:v>0.16285966195440282</x:v>
      </x:c>
      <x:c r="G830" s="14" t="str">
        <x:f>IF(I830="Есть цена",IF(AND(ISNUMBER(E830),E830&gt;0,F830&gt;0),E830/F830-1,NA()),"")</x:f>
      </x:c>
      <x:c r="H830" s="14" t="str">
        <x:f>IF(AND(I830="Есть цена",I828="Есть цена"),IF(AND(E830&gt;0,E828&gt;0),E830/E828-1,NA()),"")</x:f>
      </x:c>
      <x:c r="I830" s="2" t="str">
        <x:v>RPC: данные не загружены</x:v>
      </x:c>
      <x:c r="J830" s="2"/>
      <x:c r="K830" s="9"/>
      <x:c r="L830" s="2"/>
      <x:c r="M830" s="2"/>
      <x:c r="N830" s="2"/>
      <x:c r="O830" s="2"/>
      <x:c r="P830" s="2" t="str">
        <x:v>not_cached:getSignaturesForAddress:history/3dd032d1a6b4067cf3916dc8</x:v>
      </x:c>
      <x:c r="Q830" s="2" t="str"/>
      <x:c r="R830" s="14" t="str">
        <x:f>IF(AND(C830="Нулевой остаток",I830="Есть цена"),G830,"")</x:f>
      </x:c>
      <x:c r="S830" s="14" t="str">
        <x:f>IF(AND(C830="Докупка",I830="Есть цена"),G830,"")</x:f>
      </x:c>
    </x:row>
    <x:row r="831" ht="21" customHeight="1">
      <x:c r="A831" s="2" t="n">
        <x:v>83</x:v>
      </x:c>
      <x:c r="B831" s="2" t="n">
        <x:v>60</x:v>
      </x:c>
      <x:c r="C831" s="2" t="str">
        <x:f>'Покупки'!C90</x:f>
        <x:v>Докупка</x:v>
      </x:c>
      <x:c r="D831" s="9" t="n">
        <x:v>46281.564988425926</x:v>
      </x:c>
      <x:c r="E831" s="12"/>
      <x:c r="F831" s="12" t="n">
        <x:f>'Покупки'!H90</x:f>
        <x:v>0.16285966195440282</x:v>
      </x:c>
      <x:c r="G831" s="14" t="str">
        <x:f>IF(I831="Есть цена",IF(AND(ISNUMBER(E831),E831&gt;0,F831&gt;0),E831/F831-1,NA()),"")</x:f>
      </x:c>
      <x:c r="H831" s="14" t="str">
        <x:f>IF(AND(I831="Есть цена",I828="Есть цена"),IF(AND(E831&gt;0,E828&gt;0),E831/E828-1,NA()),"")</x:f>
      </x:c>
      <x:c r="I831" s="2" t="str">
        <x:v>RPC: данные не загружены</x:v>
      </x:c>
      <x:c r="J831" s="2"/>
      <x:c r="K831" s="9"/>
      <x:c r="L831" s="2"/>
      <x:c r="M831" s="2"/>
      <x:c r="N831" s="2"/>
      <x:c r="O831" s="2"/>
      <x:c r="P831" s="2" t="str">
        <x:v>not_cached:getSignaturesForAddress:history/3dd032d1a6b4067cf3916dc8</x:v>
      </x:c>
      <x:c r="Q831" s="2" t="str"/>
      <x:c r="R831" s="14" t="str">
        <x:f>IF(AND(C831="Нулевой остаток",I831="Есть цена"),G831,"")</x:f>
      </x:c>
      <x:c r="S831" s="14" t="str">
        <x:f>IF(AND(C831="Докупка",I831="Есть цена"),G831,"")</x:f>
      </x:c>
    </x:row>
    <x:row r="832" ht="21" customHeight="1">
      <x:c r="A832" s="2" t="n">
        <x:v>83</x:v>
      </x:c>
      <x:c r="B832" s="2" t="n">
        <x:v>180</x:v>
      </x:c>
      <x:c r="C832" s="2" t="str">
        <x:f>'Покупки'!C90</x:f>
        <x:v>Докупка</x:v>
      </x:c>
      <x:c r="D832" s="9" t="n">
        <x:v>46281.56637731481</x:v>
      </x:c>
      <x:c r="E832" s="12"/>
      <x:c r="F832" s="12" t="n">
        <x:f>'Покупки'!H90</x:f>
        <x:v>0.16285966195440282</x:v>
      </x:c>
      <x:c r="G832" s="14" t="str">
        <x:f>IF(I832="Есть цена",IF(AND(ISNUMBER(E832),E832&gt;0,F832&gt;0),E832/F832-1,NA()),"")</x:f>
      </x:c>
      <x:c r="H832" s="14" t="str">
        <x:f>IF(AND(I832="Есть цена",I828="Есть цена"),IF(AND(E832&gt;0,E828&gt;0),E832/E828-1,NA()),"")</x:f>
      </x:c>
      <x:c r="I832" s="2" t="str">
        <x:v>RPC: данные не загружены</x:v>
      </x:c>
      <x:c r="J832" s="2"/>
      <x:c r="K832" s="9"/>
      <x:c r="L832" s="2"/>
      <x:c r="M832" s="2"/>
      <x:c r="N832" s="2"/>
      <x:c r="O832" s="2"/>
      <x:c r="P832" s="2" t="str">
        <x:v>not_cached:getSignaturesForAddress:history/48ed7aa4016f3bedbafa7ec8</x:v>
      </x:c>
      <x:c r="Q832" s="2" t="str"/>
      <x:c r="R832" s="14" t="str">
        <x:f>IF(AND(C832="Нулевой остаток",I832="Есть цена"),G832,"")</x:f>
      </x:c>
      <x:c r="S832" s="14" t="str">
        <x:f>IF(AND(C832="Докупка",I832="Есть цена"),G832,"")</x:f>
      </x:c>
    </x:row>
    <x:row r="833" ht="21" customHeight="1">
      <x:c r="A833" s="2" t="n">
        <x:v>83</x:v>
      </x:c>
      <x:c r="B833" s="2" t="n">
        <x:v>300</x:v>
      </x:c>
      <x:c r="C833" s="2" t="str">
        <x:f>'Покупки'!C90</x:f>
        <x:v>Докупка</x:v>
      </x:c>
      <x:c r="D833" s="9" t="n">
        <x:v>46281.567766203705</x:v>
      </x:c>
      <x:c r="E833" s="12"/>
      <x:c r="F833" s="12" t="n">
        <x:f>'Покупки'!H90</x:f>
        <x:v>0.16285966195440282</x:v>
      </x:c>
      <x:c r="G833" s="14" t="str">
        <x:f>IF(I833="Есть цена",IF(AND(ISNUMBER(E833),E833&gt;0,F833&gt;0),E833/F833-1,NA()),"")</x:f>
      </x:c>
      <x:c r="H833" s="14" t="str">
        <x:f>IF(AND(I833="Есть цена",I828="Есть цена"),IF(AND(E833&gt;0,E828&gt;0),E833/E828-1,NA()),"")</x:f>
      </x:c>
      <x:c r="I833" s="2" t="str">
        <x:v>RPC: данные не загружены</x:v>
      </x:c>
      <x:c r="J833" s="2"/>
      <x:c r="K833" s="9"/>
      <x:c r="L833" s="2"/>
      <x:c r="M833" s="2"/>
      <x:c r="N833" s="2"/>
      <x:c r="O833" s="2"/>
      <x:c r="P833" s="2" t="str">
        <x:v>not_cached:getSignaturesForAddress:history/48ed7aa4016f3bedbafa7ec8</x:v>
      </x:c>
      <x:c r="Q833" s="2" t="str"/>
      <x:c r="R833" s="14" t="str">
        <x:f>IF(AND(C833="Нулевой остаток",I833="Есть цена"),G833,"")</x:f>
      </x:c>
      <x:c r="S833" s="14" t="str">
        <x:f>IF(AND(C833="Докупка",I833="Есть цена"),G833,"")</x:f>
      </x:c>
    </x:row>
    <x:row r="834" ht="21" customHeight="1">
      <x:c r="A834" s="2" t="n">
        <x:v>83</x:v>
      </x:c>
      <x:c r="B834" s="2" t="n">
        <x:v>900</x:v>
      </x:c>
      <x:c r="C834" s="2" t="str">
        <x:f>'Покупки'!C90</x:f>
        <x:v>Докупка</x:v>
      </x:c>
      <x:c r="D834" s="9" t="n">
        <x:v>46281.57471064815</x:v>
      </x:c>
      <x:c r="E834" s="12"/>
      <x:c r="F834" s="12" t="n">
        <x:f>'Покупки'!H90</x:f>
        <x:v>0.16285966195440282</x:v>
      </x:c>
      <x:c r="G834" s="14" t="str">
        <x:f>IF(I834="Есть цена",IF(AND(ISNUMBER(E834),E834&gt;0,F834&gt;0),E834/F834-1,NA()),"")</x:f>
      </x:c>
      <x:c r="H834" s="14" t="str">
        <x:f>IF(AND(I834="Есть цена",I828="Есть цена"),IF(AND(E834&gt;0,E828&gt;0),E834/E828-1,NA()),"")</x:f>
      </x:c>
      <x:c r="I834" s="2" t="str">
        <x:v>RPC: данные не загружены</x:v>
      </x:c>
      <x:c r="J834" s="2"/>
      <x:c r="K834" s="9"/>
      <x:c r="L834" s="2"/>
      <x:c r="M834" s="2"/>
      <x:c r="N834" s="2"/>
      <x:c r="O834" s="2"/>
      <x:c r="P834" s="2" t="str">
        <x:v>not_cached:getSignaturesForAddress:history/de26f5afb701a3943ae322ad</x:v>
      </x:c>
      <x:c r="Q834" s="2" t="str"/>
      <x:c r="R834" s="14" t="str">
        <x:f>IF(AND(C834="Нулевой остаток",I834="Есть цена"),G834,"")</x:f>
      </x:c>
      <x:c r="S834" s="14" t="str">
        <x:f>IF(AND(C834="Докупка",I834="Есть цена"),G834,"")</x:f>
      </x:c>
    </x:row>
    <x:row r="835" ht="21" customHeight="1">
      <x:c r="A835" s="2" t="n">
        <x:v>83</x:v>
      </x:c>
      <x:c r="B835" s="2" t="n">
        <x:v>3600</x:v>
      </x:c>
      <x:c r="C835" s="2" t="str">
        <x:f>'Покупки'!C90</x:f>
        <x:v>Докупка</x:v>
      </x:c>
      <x:c r="D835" s="9" t="n">
        <x:v>46281.60596064815</x:v>
      </x:c>
      <x:c r="E835" s="12"/>
      <x:c r="F835" s="12" t="n">
        <x:f>'Покупки'!H90</x:f>
        <x:v>0.16285966195440282</x:v>
      </x:c>
      <x:c r="G835" s="14" t="str">
        <x:f>IF(I835="Есть цена",IF(AND(ISNUMBER(E835),E835&gt;0,F835&gt;0),E835/F835-1,NA()),"")</x:f>
      </x:c>
      <x:c r="H835" s="14" t="str">
        <x:f>IF(AND(I835="Есть цена",I828="Есть цена"),IF(AND(E835&gt;0,E828&gt;0),E835/E828-1,NA()),"")</x:f>
      </x:c>
      <x:c r="I835" s="2" t="str">
        <x:v>RPC: данные не загружены</x:v>
      </x:c>
      <x:c r="J835" s="2"/>
      <x:c r="K835" s="9"/>
      <x:c r="L835" s="2"/>
      <x:c r="M835" s="2"/>
      <x:c r="N835" s="2"/>
      <x:c r="O835" s="2"/>
      <x:c r="P835" s="2" t="str">
        <x:v>not_cached:getSignaturesForAddress:history/c49d7cffa9a42f3084336cd4</x:v>
      </x:c>
      <x:c r="Q835" s="2" t="str"/>
      <x:c r="R835" s="14" t="str">
        <x:f>IF(AND(C835="Нулевой остаток",I835="Есть цена"),G835,"")</x:f>
      </x:c>
      <x:c r="S835" s="14" t="str">
        <x:f>IF(AND(C835="Докупка",I835="Есть цена"),G835,"")</x:f>
      </x:c>
    </x:row>
    <x:row r="836" ht="21" customHeight="1">
      <x:c r="A836" s="2" t="n">
        <x:v>83</x:v>
      </x:c>
      <x:c r="B836" s="2" t="n">
        <x:v>21600</x:v>
      </x:c>
      <x:c r="C836" s="2" t="str">
        <x:f>'Покупки'!C90</x:f>
        <x:v>Докупка</x:v>
      </x:c>
      <x:c r="D836" s="9" t="n">
        <x:v>46281.81429398148</x:v>
      </x:c>
      <x:c r="E836" s="12"/>
      <x:c r="F836" s="12" t="n">
        <x:f>'Покупки'!H90</x:f>
        <x:v>0.16285966195440282</x:v>
      </x:c>
      <x:c r="G836" s="14" t="str">
        <x:f>IF(I836="Есть цена",IF(AND(ISNUMBER(E836),E836&gt;0,F836&gt;0),E836/F836-1,NA()),"")</x:f>
      </x:c>
      <x:c r="H836" s="14" t="str">
        <x:f>IF(AND(I836="Есть цена",I828="Есть цена"),IF(AND(E836&gt;0,E828&gt;0),E836/E828-1,NA()),"")</x:f>
      </x:c>
      <x:c r="I836" s="2" t="str">
        <x:v>RPC: данные не загружены</x:v>
      </x:c>
      <x:c r="J836" s="2"/>
      <x:c r="K836" s="9"/>
      <x:c r="L836" s="2"/>
      <x:c r="M836" s="2"/>
      <x:c r="N836" s="2"/>
      <x:c r="O836" s="2"/>
      <x:c r="P836" s="2" t="str">
        <x:v>not_cached:getSignaturesForAddress:history/892227aaefe6f6ca2c97142c</x:v>
      </x:c>
      <x:c r="Q836" s="2" t="str"/>
      <x:c r="R836" s="14" t="str">
        <x:f>IF(AND(C836="Нулевой остаток",I836="Есть цена"),G836,"")</x:f>
      </x:c>
      <x:c r="S836" s="14" t="str">
        <x:f>IF(AND(C836="Докупка",I836="Есть цена"),G836,"")</x:f>
      </x:c>
    </x:row>
    <x:row r="837" ht="21" customHeight="1">
      <x:c r="A837" s="2" t="n">
        <x:v>83</x:v>
      </x:c>
      <x:c r="B837" s="2" t="n">
        <x:v>86400</x:v>
      </x:c>
      <x:c r="C837" s="2" t="str">
        <x:f>'Покупки'!C90</x:f>
        <x:v>Докупка</x:v>
      </x:c>
      <x:c r="D837" s="9" t="n">
        <x:v>46282.56429398148</x:v>
      </x:c>
      <x:c r="E837" s="12"/>
      <x:c r="F837" s="12" t="n">
        <x:f>'Покупки'!H90</x:f>
        <x:v>0.16285966195440282</x:v>
      </x:c>
      <x:c r="G837" s="14" t="str">
        <x:f>IF(I837="Есть цена",IF(AND(ISNUMBER(E837),E837&gt;0,F837&gt;0),E837/F837-1,NA()),"")</x:f>
      </x:c>
      <x:c r="H837" s="14" t="str">
        <x:f>IF(AND(I837="Есть цена",I828="Есть цена"),IF(AND(E837&gt;0,E828&gt;0),E837/E828-1,NA()),"")</x:f>
      </x:c>
      <x:c r="I837" s="2" t="str">
        <x:v>RPC: данные не загружены</x:v>
      </x:c>
      <x:c r="J837" s="2"/>
      <x:c r="K837" s="9"/>
      <x:c r="L837" s="2"/>
      <x:c r="M837" s="2"/>
      <x:c r="N837" s="2"/>
      <x:c r="O837" s="2"/>
      <x:c r="P837" s="2" t="str">
        <x:v>not_cached:getSignaturesForAddress:history/98ee1066b6db8c863eb26c24</x:v>
      </x:c>
      <x:c r="Q837" s="2" t="str"/>
      <x:c r="R837" s="14" t="str">
        <x:f>IF(AND(C837="Нулевой остаток",I837="Есть цена"),G837,"")</x:f>
      </x:c>
      <x:c r="S837" s="14" t="str">
        <x:f>IF(AND(C837="Докупка",I837="Есть цена"),G837,"")</x:f>
      </x:c>
    </x:row>
    <x:row r="838" ht="21" customHeight="1">
      <x:c r="A838" s="2" t="n">
        <x:v>84</x:v>
      </x:c>
      <x:c r="B838" s="2" t="n">
        <x:v>5</x:v>
      </x:c>
      <x:c r="C838" s="2" t="str">
        <x:f>'Покупки'!C91</x:f>
        <x:v>Докупка</x:v>
      </x:c>
      <x:c r="D838" s="9" t="n">
        <x:v>46281.56134259259</x:v>
      </x:c>
      <x:c r="E838" s="12"/>
      <x:c r="F838" s="12" t="n">
        <x:f>'Покупки'!H91</x:f>
        <x:v>0.0030385025420989636</x:v>
      </x:c>
      <x:c r="G838" s="14" t="str">
        <x:f>IF(I838="Есть цена",IF(AND(ISNUMBER(E838),E838&gt;0,F838&gt;0),E838/F838-1,NA()),"")</x:f>
      </x:c>
      <x:c r="H838" s="14" t="str">
        <x:f>IF(AND(I838="Есть цена",I838="Есть цена"),IF(AND(E838&gt;0,E838&gt;0),E838/E838-1,NA()),"")</x:f>
      </x:c>
      <x:c r="I838" s="2" t="str">
        <x:v>RPC: данные не загружены</x:v>
      </x:c>
      <x:c r="J838" s="2"/>
      <x:c r="K838" s="9"/>
      <x:c r="L838" s="2"/>
      <x:c r="M838" s="2"/>
      <x:c r="N838" s="2"/>
      <x:c r="O838" s="2"/>
      <x:c r="P838" s="2" t="str">
        <x:v>not_cached:getSignaturesForAddress:history/719e4919b988ca2e1dc51ad1</x:v>
      </x:c>
      <x:c r="Q838" s="2" t="str"/>
      <x:c r="R838" s="14" t="str">
        <x:f>IF(AND(C838="Нулевой остаток",I838="Есть цена"),G838,"")</x:f>
      </x:c>
      <x:c r="S838" s="14" t="str">
        <x:f>IF(AND(C838="Докупка",I838="Есть цена"),G838,"")</x:f>
      </x:c>
    </x:row>
    <x:row r="839" ht="21" customHeight="1">
      <x:c r="A839" s="2" t="n">
        <x:v>84</x:v>
      </x:c>
      <x:c r="B839" s="2" t="n">
        <x:v>15</x:v>
      </x:c>
      <x:c r="C839" s="2" t="str">
        <x:f>'Покупки'!C91</x:f>
        <x:v>Докупка</x:v>
      </x:c>
      <x:c r="D839" s="9" t="n">
        <x:v>46281.56145833333</x:v>
      </x:c>
      <x:c r="E839" s="12"/>
      <x:c r="F839" s="12" t="n">
        <x:f>'Покупки'!H91</x:f>
        <x:v>0.0030385025420989636</x:v>
      </x:c>
      <x:c r="G839" s="14" t="str">
        <x:f>IF(I839="Есть цена",IF(AND(ISNUMBER(E839),E839&gt;0,F839&gt;0),E839/F839-1,NA()),"")</x:f>
      </x:c>
      <x:c r="H839" s="14" t="str">
        <x:f>IF(AND(I839="Есть цена",I838="Есть цена"),IF(AND(E839&gt;0,E838&gt;0),E839/E838-1,NA()),"")</x:f>
      </x:c>
      <x:c r="I839" s="2" t="str">
        <x:v>RPC: данные не загружены</x:v>
      </x:c>
      <x:c r="J839" s="2"/>
      <x:c r="K839" s="9"/>
      <x:c r="L839" s="2"/>
      <x:c r="M839" s="2"/>
      <x:c r="N839" s="2"/>
      <x:c r="O839" s="2"/>
      <x:c r="P839" s="2" t="str">
        <x:v>not_cached:getSignaturesForAddress:history/719e4919b988ca2e1dc51ad1</x:v>
      </x:c>
      <x:c r="Q839" s="2" t="str"/>
      <x:c r="R839" s="14" t="str">
        <x:f>IF(AND(C839="Нулевой остаток",I839="Есть цена"),G839,"")</x:f>
      </x:c>
      <x:c r="S839" s="14" t="str">
        <x:f>IF(AND(C839="Докупка",I839="Есть цена"),G839,"")</x:f>
      </x:c>
    </x:row>
    <x:row r="840" ht="21" customHeight="1">
      <x:c r="A840" s="2" t="n">
        <x:v>84</x:v>
      </x:c>
      <x:c r="B840" s="2" t="n">
        <x:v>30</x:v>
      </x:c>
      <x:c r="C840" s="2" t="str">
        <x:f>'Покупки'!C91</x:f>
        <x:v>Докупка</x:v>
      </x:c>
      <x:c r="D840" s="9" t="n">
        <x:v>46281.561631944445</x:v>
      </x:c>
      <x:c r="E840" s="12"/>
      <x:c r="F840" s="12" t="n">
        <x:f>'Покупки'!H91</x:f>
        <x:v>0.0030385025420989636</x:v>
      </x:c>
      <x:c r="G840" s="14" t="str">
        <x:f>IF(I840="Есть цена",IF(AND(ISNUMBER(E840),E840&gt;0,F840&gt;0),E840/F840-1,NA()),"")</x:f>
      </x:c>
      <x:c r="H840" s="14" t="str">
        <x:f>IF(AND(I840="Есть цена",I838="Есть цена"),IF(AND(E840&gt;0,E838&gt;0),E840/E838-1,NA()),"")</x:f>
      </x:c>
      <x:c r="I840" s="2" t="str">
        <x:v>RPC: данные не загружены</x:v>
      </x:c>
      <x:c r="J840" s="2"/>
      <x:c r="K840" s="9"/>
      <x:c r="L840" s="2"/>
      <x:c r="M840" s="2"/>
      <x:c r="N840" s="2"/>
      <x:c r="O840" s="2"/>
      <x:c r="P840" s="2" t="str">
        <x:v>not_cached:getSignaturesForAddress:history/719e4919b988ca2e1dc51ad1</x:v>
      </x:c>
      <x:c r="Q840" s="2" t="str"/>
      <x:c r="R840" s="14" t="str">
        <x:f>IF(AND(C840="Нулевой остаток",I840="Есть цена"),G840,"")</x:f>
      </x:c>
      <x:c r="S840" s="14" t="str">
        <x:f>IF(AND(C840="Докупка",I840="Есть цена"),G840,"")</x:f>
      </x:c>
    </x:row>
    <x:row r="841" ht="21" customHeight="1">
      <x:c r="A841" s="2" t="n">
        <x:v>84</x:v>
      </x:c>
      <x:c r="B841" s="2" t="n">
        <x:v>60</x:v>
      </x:c>
      <x:c r="C841" s="2" t="str">
        <x:f>'Покупки'!C91</x:f>
        <x:v>Докупка</x:v>
      </x:c>
      <x:c r="D841" s="9" t="n">
        <x:v>46281.56197916667</x:v>
      </x:c>
      <x:c r="E841" s="12"/>
      <x:c r="F841" s="12" t="n">
        <x:f>'Покупки'!H91</x:f>
        <x:v>0.0030385025420989636</x:v>
      </x:c>
      <x:c r="G841" s="14" t="str">
        <x:f>IF(I841="Есть цена",IF(AND(ISNUMBER(E841),E841&gt;0,F841&gt;0),E841/F841-1,NA()),"")</x:f>
      </x:c>
      <x:c r="H841" s="14" t="str">
        <x:f>IF(AND(I841="Есть цена",I838="Есть цена"),IF(AND(E841&gt;0,E838&gt;0),E841/E838-1,NA()),"")</x:f>
      </x:c>
      <x:c r="I841" s="2" t="str">
        <x:v>RPC: данные не загружены</x:v>
      </x:c>
      <x:c r="J841" s="2"/>
      <x:c r="K841" s="9"/>
      <x:c r="L841" s="2"/>
      <x:c r="M841" s="2"/>
      <x:c r="N841" s="2"/>
      <x:c r="O841" s="2"/>
      <x:c r="P841" s="2" t="str">
        <x:v>not_cached:getSignaturesForAddress:history/719e4919b988ca2e1dc51ad1</x:v>
      </x:c>
      <x:c r="Q841" s="2" t="str"/>
      <x:c r="R841" s="14" t="str">
        <x:f>IF(AND(C841="Нулевой остаток",I841="Есть цена"),G841,"")</x:f>
      </x:c>
      <x:c r="S841" s="14" t="str">
        <x:f>IF(AND(C841="Докупка",I841="Есть цена"),G841,"")</x:f>
      </x:c>
    </x:row>
    <x:row r="842" ht="21" customHeight="1">
      <x:c r="A842" s="2" t="n">
        <x:v>84</x:v>
      </x:c>
      <x:c r="B842" s="2" t="n">
        <x:v>180</x:v>
      </x:c>
      <x:c r="C842" s="2" t="str">
        <x:f>'Покупки'!C91</x:f>
        <x:v>Докупка</x:v>
      </x:c>
      <x:c r="D842" s="9" t="n">
        <x:v>46281.563368055555</x:v>
      </x:c>
      <x:c r="E842" s="12"/>
      <x:c r="F842" s="12" t="n">
        <x:f>'Покупки'!H91</x:f>
        <x:v>0.0030385025420989636</x:v>
      </x:c>
      <x:c r="G842" s="14" t="str">
        <x:f>IF(I842="Есть цена",IF(AND(ISNUMBER(E842),E842&gt;0,F842&gt;0),E842/F842-1,NA()),"")</x:f>
      </x:c>
      <x:c r="H842" s="14" t="str">
        <x:f>IF(AND(I842="Есть цена",I838="Есть цена"),IF(AND(E842&gt;0,E838&gt;0),E842/E838-1,NA()),"")</x:f>
      </x:c>
      <x:c r="I842" s="2" t="str">
        <x:v>RPC: данные не загружены</x:v>
      </x:c>
      <x:c r="J842" s="2"/>
      <x:c r="K842" s="9"/>
      <x:c r="L842" s="2"/>
      <x:c r="M842" s="2"/>
      <x:c r="N842" s="2"/>
      <x:c r="O842" s="2"/>
      <x:c r="P842" s="2" t="str">
        <x:v>not_cached:getSignaturesForAddress:history/719e4919b988ca2e1dc51ad1</x:v>
      </x:c>
      <x:c r="Q842" s="2" t="str"/>
      <x:c r="R842" s="14" t="str">
        <x:f>IF(AND(C842="Нулевой остаток",I842="Есть цена"),G842,"")</x:f>
      </x:c>
      <x:c r="S842" s="14" t="str">
        <x:f>IF(AND(C842="Докупка",I842="Есть цена"),G842,"")</x:f>
      </x:c>
    </x:row>
    <x:row r="843" ht="21" customHeight="1">
      <x:c r="A843" s="2" t="n">
        <x:v>84</x:v>
      </x:c>
      <x:c r="B843" s="2" t="n">
        <x:v>300</x:v>
      </x:c>
      <x:c r="C843" s="2" t="str">
        <x:f>'Покупки'!C91</x:f>
        <x:v>Докупка</x:v>
      </x:c>
      <x:c r="D843" s="9" t="n">
        <x:v>46281.56475694444</x:v>
      </x:c>
      <x:c r="E843" s="12"/>
      <x:c r="F843" s="12" t="n">
        <x:f>'Покупки'!H91</x:f>
        <x:v>0.0030385025420989636</x:v>
      </x:c>
      <x:c r="G843" s="14" t="str">
        <x:f>IF(I843="Есть цена",IF(AND(ISNUMBER(E843),E843&gt;0,F843&gt;0),E843/F843-1,NA()),"")</x:f>
      </x:c>
      <x:c r="H843" s="14" t="str">
        <x:f>IF(AND(I843="Есть цена",I838="Есть цена"),IF(AND(E843&gt;0,E838&gt;0),E843/E838-1,NA()),"")</x:f>
      </x:c>
      <x:c r="I843" s="2" t="str">
        <x:v>RPC: данные не загружены</x:v>
      </x:c>
      <x:c r="J843" s="2"/>
      <x:c r="K843" s="9"/>
      <x:c r="L843" s="2"/>
      <x:c r="M843" s="2"/>
      <x:c r="N843" s="2"/>
      <x:c r="O843" s="2"/>
      <x:c r="P843" s="2" t="str">
        <x:v>not_cached:getSignaturesForAddress:history/a26461ae349d08f5377dedd6</x:v>
      </x:c>
      <x:c r="Q843" s="2" t="str"/>
      <x:c r="R843" s="14" t="str">
        <x:f>IF(AND(C843="Нулевой остаток",I843="Есть цена"),G843,"")</x:f>
      </x:c>
      <x:c r="S843" s="14" t="str">
        <x:f>IF(AND(C843="Докупка",I843="Есть цена"),G843,"")</x:f>
      </x:c>
    </x:row>
    <x:row r="844" ht="21" customHeight="1">
      <x:c r="A844" s="2" t="n">
        <x:v>84</x:v>
      </x:c>
      <x:c r="B844" s="2" t="n">
        <x:v>900</x:v>
      </x:c>
      <x:c r="C844" s="2" t="str">
        <x:f>'Покупки'!C91</x:f>
        <x:v>Докупка</x:v>
      </x:c>
      <x:c r="D844" s="9" t="n">
        <x:v>46281.571701388886</x:v>
      </x:c>
      <x:c r="E844" s="12"/>
      <x:c r="F844" s="12" t="n">
        <x:f>'Покупки'!H91</x:f>
        <x:v>0.0030385025420989636</x:v>
      </x:c>
      <x:c r="G844" s="14" t="str">
        <x:f>IF(I844="Есть цена",IF(AND(ISNUMBER(E844),E844&gt;0,F844&gt;0),E844/F844-1,NA()),"")</x:f>
      </x:c>
      <x:c r="H844" s="14" t="str">
        <x:f>IF(AND(I844="Есть цена",I838="Есть цена"),IF(AND(E844&gt;0,E838&gt;0),E844/E838-1,NA()),"")</x:f>
      </x:c>
      <x:c r="I844" s="2" t="str">
        <x:v>RPC: данные не загружены</x:v>
      </x:c>
      <x:c r="J844" s="2"/>
      <x:c r="K844" s="9"/>
      <x:c r="L844" s="2"/>
      <x:c r="M844" s="2"/>
      <x:c r="N844" s="2"/>
      <x:c r="O844" s="2"/>
      <x:c r="P844" s="2" t="str">
        <x:v>not_cached:getSignaturesForAddress:history/2f24b6555ed1d3345342dfc5</x:v>
      </x:c>
      <x:c r="Q844" s="2" t="str"/>
      <x:c r="R844" s="14" t="str">
        <x:f>IF(AND(C844="Нулевой остаток",I844="Есть цена"),G844,"")</x:f>
      </x:c>
      <x:c r="S844" s="14" t="str">
        <x:f>IF(AND(C844="Докупка",I844="Есть цена"),G844,"")</x:f>
      </x:c>
    </x:row>
    <x:row r="845" ht="21" customHeight="1">
      <x:c r="A845" s="2" t="n">
        <x:v>84</x:v>
      </x:c>
      <x:c r="B845" s="2" t="n">
        <x:v>3600</x:v>
      </x:c>
      <x:c r="C845" s="2" t="str">
        <x:f>'Покупки'!C91</x:f>
        <x:v>Докупка</x:v>
      </x:c>
      <x:c r="D845" s="9" t="n">
        <x:v>46281.602951388886</x:v>
      </x:c>
      <x:c r="E845" s="12"/>
      <x:c r="F845" s="12" t="n">
        <x:f>'Покупки'!H91</x:f>
        <x:v>0.0030385025420989636</x:v>
      </x:c>
      <x:c r="G845" s="14" t="str">
        <x:f>IF(I845="Есть цена",IF(AND(ISNUMBER(E845),E845&gt;0,F845&gt;0),E845/F845-1,NA()),"")</x:f>
      </x:c>
      <x:c r="H845" s="14" t="str">
        <x:f>IF(AND(I845="Есть цена",I838="Есть цена"),IF(AND(E845&gt;0,E838&gt;0),E845/E838-1,NA()),"")</x:f>
      </x:c>
      <x:c r="I845" s="2" t="str">
        <x:v>RPC: данные не загружены</x:v>
      </x:c>
      <x:c r="J845" s="2"/>
      <x:c r="K845" s="9"/>
      <x:c r="L845" s="2"/>
      <x:c r="M845" s="2"/>
      <x:c r="N845" s="2"/>
      <x:c r="O845" s="2"/>
      <x:c r="P845" s="2" t="str">
        <x:v>not_cached:getSignaturesForAddress:history/73633ecb783c6072ba779c48</x:v>
      </x:c>
      <x:c r="Q845" s="2" t="str"/>
      <x:c r="R845" s="14" t="str">
        <x:f>IF(AND(C845="Нулевой остаток",I845="Есть цена"),G845,"")</x:f>
      </x:c>
      <x:c r="S845" s="14" t="str">
        <x:f>IF(AND(C845="Докупка",I845="Есть цена"),G845,"")</x:f>
      </x:c>
    </x:row>
    <x:row r="846" ht="21" customHeight="1">
      <x:c r="A846" s="2" t="n">
        <x:v>84</x:v>
      </x:c>
      <x:c r="B846" s="2" t="n">
        <x:v>21600</x:v>
      </x:c>
      <x:c r="C846" s="2" t="str">
        <x:f>'Покупки'!C91</x:f>
        <x:v>Докупка</x:v>
      </x:c>
      <x:c r="D846" s="9" t="n">
        <x:v>46281.81128472222</x:v>
      </x:c>
      <x:c r="E846" s="12"/>
      <x:c r="F846" s="12" t="n">
        <x:f>'Покупки'!H91</x:f>
        <x:v>0.0030385025420989636</x:v>
      </x:c>
      <x:c r="G846" s="14" t="str">
        <x:f>IF(I846="Есть цена",IF(AND(ISNUMBER(E846),E846&gt;0,F846&gt;0),E846/F846-1,NA()),"")</x:f>
      </x:c>
      <x:c r="H846" s="14" t="str">
        <x:f>IF(AND(I846="Есть цена",I838="Есть цена"),IF(AND(E846&gt;0,E838&gt;0),E846/E838-1,NA()),"")</x:f>
      </x:c>
      <x:c r="I846" s="2" t="str">
        <x:v>RPC: данные не загружены</x:v>
      </x:c>
      <x:c r="J846" s="2"/>
      <x:c r="K846" s="9"/>
      <x:c r="L846" s="2"/>
      <x:c r="M846" s="2"/>
      <x:c r="N846" s="2"/>
      <x:c r="O846" s="2"/>
      <x:c r="P846" s="2" t="str">
        <x:v>not_cached:getSignaturesForAddress:history/5f9fdd2d113370918cea5c69</x:v>
      </x:c>
      <x:c r="Q846" s="2" t="str"/>
      <x:c r="R846" s="14" t="str">
        <x:f>IF(AND(C846="Нулевой остаток",I846="Есть цена"),G846,"")</x:f>
      </x:c>
      <x:c r="S846" s="14" t="str">
        <x:f>IF(AND(C846="Докупка",I846="Есть цена"),G846,"")</x:f>
      </x:c>
    </x:row>
    <x:row r="847" ht="21" customHeight="1">
      <x:c r="A847" s="2" t="n">
        <x:v>84</x:v>
      </x:c>
      <x:c r="B847" s="2" t="n">
        <x:v>86400</x:v>
      </x:c>
      <x:c r="C847" s="2" t="str">
        <x:f>'Покупки'!C91</x:f>
        <x:v>Докупка</x:v>
      </x:c>
      <x:c r="D847" s="9" t="n">
        <x:v>46282.56128472222</x:v>
      </x:c>
      <x:c r="E847" s="12"/>
      <x:c r="F847" s="12" t="n">
        <x:f>'Покупки'!H91</x:f>
        <x:v>0.0030385025420989636</x:v>
      </x:c>
      <x:c r="G847" s="14" t="str">
        <x:f>IF(I847="Есть цена",IF(AND(ISNUMBER(E847),E847&gt;0,F847&gt;0),E847/F847-1,NA()),"")</x:f>
      </x:c>
      <x:c r="H847" s="14" t="str">
        <x:f>IF(AND(I847="Есть цена",I838="Есть цена"),IF(AND(E847&gt;0,E838&gt;0),E847/E838-1,NA()),"")</x:f>
      </x:c>
      <x:c r="I847" s="2" t="str">
        <x:v>RPC: данные не загружены</x:v>
      </x:c>
      <x:c r="J847" s="2"/>
      <x:c r="K847" s="9"/>
      <x:c r="L847" s="2"/>
      <x:c r="M847" s="2"/>
      <x:c r="N847" s="2"/>
      <x:c r="O847" s="2"/>
      <x:c r="P847" s="2" t="str">
        <x:v>not_cached:getSignaturesForAddress:history/69b57f2f3ecb8a6f692a1bfe</x:v>
      </x:c>
      <x:c r="Q847" s="2" t="str"/>
      <x:c r="R847" s="14" t="str">
        <x:f>IF(AND(C847="Нулевой остаток",I847="Есть цена"),G847,"")</x:f>
      </x:c>
      <x:c r="S847" s="14" t="str">
        <x:f>IF(AND(C847="Докупка",I847="Есть цена"),G847,"")</x:f>
      </x:c>
    </x:row>
    <x:row r="848" ht="21" customHeight="1">
      <x:c r="A848" s="2" t="n">
        <x:v>85</x:v>
      </x:c>
      <x:c r="B848" s="2" t="n">
        <x:v>5</x:v>
      </x:c>
      <x:c r="C848" s="2" t="str">
        <x:f>'Покупки'!C92</x:f>
        <x:v>Докупка</x:v>
      </x:c>
      <x:c r="D848" s="9" t="n">
        <x:v>46281.56118055555</x:v>
      </x:c>
      <x:c r="E848" s="12"/>
      <x:c r="F848" s="12" t="n">
        <x:f>'Покупки'!H92</x:f>
        <x:v>0.16858647153299713</x:v>
      </x:c>
      <x:c r="G848" s="14" t="str">
        <x:f>IF(I848="Есть цена",IF(AND(ISNUMBER(E848),E848&gt;0,F848&gt;0),E848/F848-1,NA()),"")</x:f>
      </x:c>
      <x:c r="H848" s="14" t="str">
        <x:f>IF(AND(I848="Есть цена",I848="Есть цена"),IF(AND(E848&gt;0,E848&gt;0),E848/E848-1,NA()),"")</x:f>
      </x:c>
      <x:c r="I848" s="2" t="str">
        <x:v>RPC: данные не загружены</x:v>
      </x:c>
      <x:c r="J848" s="2"/>
      <x:c r="K848" s="9"/>
      <x:c r="L848" s="2"/>
      <x:c r="M848" s="2"/>
      <x:c r="N848" s="2"/>
      <x:c r="O848" s="2"/>
      <x:c r="P848" s="2" t="str">
        <x:v>not_cached:getSignaturesForAddress:history/ce491c0bfd212d7052b99110</x:v>
      </x:c>
      <x:c r="Q848" s="2" t="str"/>
      <x:c r="R848" s="14" t="str">
        <x:f>IF(AND(C848="Нулевой остаток",I848="Есть цена"),G848,"")</x:f>
      </x:c>
      <x:c r="S848" s="14" t="str">
        <x:f>IF(AND(C848="Докупка",I848="Есть цена"),G848,"")</x:f>
      </x:c>
    </x:row>
    <x:row r="849" ht="21" customHeight="1">
      <x:c r="A849" s="2" t="n">
        <x:v>85</x:v>
      </x:c>
      <x:c r="B849" s="2" t="n">
        <x:v>15</x:v>
      </x:c>
      <x:c r="C849" s="2" t="str">
        <x:f>'Покупки'!C92</x:f>
        <x:v>Докупка</x:v>
      </x:c>
      <x:c r="D849" s="9" t="n">
        <x:v>46281.5612962963</x:v>
      </x:c>
      <x:c r="E849" s="12"/>
      <x:c r="F849" s="12" t="n">
        <x:f>'Покупки'!H92</x:f>
        <x:v>0.16858647153299713</x:v>
      </x:c>
      <x:c r="G849" s="14" t="str">
        <x:f>IF(I849="Есть цена",IF(AND(ISNUMBER(E849),E849&gt;0,F849&gt;0),E849/F849-1,NA()),"")</x:f>
      </x:c>
      <x:c r="H849" s="14" t="str">
        <x:f>IF(AND(I849="Есть цена",I848="Есть цена"),IF(AND(E849&gt;0,E848&gt;0),E849/E848-1,NA()),"")</x:f>
      </x:c>
      <x:c r="I849" s="2" t="str">
        <x:v>RPC: данные не загружены</x:v>
      </x:c>
      <x:c r="J849" s="2"/>
      <x:c r="K849" s="9"/>
      <x:c r="L849" s="2"/>
      <x:c r="M849" s="2"/>
      <x:c r="N849" s="2"/>
      <x:c r="O849" s="2"/>
      <x:c r="P849" s="2" t="str">
        <x:v>not_cached:getSignaturesForAddress:history/0f5efb4e87e3c4485adf86c6</x:v>
      </x:c>
      <x:c r="Q849" s="2" t="str"/>
      <x:c r="R849" s="14" t="str">
        <x:f>IF(AND(C849="Нулевой остаток",I849="Есть цена"),G849,"")</x:f>
      </x:c>
      <x:c r="S849" s="14" t="str">
        <x:f>IF(AND(C849="Докупка",I849="Есть цена"),G849,"")</x:f>
      </x:c>
    </x:row>
    <x:row r="850" ht="21" customHeight="1">
      <x:c r="A850" s="2" t="n">
        <x:v>85</x:v>
      </x:c>
      <x:c r="B850" s="2" t="n">
        <x:v>30</x:v>
      </x:c>
      <x:c r="C850" s="2" t="str">
        <x:f>'Покупки'!C92</x:f>
        <x:v>Докупка</x:v>
      </x:c>
      <x:c r="D850" s="9" t="n">
        <x:v>46281.56146990741</x:v>
      </x:c>
      <x:c r="E850" s="12"/>
      <x:c r="F850" s="12" t="n">
        <x:f>'Покупки'!H92</x:f>
        <x:v>0.16858647153299713</x:v>
      </x:c>
      <x:c r="G850" s="14" t="str">
        <x:f>IF(I850="Есть цена",IF(AND(ISNUMBER(E850),E850&gt;0,F850&gt;0),E850/F850-1,NA()),"")</x:f>
      </x:c>
      <x:c r="H850" s="14" t="str">
        <x:f>IF(AND(I850="Есть цена",I848="Есть цена"),IF(AND(E850&gt;0,E848&gt;0),E850/E848-1,NA()),"")</x:f>
      </x:c>
      <x:c r="I850" s="2" t="str">
        <x:v>RPC: данные не загружены</x:v>
      </x:c>
      <x:c r="J850" s="2"/>
      <x:c r="K850" s="9"/>
      <x:c r="L850" s="2"/>
      <x:c r="M850" s="2"/>
      <x:c r="N850" s="2"/>
      <x:c r="O850" s="2"/>
      <x:c r="P850" s="2" t="str">
        <x:v>not_cached:getSignaturesForAddress:history/0f5efb4e87e3c4485adf86c6</x:v>
      </x:c>
      <x:c r="Q850" s="2" t="str"/>
      <x:c r="R850" s="14" t="str">
        <x:f>IF(AND(C850="Нулевой остаток",I850="Есть цена"),G850,"")</x:f>
      </x:c>
      <x:c r="S850" s="14" t="str">
        <x:f>IF(AND(C850="Докупка",I850="Есть цена"),G850,"")</x:f>
      </x:c>
    </x:row>
    <x:row r="851" ht="21" customHeight="1">
      <x:c r="A851" s="2" t="n">
        <x:v>85</x:v>
      </x:c>
      <x:c r="B851" s="2" t="n">
        <x:v>60</x:v>
      </x:c>
      <x:c r="C851" s="2" t="str">
        <x:f>'Покупки'!C92</x:f>
        <x:v>Докупка</x:v>
      </x:c>
      <x:c r="D851" s="9" t="n">
        <x:v>46281.56181712963</x:v>
      </x:c>
      <x:c r="E851" s="12"/>
      <x:c r="F851" s="12" t="n">
        <x:f>'Покупки'!H92</x:f>
        <x:v>0.16858647153299713</x:v>
      </x:c>
      <x:c r="G851" s="14" t="str">
        <x:f>IF(I851="Есть цена",IF(AND(ISNUMBER(E851),E851&gt;0,F851&gt;0),E851/F851-1,NA()),"")</x:f>
      </x:c>
      <x:c r="H851" s="14" t="str">
        <x:f>IF(AND(I851="Есть цена",I848="Есть цена"),IF(AND(E851&gt;0,E848&gt;0),E851/E848-1,NA()),"")</x:f>
      </x:c>
      <x:c r="I851" s="2" t="str">
        <x:v>RPC: данные не загружены</x:v>
      </x:c>
      <x:c r="J851" s="2"/>
      <x:c r="K851" s="9"/>
      <x:c r="L851" s="2"/>
      <x:c r="M851" s="2"/>
      <x:c r="N851" s="2"/>
      <x:c r="O851" s="2"/>
      <x:c r="P851" s="2" t="str">
        <x:v>not_cached:getSignaturesForAddress:history/0f5efb4e87e3c4485adf86c6</x:v>
      </x:c>
      <x:c r="Q851" s="2" t="str"/>
      <x:c r="R851" s="14" t="str">
        <x:f>IF(AND(C851="Нулевой остаток",I851="Есть цена"),G851,"")</x:f>
      </x:c>
      <x:c r="S851" s="14" t="str">
        <x:f>IF(AND(C851="Докупка",I851="Есть цена"),G851,"")</x:f>
      </x:c>
    </x:row>
    <x:row r="852" ht="21" customHeight="1">
      <x:c r="A852" s="2" t="n">
        <x:v>85</x:v>
      </x:c>
      <x:c r="B852" s="2" t="n">
        <x:v>180</x:v>
      </x:c>
      <x:c r="C852" s="2" t="str">
        <x:f>'Покупки'!C92</x:f>
        <x:v>Докупка</x:v>
      </x:c>
      <x:c r="D852" s="9" t="n">
        <x:v>46281.563206018516</x:v>
      </x:c>
      <x:c r="E852" s="12"/>
      <x:c r="F852" s="12" t="n">
        <x:f>'Покупки'!H92</x:f>
        <x:v>0.16858647153299713</x:v>
      </x:c>
      <x:c r="G852" s="14" t="str">
        <x:f>IF(I852="Есть цена",IF(AND(ISNUMBER(E852),E852&gt;0,F852&gt;0),E852/F852-1,NA()),"")</x:f>
      </x:c>
      <x:c r="H852" s="14" t="str">
        <x:f>IF(AND(I852="Есть цена",I848="Есть цена"),IF(AND(E852&gt;0,E848&gt;0),E852/E848-1,NA()),"")</x:f>
      </x:c>
      <x:c r="I852" s="2" t="str">
        <x:v>RPC: данные не загружены</x:v>
      </x:c>
      <x:c r="J852" s="2"/>
      <x:c r="K852" s="9"/>
      <x:c r="L852" s="2"/>
      <x:c r="M852" s="2"/>
      <x:c r="N852" s="2"/>
      <x:c r="O852" s="2"/>
      <x:c r="P852" s="2" t="str">
        <x:v>not_cached:getSignaturesForAddress:history/0f5efb4e87e3c4485adf86c6</x:v>
      </x:c>
      <x:c r="Q852" s="2" t="str"/>
      <x:c r="R852" s="14" t="str">
        <x:f>IF(AND(C852="Нулевой остаток",I852="Есть цена"),G852,"")</x:f>
      </x:c>
      <x:c r="S852" s="14" t="str">
        <x:f>IF(AND(C852="Докупка",I852="Есть цена"),G852,"")</x:f>
      </x:c>
    </x:row>
    <x:row r="853" ht="21" customHeight="1">
      <x:c r="A853" s="2" t="n">
        <x:v>85</x:v>
      </x:c>
      <x:c r="B853" s="2" t="n">
        <x:v>300</x:v>
      </x:c>
      <x:c r="C853" s="2" t="str">
        <x:f>'Покупки'!C92</x:f>
        <x:v>Докупка</x:v>
      </x:c>
      <x:c r="D853" s="9" t="n">
        <x:v>46281.56459490741</x:v>
      </x:c>
      <x:c r="E853" s="12"/>
      <x:c r="F853" s="12" t="n">
        <x:f>'Покупки'!H92</x:f>
        <x:v>0.16858647153299713</x:v>
      </x:c>
      <x:c r="G853" s="14" t="str">
        <x:f>IF(I853="Есть цена",IF(AND(ISNUMBER(E853),E853&gt;0,F853&gt;0),E853/F853-1,NA()),"")</x:f>
      </x:c>
      <x:c r="H853" s="14" t="str">
        <x:f>IF(AND(I853="Есть цена",I848="Есть цена"),IF(AND(E853&gt;0,E848&gt;0),E853/E848-1,NA()),"")</x:f>
      </x:c>
      <x:c r="I853" s="2" t="str">
        <x:v>RPC: данные не загружены</x:v>
      </x:c>
      <x:c r="J853" s="2"/>
      <x:c r="K853" s="9"/>
      <x:c r="L853" s="2"/>
      <x:c r="M853" s="2"/>
      <x:c r="N853" s="2"/>
      <x:c r="O853" s="2"/>
      <x:c r="P853" s="2" t="str">
        <x:v>not_cached:getSignaturesForAddress:history/3dd032d1a6b4067cf3916dc8</x:v>
      </x:c>
      <x:c r="Q853" s="2" t="str"/>
      <x:c r="R853" s="14" t="str">
        <x:f>IF(AND(C853="Нулевой остаток",I853="Есть цена"),G853,"")</x:f>
      </x:c>
      <x:c r="S853" s="14" t="str">
        <x:f>IF(AND(C853="Докупка",I853="Есть цена"),G853,"")</x:f>
      </x:c>
    </x:row>
    <x:row r="854" ht="21" customHeight="1">
      <x:c r="A854" s="2" t="n">
        <x:v>85</x:v>
      </x:c>
      <x:c r="B854" s="2" t="n">
        <x:v>900</x:v>
      </x:c>
      <x:c r="C854" s="2" t="str">
        <x:f>'Покупки'!C92</x:f>
        <x:v>Докупка</x:v>
      </x:c>
      <x:c r="D854" s="9" t="n">
        <x:v>46281.571539351855</x:v>
      </x:c>
      <x:c r="E854" s="12"/>
      <x:c r="F854" s="12" t="n">
        <x:f>'Покупки'!H92</x:f>
        <x:v>0.16858647153299713</x:v>
      </x:c>
      <x:c r="G854" s="14" t="str">
        <x:f>IF(I854="Есть цена",IF(AND(ISNUMBER(E854),E854&gt;0,F854&gt;0),E854/F854-1,NA()),"")</x:f>
      </x:c>
      <x:c r="H854" s="14" t="str">
        <x:f>IF(AND(I854="Есть цена",I848="Есть цена"),IF(AND(E854&gt;0,E848&gt;0),E854/E848-1,NA()),"")</x:f>
      </x:c>
      <x:c r="I854" s="2" t="str">
        <x:v>RPC: данные не загружены</x:v>
      </x:c>
      <x:c r="J854" s="2"/>
      <x:c r="K854" s="9"/>
      <x:c r="L854" s="2"/>
      <x:c r="M854" s="2"/>
      <x:c r="N854" s="2"/>
      <x:c r="O854" s="2"/>
      <x:c r="P854" s="2" t="str">
        <x:v>not_cached:getSignaturesForAddress:history/83e3c6ac09bd42c9050cbbb2</x:v>
      </x:c>
      <x:c r="Q854" s="2" t="str"/>
      <x:c r="R854" s="14" t="str">
        <x:f>IF(AND(C854="Нулевой остаток",I854="Есть цена"),G854,"")</x:f>
      </x:c>
      <x:c r="S854" s="14" t="str">
        <x:f>IF(AND(C854="Докупка",I854="Есть цена"),G854,"")</x:f>
      </x:c>
    </x:row>
    <x:row r="855" ht="21" customHeight="1">
      <x:c r="A855" s="2" t="n">
        <x:v>85</x:v>
      </x:c>
      <x:c r="B855" s="2" t="n">
        <x:v>3600</x:v>
      </x:c>
      <x:c r="C855" s="2" t="str">
        <x:f>'Покупки'!C92</x:f>
        <x:v>Докупка</x:v>
      </x:c>
      <x:c r="D855" s="9" t="n">
        <x:v>46281.602789351855</x:v>
      </x:c>
      <x:c r="E855" s="12"/>
      <x:c r="F855" s="12" t="n">
        <x:f>'Покупки'!H92</x:f>
        <x:v>0.16858647153299713</x:v>
      </x:c>
      <x:c r="G855" s="14" t="str">
        <x:f>IF(I855="Есть цена",IF(AND(ISNUMBER(E855),E855&gt;0,F855&gt;0),E855/F855-1,NA()),"")</x:f>
      </x:c>
      <x:c r="H855" s="14" t="str">
        <x:f>IF(AND(I855="Есть цена",I848="Есть цена"),IF(AND(E855&gt;0,E848&gt;0),E855/E848-1,NA()),"")</x:f>
      </x:c>
      <x:c r="I855" s="2" t="str">
        <x:v>RPC: данные не загружены</x:v>
      </x:c>
      <x:c r="J855" s="2"/>
      <x:c r="K855" s="9"/>
      <x:c r="L855" s="2"/>
      <x:c r="M855" s="2"/>
      <x:c r="N855" s="2"/>
      <x:c r="O855" s="2"/>
      <x:c r="P855" s="2" t="str">
        <x:v>not_cached:getSignaturesForAddress:history/26f221d15dc9c06e30da723b</x:v>
      </x:c>
      <x:c r="Q855" s="2" t="str"/>
      <x:c r="R855" s="14" t="str">
        <x:f>IF(AND(C855="Нулевой остаток",I855="Есть цена"),G855,"")</x:f>
      </x:c>
      <x:c r="S855" s="14" t="str">
        <x:f>IF(AND(C855="Докупка",I855="Есть цена"),G855,"")</x:f>
      </x:c>
    </x:row>
    <x:row r="856" ht="21" customHeight="1">
      <x:c r="A856" s="2" t="n">
        <x:v>85</x:v>
      </x:c>
      <x:c r="B856" s="2" t="n">
        <x:v>21600</x:v>
      </x:c>
      <x:c r="C856" s="2" t="str">
        <x:f>'Покупки'!C92</x:f>
        <x:v>Докупка</x:v>
      </x:c>
      <x:c r="D856" s="9" t="n">
        <x:v>46281.81112268518</x:v>
      </x:c>
      <x:c r="E856" s="12"/>
      <x:c r="F856" s="12" t="n">
        <x:f>'Покупки'!H92</x:f>
        <x:v>0.16858647153299713</x:v>
      </x:c>
      <x:c r="G856" s="14" t="str">
        <x:f>IF(I856="Есть цена",IF(AND(ISNUMBER(E856),E856&gt;0,F856&gt;0),E856/F856-1,NA()),"")</x:f>
      </x:c>
      <x:c r="H856" s="14" t="str">
        <x:f>IF(AND(I856="Есть цена",I848="Есть цена"),IF(AND(E856&gt;0,E848&gt;0),E856/E848-1,NA()),"")</x:f>
      </x:c>
      <x:c r="I856" s="2" t="str">
        <x:v>RPC: данные не загружены</x:v>
      </x:c>
      <x:c r="J856" s="2"/>
      <x:c r="K856" s="9"/>
      <x:c r="L856" s="2"/>
      <x:c r="M856" s="2"/>
      <x:c r="N856" s="2"/>
      <x:c r="O856" s="2"/>
      <x:c r="P856" s="2" t="str">
        <x:v>not_cached:getSignaturesForAddress:history/2fd9119bc0d9568be82aa015</x:v>
      </x:c>
      <x:c r="Q856" s="2" t="str"/>
      <x:c r="R856" s="14" t="str">
        <x:f>IF(AND(C856="Нулевой остаток",I856="Есть цена"),G856,"")</x:f>
      </x:c>
      <x:c r="S856" s="14" t="str">
        <x:f>IF(AND(C856="Докупка",I856="Есть цена"),G856,"")</x:f>
      </x:c>
    </x:row>
    <x:row r="857" ht="21" customHeight="1">
      <x:c r="A857" s="2" t="n">
        <x:v>85</x:v>
      </x:c>
      <x:c r="B857" s="2" t="n">
        <x:v>86400</x:v>
      </x:c>
      <x:c r="C857" s="2" t="str">
        <x:f>'Покупки'!C92</x:f>
        <x:v>Докупка</x:v>
      </x:c>
      <x:c r="D857" s="9" t="n">
        <x:v>46282.56112268518</x:v>
      </x:c>
      <x:c r="E857" s="12"/>
      <x:c r="F857" s="12" t="n">
        <x:f>'Покупки'!H92</x:f>
        <x:v>0.16858647153299713</x:v>
      </x:c>
      <x:c r="G857" s="14" t="str">
        <x:f>IF(I857="Есть цена",IF(AND(ISNUMBER(E857),E857&gt;0,F857&gt;0),E857/F857-1,NA()),"")</x:f>
      </x:c>
      <x:c r="H857" s="14" t="str">
        <x:f>IF(AND(I857="Есть цена",I848="Есть цена"),IF(AND(E857&gt;0,E848&gt;0),E857/E848-1,NA()),"")</x:f>
      </x:c>
      <x:c r="I857" s="2" t="str">
        <x:v>RPC: данные не загружены</x:v>
      </x:c>
      <x:c r="J857" s="2"/>
      <x:c r="K857" s="9"/>
      <x:c r="L857" s="2"/>
      <x:c r="M857" s="2"/>
      <x:c r="N857" s="2"/>
      <x:c r="O857" s="2"/>
      <x:c r="P857" s="2" t="str">
        <x:v>not_cached:getSignaturesForAddress:history/3aa86f9d652695d6c570c000</x:v>
      </x:c>
      <x:c r="Q857" s="2" t="str"/>
      <x:c r="R857" s="14" t="str">
        <x:f>IF(AND(C857="Нулевой остаток",I857="Есть цена"),G857,"")</x:f>
      </x:c>
      <x:c r="S857" s="14" t="str">
        <x:f>IF(AND(C857="Докупка",I857="Есть цена"),G857,"")</x:f>
      </x:c>
    </x:row>
    <x:row r="858" ht="21" customHeight="1">
      <x:c r="A858" s="2" t="n">
        <x:v>86</x:v>
      </x:c>
      <x:c r="B858" s="2" t="n">
        <x:v>5</x:v>
      </x:c>
      <x:c r="C858" s="2" t="str">
        <x:f>'Покупки'!C93</x:f>
        <x:v>Докупка</x:v>
      </x:c>
      <x:c r="D858" s="9" t="n">
        <x:v>46281.56079861111</x:v>
      </x:c>
      <x:c r="E858" s="12"/>
      <x:c r="F858" s="12" t="n">
        <x:f>'Покупки'!H93</x:f>
        <x:v>0.16843258300962657</x:v>
      </x:c>
      <x:c r="G858" s="14" t="str">
        <x:f>IF(I858="Есть цена",IF(AND(ISNUMBER(E858),E858&gt;0,F858&gt;0),E858/F858-1,NA()),"")</x:f>
      </x:c>
      <x:c r="H858" s="14" t="str">
        <x:f>IF(AND(I858="Есть цена",I858="Есть цена"),IF(AND(E858&gt;0,E858&gt;0),E858/E858-1,NA()),"")</x:f>
      </x:c>
      <x:c r="I858" s="2" t="str">
        <x:v>RPC: данные не загружены</x:v>
      </x:c>
      <x:c r="J858" s="2"/>
      <x:c r="K858" s="9"/>
      <x:c r="L858" s="2"/>
      <x:c r="M858" s="2"/>
      <x:c r="N858" s="2"/>
      <x:c r="O858" s="2"/>
      <x:c r="P858" s="2" t="str">
        <x:v>not_cached:getSignaturesForAddress:history/cbce559cac7881fa086cdf6f</x:v>
      </x:c>
      <x:c r="Q858" s="2" t="str"/>
      <x:c r="R858" s="14" t="str">
        <x:f>IF(AND(C858="Нулевой остаток",I858="Есть цена"),G858,"")</x:f>
      </x:c>
      <x:c r="S858" s="14" t="str">
        <x:f>IF(AND(C858="Докупка",I858="Есть цена"),G858,"")</x:f>
      </x:c>
    </x:row>
    <x:row r="859" ht="21" customHeight="1">
      <x:c r="A859" s="2" t="n">
        <x:v>86</x:v>
      </x:c>
      <x:c r="B859" s="2" t="n">
        <x:v>15</x:v>
      </x:c>
      <x:c r="C859" s="2" t="str">
        <x:f>'Покупки'!C93</x:f>
        <x:v>Докупка</x:v>
      </x:c>
      <x:c r="D859" s="9" t="n">
        <x:v>46281.56091435185</x:v>
      </x:c>
      <x:c r="E859" s="12"/>
      <x:c r="F859" s="12" t="n">
        <x:f>'Покупки'!H93</x:f>
        <x:v>0.16843258300962657</x:v>
      </x:c>
      <x:c r="G859" s="14" t="str">
        <x:f>IF(I859="Есть цена",IF(AND(ISNUMBER(E859),E859&gt;0,F859&gt;0),E859/F859-1,NA()),"")</x:f>
      </x:c>
      <x:c r="H859" s="14" t="str">
        <x:f>IF(AND(I859="Есть цена",I858="Есть цена"),IF(AND(E859&gt;0,E858&gt;0),E859/E858-1,NA()),"")</x:f>
      </x:c>
      <x:c r="I859" s="2" t="str">
        <x:v>RPC: данные не загружены</x:v>
      </x:c>
      <x:c r="J859" s="2"/>
      <x:c r="K859" s="9"/>
      <x:c r="L859" s="2"/>
      <x:c r="M859" s="2"/>
      <x:c r="N859" s="2"/>
      <x:c r="O859" s="2"/>
      <x:c r="P859" s="2" t="str">
        <x:v>not_cached:getSignaturesForAddress:history/cbce559cac7881fa086cdf6f</x:v>
      </x:c>
      <x:c r="Q859" s="2" t="str"/>
      <x:c r="R859" s="14" t="str">
        <x:f>IF(AND(C859="Нулевой остаток",I859="Есть цена"),G859,"")</x:f>
      </x:c>
      <x:c r="S859" s="14" t="str">
        <x:f>IF(AND(C859="Докупка",I859="Есть цена"),G859,"")</x:f>
      </x:c>
    </x:row>
    <x:row r="860" ht="21" customHeight="1">
      <x:c r="A860" s="2" t="n">
        <x:v>86</x:v>
      </x:c>
      <x:c r="B860" s="2" t="n">
        <x:v>30</x:v>
      </x:c>
      <x:c r="C860" s="2" t="str">
        <x:f>'Покупки'!C93</x:f>
        <x:v>Докупка</x:v>
      </x:c>
      <x:c r="D860" s="9" t="n">
        <x:v>46281.56108796296</x:v>
      </x:c>
      <x:c r="E860" s="12"/>
      <x:c r="F860" s="12" t="n">
        <x:f>'Покупки'!H93</x:f>
        <x:v>0.16843258300962657</x:v>
      </x:c>
      <x:c r="G860" s="14" t="str">
        <x:f>IF(I860="Есть цена",IF(AND(ISNUMBER(E860),E860&gt;0,F860&gt;0),E860/F860-1,NA()),"")</x:f>
      </x:c>
      <x:c r="H860" s="14" t="str">
        <x:f>IF(AND(I860="Есть цена",I858="Есть цена"),IF(AND(E860&gt;0,E858&gt;0),E860/E858-1,NA()),"")</x:f>
      </x:c>
      <x:c r="I860" s="2" t="str">
        <x:v>RPC: данные не загружены</x:v>
      </x:c>
      <x:c r="J860" s="2"/>
      <x:c r="K860" s="9"/>
      <x:c r="L860" s="2"/>
      <x:c r="M860" s="2"/>
      <x:c r="N860" s="2"/>
      <x:c r="O860" s="2"/>
      <x:c r="P860" s="2" t="str">
        <x:v>not_cached:getSignaturesForAddress:history/cf9494af90839557956a9126</x:v>
      </x:c>
      <x:c r="Q860" s="2" t="str"/>
      <x:c r="R860" s="14" t="str">
        <x:f>IF(AND(C860="Нулевой остаток",I860="Есть цена"),G860,"")</x:f>
      </x:c>
      <x:c r="S860" s="14" t="str">
        <x:f>IF(AND(C860="Докупка",I860="Есть цена"),G860,"")</x:f>
      </x:c>
    </x:row>
    <x:row r="861" ht="21" customHeight="1">
      <x:c r="A861" s="2" t="n">
        <x:v>86</x:v>
      </x:c>
      <x:c r="B861" s="2" t="n">
        <x:v>60</x:v>
      </x:c>
      <x:c r="C861" s="2" t="str">
        <x:f>'Покупки'!C93</x:f>
        <x:v>Докупка</x:v>
      </x:c>
      <x:c r="D861" s="9" t="n">
        <x:v>46281.561435185184</x:v>
      </x:c>
      <x:c r="E861" s="12"/>
      <x:c r="F861" s="12" t="n">
        <x:f>'Покупки'!H93</x:f>
        <x:v>0.16843258300962657</x:v>
      </x:c>
      <x:c r="G861" s="14" t="str">
        <x:f>IF(I861="Есть цена",IF(AND(ISNUMBER(E861),E861&gt;0,F861&gt;0),E861/F861-1,NA()),"")</x:f>
      </x:c>
      <x:c r="H861" s="14" t="str">
        <x:f>IF(AND(I861="Есть цена",I858="Есть цена"),IF(AND(E861&gt;0,E858&gt;0),E861/E858-1,NA()),"")</x:f>
      </x:c>
      <x:c r="I861" s="2" t="str">
        <x:v>RPC: данные не загружены</x:v>
      </x:c>
      <x:c r="J861" s="2"/>
      <x:c r="K861" s="9"/>
      <x:c r="L861" s="2"/>
      <x:c r="M861" s="2"/>
      <x:c r="N861" s="2"/>
      <x:c r="O861" s="2"/>
      <x:c r="P861" s="2" t="str">
        <x:v>not_cached:getSignaturesForAddress:history/6ac318de0e9d12ae1e11d5dd</x:v>
      </x:c>
      <x:c r="Q861" s="2" t="str"/>
      <x:c r="R861" s="14" t="str">
        <x:f>IF(AND(C861="Нулевой остаток",I861="Есть цена"),G861,"")</x:f>
      </x:c>
      <x:c r="S861" s="14" t="str">
        <x:f>IF(AND(C861="Докупка",I861="Есть цена"),G861,"")</x:f>
      </x:c>
    </x:row>
    <x:row r="862" ht="21" customHeight="1">
      <x:c r="A862" s="2" t="n">
        <x:v>86</x:v>
      </x:c>
      <x:c r="B862" s="2" t="n">
        <x:v>180</x:v>
      </x:c>
      <x:c r="C862" s="2" t="str">
        <x:f>'Покупки'!C93</x:f>
        <x:v>Докупка</x:v>
      </x:c>
      <x:c r="D862" s="9" t="n">
        <x:v>46281.56282407408</x:v>
      </x:c>
      <x:c r="E862" s="12"/>
      <x:c r="F862" s="12" t="n">
        <x:f>'Покупки'!H93</x:f>
        <x:v>0.16843258300962657</x:v>
      </x:c>
      <x:c r="G862" s="14" t="str">
        <x:f>IF(I862="Есть цена",IF(AND(ISNUMBER(E862),E862&gt;0,F862&gt;0),E862/F862-1,NA()),"")</x:f>
      </x:c>
      <x:c r="H862" s="14" t="str">
        <x:f>IF(AND(I862="Есть цена",I858="Есть цена"),IF(AND(E862&gt;0,E858&gt;0),E862/E858-1,NA()),"")</x:f>
      </x:c>
      <x:c r="I862" s="2" t="str">
        <x:v>RPC: данные не загружены</x:v>
      </x:c>
      <x:c r="J862" s="2"/>
      <x:c r="K862" s="9"/>
      <x:c r="L862" s="2"/>
      <x:c r="M862" s="2"/>
      <x:c r="N862" s="2"/>
      <x:c r="O862" s="2"/>
      <x:c r="P862" s="2" t="str">
        <x:v>not_cached:getSignaturesForAddress:history/6ac318de0e9d12ae1e11d5dd</x:v>
      </x:c>
      <x:c r="Q862" s="2" t="str"/>
      <x:c r="R862" s="14" t="str">
        <x:f>IF(AND(C862="Нулевой остаток",I862="Есть цена"),G862,"")</x:f>
      </x:c>
      <x:c r="S862" s="14" t="str">
        <x:f>IF(AND(C862="Докупка",I862="Есть цена"),G862,"")</x:f>
      </x:c>
    </x:row>
    <x:row r="863" ht="21" customHeight="1">
      <x:c r="A863" s="2" t="n">
        <x:v>86</x:v>
      </x:c>
      <x:c r="B863" s="2" t="n">
        <x:v>300</x:v>
      </x:c>
      <x:c r="C863" s="2" t="str">
        <x:f>'Покупки'!C93</x:f>
        <x:v>Докупка</x:v>
      </x:c>
      <x:c r="D863" s="9" t="n">
        <x:v>46281.56421296296</x:v>
      </x:c>
      <x:c r="E863" s="12"/>
      <x:c r="F863" s="12" t="n">
        <x:f>'Покупки'!H93</x:f>
        <x:v>0.16843258300962657</x:v>
      </x:c>
      <x:c r="G863" s="14" t="str">
        <x:f>IF(I863="Есть цена",IF(AND(ISNUMBER(E863),E863&gt;0,F863&gt;0),E863/F863-1,NA()),"")</x:f>
      </x:c>
      <x:c r="H863" s="14" t="str">
        <x:f>IF(AND(I863="Есть цена",I858="Есть цена"),IF(AND(E863&gt;0,E858&gt;0),E863/E858-1,NA()),"")</x:f>
      </x:c>
      <x:c r="I863" s="2" t="str">
        <x:v>RPC: данные не загружены</x:v>
      </x:c>
      <x:c r="J863" s="2"/>
      <x:c r="K863" s="9"/>
      <x:c r="L863" s="2"/>
      <x:c r="M863" s="2"/>
      <x:c r="N863" s="2"/>
      <x:c r="O863" s="2"/>
      <x:c r="P863" s="2" t="str">
        <x:v>not_cached:getSignaturesForAddress:history/6ac318de0e9d12ae1e11d5dd</x:v>
      </x:c>
      <x:c r="Q863" s="2" t="str"/>
      <x:c r="R863" s="14" t="str">
        <x:f>IF(AND(C863="Нулевой остаток",I863="Есть цена"),G863,"")</x:f>
      </x:c>
      <x:c r="S863" s="14" t="str">
        <x:f>IF(AND(C863="Докупка",I863="Есть цена"),G863,"")</x:f>
      </x:c>
    </x:row>
    <x:row r="864" ht="21" customHeight="1">
      <x:c r="A864" s="2" t="n">
        <x:v>86</x:v>
      </x:c>
      <x:c r="B864" s="2" t="n">
        <x:v>900</x:v>
      </x:c>
      <x:c r="C864" s="2" t="str">
        <x:f>'Покупки'!C93</x:f>
        <x:v>Докупка</x:v>
      </x:c>
      <x:c r="D864" s="9" t="n">
        <x:v>46281.57115740741</x:v>
      </x:c>
      <x:c r="E864" s="12"/>
      <x:c r="F864" s="12" t="n">
        <x:f>'Покупки'!H93</x:f>
        <x:v>0.16843258300962657</x:v>
      </x:c>
      <x:c r="G864" s="14" t="str">
        <x:f>IF(I864="Есть цена",IF(AND(ISNUMBER(E864),E864&gt;0,F864&gt;0),E864/F864-1,NA()),"")</x:f>
      </x:c>
      <x:c r="H864" s="14" t="str">
        <x:f>IF(AND(I864="Есть цена",I858="Есть цена"),IF(AND(E864&gt;0,E858&gt;0),E864/E858-1,NA()),"")</x:f>
      </x:c>
      <x:c r="I864" s="2" t="str">
        <x:v>RPC: данные не загружены</x:v>
      </x:c>
      <x:c r="J864" s="2"/>
      <x:c r="K864" s="9"/>
      <x:c r="L864" s="2"/>
      <x:c r="M864" s="2"/>
      <x:c r="N864" s="2"/>
      <x:c r="O864" s="2"/>
      <x:c r="P864" s="2" t="str">
        <x:v>not_cached:getSignaturesForAddress:history/cc6592b449459f5f28c166c4</x:v>
      </x:c>
      <x:c r="Q864" s="2" t="str"/>
      <x:c r="R864" s="14" t="str">
        <x:f>IF(AND(C864="Нулевой остаток",I864="Есть цена"),G864,"")</x:f>
      </x:c>
      <x:c r="S864" s="14" t="str">
        <x:f>IF(AND(C864="Докупка",I864="Есть цена"),G864,"")</x:f>
      </x:c>
    </x:row>
    <x:row r="865" ht="21" customHeight="1">
      <x:c r="A865" s="2" t="n">
        <x:v>86</x:v>
      </x:c>
      <x:c r="B865" s="2" t="n">
        <x:v>3600</x:v>
      </x:c>
      <x:c r="C865" s="2" t="str">
        <x:f>'Покупки'!C93</x:f>
        <x:v>Докупка</x:v>
      </x:c>
      <x:c r="D865" s="9" t="n">
        <x:v>46281.60240740741</x:v>
      </x:c>
      <x:c r="E865" s="12"/>
      <x:c r="F865" s="12" t="n">
        <x:f>'Покупки'!H93</x:f>
        <x:v>0.16843258300962657</x:v>
      </x:c>
      <x:c r="G865" s="14" t="str">
        <x:f>IF(I865="Есть цена",IF(AND(ISNUMBER(E865),E865&gt;0,F865&gt;0),E865/F865-1,NA()),"")</x:f>
      </x:c>
      <x:c r="H865" s="14" t="str">
        <x:f>IF(AND(I865="Есть цена",I858="Есть цена"),IF(AND(E865&gt;0,E858&gt;0),E865/E858-1,NA()),"")</x:f>
      </x:c>
      <x:c r="I865" s="2" t="str">
        <x:v>RPC: данные не загружены</x:v>
      </x:c>
      <x:c r="J865" s="2"/>
      <x:c r="K865" s="9"/>
      <x:c r="L865" s="2"/>
      <x:c r="M865" s="2"/>
      <x:c r="N865" s="2"/>
      <x:c r="O865" s="2"/>
      <x:c r="P865" s="2" t="str">
        <x:v>not_cached:getSignaturesForAddress:history/4b6b57147840c012b1abb5db</x:v>
      </x:c>
      <x:c r="Q865" s="2" t="str"/>
      <x:c r="R865" s="14" t="str">
        <x:f>IF(AND(C865="Нулевой остаток",I865="Есть цена"),G865,"")</x:f>
      </x:c>
      <x:c r="S865" s="14" t="str">
        <x:f>IF(AND(C865="Докупка",I865="Есть цена"),G865,"")</x:f>
      </x:c>
    </x:row>
    <x:row r="866" ht="21" customHeight="1">
      <x:c r="A866" s="2" t="n">
        <x:v>86</x:v>
      </x:c>
      <x:c r="B866" s="2" t="n">
        <x:v>21600</x:v>
      </x:c>
      <x:c r="C866" s="2" t="str">
        <x:f>'Покупки'!C93</x:f>
        <x:v>Докупка</x:v>
      </x:c>
      <x:c r="D866" s="9" t="n">
        <x:v>46281.810740740744</x:v>
      </x:c>
      <x:c r="E866" s="12"/>
      <x:c r="F866" s="12" t="n">
        <x:f>'Покупки'!H93</x:f>
        <x:v>0.16843258300962657</x:v>
      </x:c>
      <x:c r="G866" s="14" t="str">
        <x:f>IF(I866="Есть цена",IF(AND(ISNUMBER(E866),E866&gt;0,F866&gt;0),E866/F866-1,NA()),"")</x:f>
      </x:c>
      <x:c r="H866" s="14" t="str">
        <x:f>IF(AND(I866="Есть цена",I858="Есть цена"),IF(AND(E866&gt;0,E858&gt;0),E866/E858-1,NA()),"")</x:f>
      </x:c>
      <x:c r="I866" s="2" t="str">
        <x:v>RPC: данные не загружены</x:v>
      </x:c>
      <x:c r="J866" s="2"/>
      <x:c r="K866" s="9"/>
      <x:c r="L866" s="2"/>
      <x:c r="M866" s="2"/>
      <x:c r="N866" s="2"/>
      <x:c r="O866" s="2"/>
      <x:c r="P866" s="2" t="str">
        <x:v>not_cached:getSignaturesForAddress:history/3215908738677ecdd4dee55d</x:v>
      </x:c>
      <x:c r="Q866" s="2" t="str"/>
      <x:c r="R866" s="14" t="str">
        <x:f>IF(AND(C866="Нулевой остаток",I866="Есть цена"),G866,"")</x:f>
      </x:c>
      <x:c r="S866" s="14" t="str">
        <x:f>IF(AND(C866="Докупка",I866="Есть цена"),G866,"")</x:f>
      </x:c>
    </x:row>
    <x:row r="867" ht="21" customHeight="1">
      <x:c r="A867" s="2" t="n">
        <x:v>86</x:v>
      </x:c>
      <x:c r="B867" s="2" t="n">
        <x:v>86400</x:v>
      </x:c>
      <x:c r="C867" s="2" t="str">
        <x:f>'Покупки'!C93</x:f>
        <x:v>Докупка</x:v>
      </x:c>
      <x:c r="D867" s="9" t="n">
        <x:v>46282.560740740744</x:v>
      </x:c>
      <x:c r="E867" s="12"/>
      <x:c r="F867" s="12" t="n">
        <x:f>'Покупки'!H93</x:f>
        <x:v>0.16843258300962657</x:v>
      </x:c>
      <x:c r="G867" s="14" t="str">
        <x:f>IF(I867="Есть цена",IF(AND(ISNUMBER(E867),E867&gt;0,F867&gt;0),E867/F867-1,NA()),"")</x:f>
      </x:c>
      <x:c r="H867" s="14" t="str">
        <x:f>IF(AND(I867="Есть цена",I858="Есть цена"),IF(AND(E867&gt;0,E858&gt;0),E867/E858-1,NA()),"")</x:f>
      </x:c>
      <x:c r="I867" s="2" t="str">
        <x:v>RPC: данные не загружены</x:v>
      </x:c>
      <x:c r="J867" s="2"/>
      <x:c r="K867" s="9"/>
      <x:c r="L867" s="2"/>
      <x:c r="M867" s="2"/>
      <x:c r="N867" s="2"/>
      <x:c r="O867" s="2"/>
      <x:c r="P867" s="2" t="str">
        <x:v>not_cached:getSignaturesForAddress:history/5022e1a2c126beb8d16df562</x:v>
      </x:c>
      <x:c r="Q867" s="2" t="str"/>
      <x:c r="R867" s="14" t="str">
        <x:f>IF(AND(C867="Нулевой остаток",I867="Есть цена"),G867,"")</x:f>
      </x:c>
      <x:c r="S867" s="14" t="str">
        <x:f>IF(AND(C867="Докупка",I867="Есть цена"),G867,"")</x:f>
      </x:c>
    </x:row>
    <x:row r="868" ht="21" customHeight="1">
      <x:c r="A868" s="2" t="n">
        <x:v>87</x:v>
      </x:c>
      <x:c r="B868" s="2" t="n">
        <x:v>5</x:v>
      </x:c>
      <x:c r="C868" s="2" t="str">
        <x:f>'Покупки'!C94</x:f>
        <x:v>Докупка</x:v>
      </x:c>
      <x:c r="D868" s="9" t="n">
        <x:v>46281.464525462965</x:v>
      </x:c>
      <x:c r="E868" s="12"/>
      <x:c r="F868" s="12" t="n">
        <x:f>'Покупки'!H94</x:f>
        <x:v>0.0028161622695806877</x:v>
      </x:c>
      <x:c r="G868" s="14" t="str">
        <x:f>IF(I868="Есть цена",IF(AND(ISNUMBER(E868),E868&gt;0,F868&gt;0),E868/F868-1,NA()),"")</x:f>
      </x:c>
      <x:c r="H868" s="14" t="str">
        <x:f>IF(AND(I868="Есть цена",I868="Есть цена"),IF(AND(E868&gt;0,E868&gt;0),E868/E868-1,NA()),"")</x:f>
      </x:c>
      <x:c r="I868" s="2" t="str">
        <x:v>RPC: данные не загружены</x:v>
      </x:c>
      <x:c r="J868" s="2"/>
      <x:c r="K868" s="9"/>
      <x:c r="L868" s="2"/>
      <x:c r="M868" s="2"/>
      <x:c r="N868" s="2"/>
      <x:c r="O868" s="2"/>
      <x:c r="P868" s="2" t="str">
        <x:v>not_cached:getSignaturesForAddress:history/80b269bffe4e81ea1789b3b0</x:v>
      </x:c>
      <x:c r="Q868" s="2" t="str"/>
      <x:c r="R868" s="14" t="str">
        <x:f>IF(AND(C868="Нулевой остаток",I868="Есть цена"),G868,"")</x:f>
      </x:c>
      <x:c r="S868" s="14" t="str">
        <x:f>IF(AND(C868="Докупка",I868="Есть цена"),G868,"")</x:f>
      </x:c>
    </x:row>
    <x:row r="869" ht="21" customHeight="1">
      <x:c r="A869" s="2" t="n">
        <x:v>87</x:v>
      </x:c>
      <x:c r="B869" s="2" t="n">
        <x:v>15</x:v>
      </x:c>
      <x:c r="C869" s="2" t="str">
        <x:f>'Покупки'!C94</x:f>
        <x:v>Докупка</x:v>
      </x:c>
      <x:c r="D869" s="9" t="n">
        <x:v>46281.464641203704</x:v>
      </x:c>
      <x:c r="E869" s="12"/>
      <x:c r="F869" s="12" t="n">
        <x:f>'Покупки'!H94</x:f>
        <x:v>0.0028161622695806877</x:v>
      </x:c>
      <x:c r="G869" s="14" t="str">
        <x:f>IF(I869="Есть цена",IF(AND(ISNUMBER(E869),E869&gt;0,F869&gt;0),E869/F869-1,NA()),"")</x:f>
      </x:c>
      <x:c r="H869" s="14" t="str">
        <x:f>IF(AND(I869="Есть цена",I868="Есть цена"),IF(AND(E869&gt;0,E868&gt;0),E869/E868-1,NA()),"")</x:f>
      </x:c>
      <x:c r="I869" s="2" t="str">
        <x:v>RPC: данные не загружены</x:v>
      </x:c>
      <x:c r="J869" s="2"/>
      <x:c r="K869" s="9"/>
      <x:c r="L869" s="2"/>
      <x:c r="M869" s="2"/>
      <x:c r="N869" s="2"/>
      <x:c r="O869" s="2"/>
      <x:c r="P869" s="2" t="str">
        <x:v>not_cached:getSignaturesForAddress:history/80b269bffe4e81ea1789b3b0</x:v>
      </x:c>
      <x:c r="Q869" s="2" t="str"/>
      <x:c r="R869" s="14" t="str">
        <x:f>IF(AND(C869="Нулевой остаток",I869="Есть цена"),G869,"")</x:f>
      </x:c>
      <x:c r="S869" s="14" t="str">
        <x:f>IF(AND(C869="Докупка",I869="Есть цена"),G869,"")</x:f>
      </x:c>
    </x:row>
    <x:row r="870" ht="21" customHeight="1">
      <x:c r="A870" s="2" t="n">
        <x:v>87</x:v>
      </x:c>
      <x:c r="B870" s="2" t="n">
        <x:v>30</x:v>
      </x:c>
      <x:c r="C870" s="2" t="str">
        <x:f>'Покупки'!C94</x:f>
        <x:v>Докупка</x:v>
      </x:c>
      <x:c r="D870" s="9" t="n">
        <x:v>46281.46481481481</x:v>
      </x:c>
      <x:c r="E870" s="12"/>
      <x:c r="F870" s="12" t="n">
        <x:f>'Покупки'!H94</x:f>
        <x:v>0.0028161622695806877</x:v>
      </x:c>
      <x:c r="G870" s="14" t="str">
        <x:f>IF(I870="Есть цена",IF(AND(ISNUMBER(E870),E870&gt;0,F870&gt;0),E870/F870-1,NA()),"")</x:f>
      </x:c>
      <x:c r="H870" s="14" t="str">
        <x:f>IF(AND(I870="Есть цена",I868="Есть цена"),IF(AND(E870&gt;0,E868&gt;0),E870/E868-1,NA()),"")</x:f>
      </x:c>
      <x:c r="I870" s="2" t="str">
        <x:v>RPC: данные не загружены</x:v>
      </x:c>
      <x:c r="J870" s="2"/>
      <x:c r="K870" s="9"/>
      <x:c r="L870" s="2"/>
      <x:c r="M870" s="2"/>
      <x:c r="N870" s="2"/>
      <x:c r="O870" s="2"/>
      <x:c r="P870" s="2" t="str">
        <x:v>not_cached:getSignaturesForAddress:history/80b269bffe4e81ea1789b3b0</x:v>
      </x:c>
      <x:c r="Q870" s="2" t="str"/>
      <x:c r="R870" s="14" t="str">
        <x:f>IF(AND(C870="Нулевой остаток",I870="Есть цена"),G870,"")</x:f>
      </x:c>
      <x:c r="S870" s="14" t="str">
        <x:f>IF(AND(C870="Докупка",I870="Есть цена"),G870,"")</x:f>
      </x:c>
    </x:row>
    <x:row r="871" ht="21" customHeight="1">
      <x:c r="A871" s="2" t="n">
        <x:v>87</x:v>
      </x:c>
      <x:c r="B871" s="2" t="n">
        <x:v>60</x:v>
      </x:c>
      <x:c r="C871" s="2" t="str">
        <x:f>'Покупки'!C94</x:f>
        <x:v>Докупка</x:v>
      </x:c>
      <x:c r="D871" s="9" t="n">
        <x:v>46281.465162037035</x:v>
      </x:c>
      <x:c r="E871" s="12"/>
      <x:c r="F871" s="12" t="n">
        <x:f>'Покупки'!H94</x:f>
        <x:v>0.0028161622695806877</x:v>
      </x:c>
      <x:c r="G871" s="14" t="str">
        <x:f>IF(I871="Есть цена",IF(AND(ISNUMBER(E871),E871&gt;0,F871&gt;0),E871/F871-1,NA()),"")</x:f>
      </x:c>
      <x:c r="H871" s="14" t="str">
        <x:f>IF(AND(I871="Есть цена",I868="Есть цена"),IF(AND(E871&gt;0,E868&gt;0),E871/E868-1,NA()),"")</x:f>
      </x:c>
      <x:c r="I871" s="2" t="str">
        <x:v>RPC: данные не загружены</x:v>
      </x:c>
      <x:c r="J871" s="2"/>
      <x:c r="K871" s="9"/>
      <x:c r="L871" s="2"/>
      <x:c r="M871" s="2"/>
      <x:c r="N871" s="2"/>
      <x:c r="O871" s="2"/>
      <x:c r="P871" s="2" t="str">
        <x:v>not_cached:getSignaturesForAddress:history/80b269bffe4e81ea1789b3b0</x:v>
      </x:c>
      <x:c r="Q871" s="2" t="str"/>
      <x:c r="R871" s="14" t="str">
        <x:f>IF(AND(C871="Нулевой остаток",I871="Есть цена"),G871,"")</x:f>
      </x:c>
      <x:c r="S871" s="14" t="str">
        <x:f>IF(AND(C871="Докупка",I871="Есть цена"),G871,"")</x:f>
      </x:c>
    </x:row>
    <x:row r="872" ht="21" customHeight="1">
      <x:c r="A872" s="2" t="n">
        <x:v>87</x:v>
      </x:c>
      <x:c r="B872" s="2" t="n">
        <x:v>180</x:v>
      </x:c>
      <x:c r="C872" s="2" t="str">
        <x:f>'Покупки'!C94</x:f>
        <x:v>Докупка</x:v>
      </x:c>
      <x:c r="D872" s="9" t="n">
        <x:v>46281.46655092593</x:v>
      </x:c>
      <x:c r="E872" s="12"/>
      <x:c r="F872" s="12" t="n">
        <x:f>'Покупки'!H94</x:f>
        <x:v>0.0028161622695806877</x:v>
      </x:c>
      <x:c r="G872" s="14" t="str">
        <x:f>IF(I872="Есть цена",IF(AND(ISNUMBER(E872),E872&gt;0,F872&gt;0),E872/F872-1,NA()),"")</x:f>
      </x:c>
      <x:c r="H872" s="14" t="str">
        <x:f>IF(AND(I872="Есть цена",I868="Есть цена"),IF(AND(E872&gt;0,E868&gt;0),E872/E868-1,NA()),"")</x:f>
      </x:c>
      <x:c r="I872" s="2" t="str">
        <x:v>RPC: данные не загружены</x:v>
      </x:c>
      <x:c r="J872" s="2"/>
      <x:c r="K872" s="9"/>
      <x:c r="L872" s="2"/>
      <x:c r="M872" s="2"/>
      <x:c r="N872" s="2"/>
      <x:c r="O872" s="2"/>
      <x:c r="P872" s="2" t="str">
        <x:v>not_cached:getSignaturesForAddress:history/80b269bffe4e81ea1789b3b0</x:v>
      </x:c>
      <x:c r="Q872" s="2" t="str"/>
      <x:c r="R872" s="14" t="str">
        <x:f>IF(AND(C872="Нулевой остаток",I872="Есть цена"),G872,"")</x:f>
      </x:c>
      <x:c r="S872" s="14" t="str">
        <x:f>IF(AND(C872="Докупка",I872="Есть цена"),G872,"")</x:f>
      </x:c>
    </x:row>
    <x:row r="873" ht="21" customHeight="1">
      <x:c r="A873" s="2" t="n">
        <x:v>87</x:v>
      </x:c>
      <x:c r="B873" s="2" t="n">
        <x:v>300</x:v>
      </x:c>
      <x:c r="C873" s="2" t="str">
        <x:f>'Покупки'!C94</x:f>
        <x:v>Докупка</x:v>
      </x:c>
      <x:c r="D873" s="9" t="n">
        <x:v>46281.467939814815</x:v>
      </x:c>
      <x:c r="E873" s="12"/>
      <x:c r="F873" s="12" t="n">
        <x:f>'Покупки'!H94</x:f>
        <x:v>0.0028161622695806877</x:v>
      </x:c>
      <x:c r="G873" s="14" t="str">
        <x:f>IF(I873="Есть цена",IF(AND(ISNUMBER(E873),E873&gt;0,F873&gt;0),E873/F873-1,NA()),"")</x:f>
      </x:c>
      <x:c r="H873" s="14" t="str">
        <x:f>IF(AND(I873="Есть цена",I868="Есть цена"),IF(AND(E873&gt;0,E868&gt;0),E873/E868-1,NA()),"")</x:f>
      </x:c>
      <x:c r="I873" s="2" t="str">
        <x:v>RPC: данные не загружены</x:v>
      </x:c>
      <x:c r="J873" s="2"/>
      <x:c r="K873" s="9"/>
      <x:c r="L873" s="2"/>
      <x:c r="M873" s="2"/>
      <x:c r="N873" s="2"/>
      <x:c r="O873" s="2"/>
      <x:c r="P873" s="2" t="str">
        <x:v>not_cached:getSignaturesForAddress:history/80b269bffe4e81ea1789b3b0</x:v>
      </x:c>
      <x:c r="Q873" s="2" t="str"/>
      <x:c r="R873" s="14" t="str">
        <x:f>IF(AND(C873="Нулевой остаток",I873="Есть цена"),G873,"")</x:f>
      </x:c>
      <x:c r="S873" s="14" t="str">
        <x:f>IF(AND(C873="Докупка",I873="Есть цена"),G873,"")</x:f>
      </x:c>
    </x:row>
    <x:row r="874" ht="21" customHeight="1">
      <x:c r="A874" s="2" t="n">
        <x:v>87</x:v>
      </x:c>
      <x:c r="B874" s="2" t="n">
        <x:v>900</x:v>
      </x:c>
      <x:c r="C874" s="2" t="str">
        <x:f>'Покупки'!C94</x:f>
        <x:v>Докупка</x:v>
      </x:c>
      <x:c r="D874" s="9" t="n">
        <x:v>46281.47488425926</x:v>
      </x:c>
      <x:c r="E874" s="12"/>
      <x:c r="F874" s="12" t="n">
        <x:f>'Покупки'!H94</x:f>
        <x:v>0.0028161622695806877</x:v>
      </x:c>
      <x:c r="G874" s="14" t="str">
        <x:f>IF(I874="Есть цена",IF(AND(ISNUMBER(E874),E874&gt;0,F874&gt;0),E874/F874-1,NA()),"")</x:f>
      </x:c>
      <x:c r="H874" s="14" t="str">
        <x:f>IF(AND(I874="Есть цена",I868="Есть цена"),IF(AND(E874&gt;0,E868&gt;0),E874/E868-1,NA()),"")</x:f>
      </x:c>
      <x:c r="I874" s="2" t="str">
        <x:v>RPC: данные не загружены</x:v>
      </x:c>
      <x:c r="J874" s="2"/>
      <x:c r="K874" s="9"/>
      <x:c r="L874" s="2"/>
      <x:c r="M874" s="2"/>
      <x:c r="N874" s="2"/>
      <x:c r="O874" s="2"/>
      <x:c r="P874" s="2" t="str">
        <x:v>not_cached:getSignaturesForAddress:history/97807fe49c7985a87d469153</x:v>
      </x:c>
      <x:c r="Q874" s="2" t="str"/>
      <x:c r="R874" s="14" t="str">
        <x:f>IF(AND(C874="Нулевой остаток",I874="Есть цена"),G874,"")</x:f>
      </x:c>
      <x:c r="S874" s="14" t="str">
        <x:f>IF(AND(C874="Докупка",I874="Есть цена"),G874,"")</x:f>
      </x:c>
    </x:row>
    <x:row r="875" ht="21" customHeight="1">
      <x:c r="A875" s="2" t="n">
        <x:v>87</x:v>
      </x:c>
      <x:c r="B875" s="2" t="n">
        <x:v>3600</x:v>
      </x:c>
      <x:c r="C875" s="2" t="str">
        <x:f>'Покупки'!C94</x:f>
        <x:v>Докупка</x:v>
      </x:c>
      <x:c r="D875" s="9" t="n">
        <x:v>46281.50613425926</x:v>
      </x:c>
      <x:c r="E875" s="12"/>
      <x:c r="F875" s="12" t="n">
        <x:f>'Покупки'!H94</x:f>
        <x:v>0.0028161622695806877</x:v>
      </x:c>
      <x:c r="G875" s="14" t="str">
        <x:f>IF(I875="Есть цена",IF(AND(ISNUMBER(E875),E875&gt;0,F875&gt;0),E875/F875-1,NA()),"")</x:f>
      </x:c>
      <x:c r="H875" s="14" t="str">
        <x:f>IF(AND(I875="Есть цена",I868="Есть цена"),IF(AND(E875&gt;0,E868&gt;0),E875/E868-1,NA()),"")</x:f>
      </x:c>
      <x:c r="I875" s="2" t="str">
        <x:v>RPC: данные не загружены</x:v>
      </x:c>
      <x:c r="J875" s="2"/>
      <x:c r="K875" s="9"/>
      <x:c r="L875" s="2"/>
      <x:c r="M875" s="2"/>
      <x:c r="N875" s="2"/>
      <x:c r="O875" s="2"/>
      <x:c r="P875" s="2" t="str">
        <x:v>not_cached:getSignaturesForAddress:history/5cf0a4d87e57f86558201c1c</x:v>
      </x:c>
      <x:c r="Q875" s="2" t="str"/>
      <x:c r="R875" s="14" t="str">
        <x:f>IF(AND(C875="Нулевой остаток",I875="Есть цена"),G875,"")</x:f>
      </x:c>
      <x:c r="S875" s="14" t="str">
        <x:f>IF(AND(C875="Докупка",I875="Есть цена"),G875,"")</x:f>
      </x:c>
    </x:row>
    <x:row r="876" ht="21" customHeight="1">
      <x:c r="A876" s="2" t="n">
        <x:v>87</x:v>
      </x:c>
      <x:c r="B876" s="2" t="n">
        <x:v>21600</x:v>
      </x:c>
      <x:c r="C876" s="2" t="str">
        <x:f>'Покупки'!C94</x:f>
        <x:v>Докупка</x:v>
      </x:c>
      <x:c r="D876" s="9" t="n">
        <x:v>46281.714467592596</x:v>
      </x:c>
      <x:c r="E876" s="12"/>
      <x:c r="F876" s="12" t="n">
        <x:f>'Покупки'!H94</x:f>
        <x:v>0.0028161622695806877</x:v>
      </x:c>
      <x:c r="G876" s="14" t="str">
        <x:f>IF(I876="Есть цена",IF(AND(ISNUMBER(E876),E876&gt;0,F876&gt;0),E876/F876-1,NA()),"")</x:f>
      </x:c>
      <x:c r="H876" s="14" t="str">
        <x:f>IF(AND(I876="Есть цена",I868="Есть цена"),IF(AND(E876&gt;0,E868&gt;0),E876/E868-1,NA()),"")</x:f>
      </x:c>
      <x:c r="I876" s="2" t="str">
        <x:v>RPC: данные не загружены</x:v>
      </x:c>
      <x:c r="J876" s="2"/>
      <x:c r="K876" s="9"/>
      <x:c r="L876" s="2"/>
      <x:c r="M876" s="2"/>
      <x:c r="N876" s="2"/>
      <x:c r="O876" s="2"/>
      <x:c r="P876" s="2" t="str">
        <x:v>not_cached:getSignaturesForAddress:history/7e2e43d89d78dd6eaf813d4a</x:v>
      </x:c>
      <x:c r="Q876" s="2" t="str"/>
      <x:c r="R876" s="14" t="str">
        <x:f>IF(AND(C876="Нулевой остаток",I876="Есть цена"),G876,"")</x:f>
      </x:c>
      <x:c r="S876" s="14" t="str">
        <x:f>IF(AND(C876="Докупка",I876="Есть цена"),G876,"")</x:f>
      </x:c>
    </x:row>
    <x:row r="877" ht="21" customHeight="1">
      <x:c r="A877" s="2" t="n">
        <x:v>87</x:v>
      </x:c>
      <x:c r="B877" s="2" t="n">
        <x:v>86400</x:v>
      </x:c>
      <x:c r="C877" s="2" t="str">
        <x:f>'Покупки'!C94</x:f>
        <x:v>Докупка</x:v>
      </x:c>
      <x:c r="D877" s="9" t="n">
        <x:v>46282.464467592596</x:v>
      </x:c>
      <x:c r="E877" s="12"/>
      <x:c r="F877" s="12" t="n">
        <x:f>'Покупки'!H94</x:f>
        <x:v>0.0028161622695806877</x:v>
      </x:c>
      <x:c r="G877" s="14" t="str">
        <x:f>IF(I877="Есть цена",IF(AND(ISNUMBER(E877),E877&gt;0,F877&gt;0),E877/F877-1,NA()),"")</x:f>
      </x:c>
      <x:c r="H877" s="14" t="str">
        <x:f>IF(AND(I877="Есть цена",I868="Есть цена"),IF(AND(E877&gt;0,E868&gt;0),E877/E868-1,NA()),"")</x:f>
      </x:c>
      <x:c r="I877" s="2" t="str">
        <x:v>RPC: данные не загружены</x:v>
      </x:c>
      <x:c r="J877" s="2"/>
      <x:c r="K877" s="9"/>
      <x:c r="L877" s="2"/>
      <x:c r="M877" s="2"/>
      <x:c r="N877" s="2"/>
      <x:c r="O877" s="2"/>
      <x:c r="P877" s="2" t="str">
        <x:v>not_cached:getSignaturesForAddress:history/23acb560e0925a743ecfaea0</x:v>
      </x:c>
      <x:c r="Q877" s="2" t="str"/>
      <x:c r="R877" s="14" t="str">
        <x:f>IF(AND(C877="Нулевой остаток",I877="Есть цена"),G877,"")</x:f>
      </x:c>
      <x:c r="S877" s="14" t="str">
        <x:f>IF(AND(C877="Докупка",I877="Есть цена"),G877,"")</x:f>
      </x:c>
    </x:row>
    <x:row r="878" ht="21" customHeight="1">
      <x:c r="A878" s="2" t="n">
        <x:v>88</x:v>
      </x:c>
      <x:c r="B878" s="2" t="n">
        <x:v>5</x:v>
      </x:c>
      <x:c r="C878" s="2" t="str">
        <x:f>'Покупки'!C95</x:f>
        <x:v>Докупка</x:v>
      </x:c>
      <x:c r="D878" s="9" t="n">
        <x:v>46281.464270833334</x:v>
      </x:c>
      <x:c r="E878" s="12"/>
      <x:c r="F878" s="12" t="n">
        <x:f>'Покупки'!H95</x:f>
        <x:v>0.17150857802937913</x:v>
      </x:c>
      <x:c r="G878" s="14" t="str">
        <x:f>IF(I878="Есть цена",IF(AND(ISNUMBER(E878),E878&gt;0,F878&gt;0),E878/F878-1,NA()),"")</x:f>
      </x:c>
      <x:c r="H878" s="14" t="str">
        <x:f>IF(AND(I878="Есть цена",I878="Есть цена"),IF(AND(E878&gt;0,E878&gt;0),E878/E878-1,NA()),"")</x:f>
      </x:c>
      <x:c r="I878" s="2" t="str">
        <x:v>GatorSwap: нет модели цены</x:v>
      </x:c>
      <x:c r="J878" s="2"/>
      <x:c r="K878" s="9"/>
      <x:c r="L878" s="2"/>
      <x:c r="M878" s="2"/>
      <x:c r="N878" s="2"/>
      <x:c r="O878" s="2"/>
      <x:c r="P878" s="2" t="str">
        <x:v>route_decoder_missing</x:v>
      </x:c>
      <x:c r="Q878" s="2" t="str"/>
      <x:c r="R878" s="14" t="str">
        <x:f>IF(AND(C878="Нулевой остаток",I878="Есть цена"),G878,"")</x:f>
      </x:c>
      <x:c r="S878" s="14" t="str">
        <x:f>IF(AND(C878="Докупка",I878="Есть цена"),G878,"")</x:f>
      </x:c>
    </x:row>
    <x:row r="879" ht="21" customHeight="1">
      <x:c r="A879" s="2" t="n">
        <x:v>88</x:v>
      </x:c>
      <x:c r="B879" s="2" t="n">
        <x:v>15</x:v>
      </x:c>
      <x:c r="C879" s="2" t="str">
        <x:f>'Покупки'!C95</x:f>
        <x:v>Докупка</x:v>
      </x:c>
      <x:c r="D879" s="9" t="n">
        <x:v>46281.46438657407</x:v>
      </x:c>
      <x:c r="E879" s="12"/>
      <x:c r="F879" s="12" t="n">
        <x:f>'Покупки'!H95</x:f>
        <x:v>0.17150857802937913</x:v>
      </x:c>
      <x:c r="G879" s="14" t="str">
        <x:f>IF(I879="Есть цена",IF(AND(ISNUMBER(E879),E879&gt;0,F879&gt;0),E879/F879-1,NA()),"")</x:f>
      </x:c>
      <x:c r="H879" s="14" t="str">
        <x:f>IF(AND(I879="Есть цена",I878="Есть цена"),IF(AND(E879&gt;0,E878&gt;0),E879/E878-1,NA()),"")</x:f>
      </x:c>
      <x:c r="I879" s="2" t="str">
        <x:v>GatorSwap: нет модели цены</x:v>
      </x:c>
      <x:c r="J879" s="2"/>
      <x:c r="K879" s="9"/>
      <x:c r="L879" s="2"/>
      <x:c r="M879" s="2"/>
      <x:c r="N879" s="2"/>
      <x:c r="O879" s="2"/>
      <x:c r="P879" s="2" t="str">
        <x:v>route_decoder_missing</x:v>
      </x:c>
      <x:c r="Q879" s="2" t="str"/>
      <x:c r="R879" s="14" t="str">
        <x:f>IF(AND(C879="Нулевой остаток",I879="Есть цена"),G879,"")</x:f>
      </x:c>
      <x:c r="S879" s="14" t="str">
        <x:f>IF(AND(C879="Докупка",I879="Есть цена"),G879,"")</x:f>
      </x:c>
    </x:row>
    <x:row r="880" ht="21" customHeight="1">
      <x:c r="A880" s="2" t="n">
        <x:v>88</x:v>
      </x:c>
      <x:c r="B880" s="2" t="n">
        <x:v>30</x:v>
      </x:c>
      <x:c r="C880" s="2" t="str">
        <x:f>'Покупки'!C95</x:f>
        <x:v>Докупка</x:v>
      </x:c>
      <x:c r="D880" s="9" t="n">
        <x:v>46281.46456018519</x:v>
      </x:c>
      <x:c r="E880" s="12"/>
      <x:c r="F880" s="12" t="n">
        <x:f>'Покупки'!H95</x:f>
        <x:v>0.17150857802937913</x:v>
      </x:c>
      <x:c r="G880" s="14" t="str">
        <x:f>IF(I880="Есть цена",IF(AND(ISNUMBER(E880),E880&gt;0,F880&gt;0),E880/F880-1,NA()),"")</x:f>
      </x:c>
      <x:c r="H880" s="14" t="str">
        <x:f>IF(AND(I880="Есть цена",I878="Есть цена"),IF(AND(E880&gt;0,E878&gt;0),E880/E878-1,NA()),"")</x:f>
      </x:c>
      <x:c r="I880" s="2" t="str">
        <x:v>GatorSwap: нет модели цены</x:v>
      </x:c>
      <x:c r="J880" s="2"/>
      <x:c r="K880" s="9"/>
      <x:c r="L880" s="2"/>
      <x:c r="M880" s="2"/>
      <x:c r="N880" s="2"/>
      <x:c r="O880" s="2"/>
      <x:c r="P880" s="2" t="str">
        <x:v>route_decoder_missing</x:v>
      </x:c>
      <x:c r="Q880" s="2" t="str"/>
      <x:c r="R880" s="14" t="str">
        <x:f>IF(AND(C880="Нулевой остаток",I880="Есть цена"),G880,"")</x:f>
      </x:c>
      <x:c r="S880" s="14" t="str">
        <x:f>IF(AND(C880="Докупка",I880="Есть цена"),G880,"")</x:f>
      </x:c>
    </x:row>
    <x:row r="881" ht="21" customHeight="1">
      <x:c r="A881" s="2" t="n">
        <x:v>88</x:v>
      </x:c>
      <x:c r="B881" s="2" t="n">
        <x:v>60</x:v>
      </x:c>
      <x:c r="C881" s="2" t="str">
        <x:f>'Покупки'!C95</x:f>
        <x:v>Докупка</x:v>
      </x:c>
      <x:c r="D881" s="9" t="n">
        <x:v>46281.464907407404</x:v>
      </x:c>
      <x:c r="E881" s="12"/>
      <x:c r="F881" s="12" t="n">
        <x:f>'Покупки'!H95</x:f>
        <x:v>0.17150857802937913</x:v>
      </x:c>
      <x:c r="G881" s="14" t="str">
        <x:f>IF(I881="Есть цена",IF(AND(ISNUMBER(E881),E881&gt;0,F881&gt;0),E881/F881-1,NA()),"")</x:f>
      </x:c>
      <x:c r="H881" s="14" t="str">
        <x:f>IF(AND(I881="Есть цена",I878="Есть цена"),IF(AND(E881&gt;0,E878&gt;0),E881/E878-1,NA()),"")</x:f>
      </x:c>
      <x:c r="I881" s="2" t="str">
        <x:v>GatorSwap: нет модели цены</x:v>
      </x:c>
      <x:c r="J881" s="2"/>
      <x:c r="K881" s="9"/>
      <x:c r="L881" s="2"/>
      <x:c r="M881" s="2"/>
      <x:c r="N881" s="2"/>
      <x:c r="O881" s="2"/>
      <x:c r="P881" s="2" t="str">
        <x:v>route_decoder_missing</x:v>
      </x:c>
      <x:c r="Q881" s="2" t="str"/>
      <x:c r="R881" s="14" t="str">
        <x:f>IF(AND(C881="Нулевой остаток",I881="Есть цена"),G881,"")</x:f>
      </x:c>
      <x:c r="S881" s="14" t="str">
        <x:f>IF(AND(C881="Докупка",I881="Есть цена"),G881,"")</x:f>
      </x:c>
    </x:row>
    <x:row r="882" ht="21" customHeight="1">
      <x:c r="A882" s="2" t="n">
        <x:v>88</x:v>
      </x:c>
      <x:c r="B882" s="2" t="n">
        <x:v>180</x:v>
      </x:c>
      <x:c r="C882" s="2" t="str">
        <x:f>'Покупки'!C95</x:f>
        <x:v>Докупка</x:v>
      </x:c>
      <x:c r="D882" s="9" t="n">
        <x:v>46281.4662962963</x:v>
      </x:c>
      <x:c r="E882" s="12"/>
      <x:c r="F882" s="12" t="n">
        <x:f>'Покупки'!H95</x:f>
        <x:v>0.17150857802937913</x:v>
      </x:c>
      <x:c r="G882" s="14" t="str">
        <x:f>IF(I882="Есть цена",IF(AND(ISNUMBER(E882),E882&gt;0,F882&gt;0),E882/F882-1,NA()),"")</x:f>
      </x:c>
      <x:c r="H882" s="14" t="str">
        <x:f>IF(AND(I882="Есть цена",I878="Есть цена"),IF(AND(E882&gt;0,E878&gt;0),E882/E878-1,NA()),"")</x:f>
      </x:c>
      <x:c r="I882" s="2" t="str">
        <x:v>GatorSwap: нет модели цены</x:v>
      </x:c>
      <x:c r="J882" s="2"/>
      <x:c r="K882" s="9"/>
      <x:c r="L882" s="2"/>
      <x:c r="M882" s="2"/>
      <x:c r="N882" s="2"/>
      <x:c r="O882" s="2"/>
      <x:c r="P882" s="2" t="str">
        <x:v>route_decoder_missing</x:v>
      </x:c>
      <x:c r="Q882" s="2" t="str"/>
      <x:c r="R882" s="14" t="str">
        <x:f>IF(AND(C882="Нулевой остаток",I882="Есть цена"),G882,"")</x:f>
      </x:c>
      <x:c r="S882" s="14" t="str">
        <x:f>IF(AND(C882="Докупка",I882="Есть цена"),G882,"")</x:f>
      </x:c>
    </x:row>
    <x:row r="883" ht="21" customHeight="1">
      <x:c r="A883" s="2" t="n">
        <x:v>88</x:v>
      </x:c>
      <x:c r="B883" s="2" t="n">
        <x:v>300</x:v>
      </x:c>
      <x:c r="C883" s="2" t="str">
        <x:f>'Покупки'!C95</x:f>
        <x:v>Докупка</x:v>
      </x:c>
      <x:c r="D883" s="9" t="n">
        <x:v>46281.467685185184</x:v>
      </x:c>
      <x:c r="E883" s="12"/>
      <x:c r="F883" s="12" t="n">
        <x:f>'Покупки'!H95</x:f>
        <x:v>0.17150857802937913</x:v>
      </x:c>
      <x:c r="G883" s="14" t="str">
        <x:f>IF(I883="Есть цена",IF(AND(ISNUMBER(E883),E883&gt;0,F883&gt;0),E883/F883-1,NA()),"")</x:f>
      </x:c>
      <x:c r="H883" s="14" t="str">
        <x:f>IF(AND(I883="Есть цена",I878="Есть цена"),IF(AND(E883&gt;0,E878&gt;0),E883/E878-1,NA()),"")</x:f>
      </x:c>
      <x:c r="I883" s="2" t="str">
        <x:v>GatorSwap: нет модели цены</x:v>
      </x:c>
      <x:c r="J883" s="2"/>
      <x:c r="K883" s="9"/>
      <x:c r="L883" s="2"/>
      <x:c r="M883" s="2"/>
      <x:c r="N883" s="2"/>
      <x:c r="O883" s="2"/>
      <x:c r="P883" s="2" t="str">
        <x:v>route_decoder_missing</x:v>
      </x:c>
      <x:c r="Q883" s="2" t="str"/>
      <x:c r="R883" s="14" t="str">
        <x:f>IF(AND(C883="Нулевой остаток",I883="Есть цена"),G883,"")</x:f>
      </x:c>
      <x:c r="S883" s="14" t="str">
        <x:f>IF(AND(C883="Докупка",I883="Есть цена"),G883,"")</x:f>
      </x:c>
    </x:row>
    <x:row r="884" ht="21" customHeight="1">
      <x:c r="A884" s="2" t="n">
        <x:v>88</x:v>
      </x:c>
      <x:c r="B884" s="2" t="n">
        <x:v>900</x:v>
      </x:c>
      <x:c r="C884" s="2" t="str">
        <x:f>'Покупки'!C95</x:f>
        <x:v>Докупка</x:v>
      </x:c>
      <x:c r="D884" s="9" t="n">
        <x:v>46281.47462962963</x:v>
      </x:c>
      <x:c r="E884" s="12"/>
      <x:c r="F884" s="12" t="n">
        <x:f>'Покупки'!H95</x:f>
        <x:v>0.17150857802937913</x:v>
      </x:c>
      <x:c r="G884" s="14" t="str">
        <x:f>IF(I884="Есть цена",IF(AND(ISNUMBER(E884),E884&gt;0,F884&gt;0),E884/F884-1,NA()),"")</x:f>
      </x:c>
      <x:c r="H884" s="14" t="str">
        <x:f>IF(AND(I884="Есть цена",I878="Есть цена"),IF(AND(E884&gt;0,E878&gt;0),E884/E878-1,NA()),"")</x:f>
      </x:c>
      <x:c r="I884" s="2" t="str">
        <x:v>GatorSwap: нет модели цены</x:v>
      </x:c>
      <x:c r="J884" s="2"/>
      <x:c r="K884" s="9"/>
      <x:c r="L884" s="2"/>
      <x:c r="M884" s="2"/>
      <x:c r="N884" s="2"/>
      <x:c r="O884" s="2"/>
      <x:c r="P884" s="2" t="str">
        <x:v>route_decoder_missing</x:v>
      </x:c>
      <x:c r="Q884" s="2" t="str"/>
      <x:c r="R884" s="14" t="str">
        <x:f>IF(AND(C884="Нулевой остаток",I884="Есть цена"),G884,"")</x:f>
      </x:c>
      <x:c r="S884" s="14" t="str">
        <x:f>IF(AND(C884="Докупка",I884="Есть цена"),G884,"")</x:f>
      </x:c>
    </x:row>
    <x:row r="885" ht="21" customHeight="1">
      <x:c r="A885" s="2" t="n">
        <x:v>88</x:v>
      </x:c>
      <x:c r="B885" s="2" t="n">
        <x:v>3600</x:v>
      </x:c>
      <x:c r="C885" s="2" t="str">
        <x:f>'Покупки'!C95</x:f>
        <x:v>Докупка</x:v>
      </x:c>
      <x:c r="D885" s="9" t="n">
        <x:v>46281.50587962963</x:v>
      </x:c>
      <x:c r="E885" s="12"/>
      <x:c r="F885" s="12" t="n">
        <x:f>'Покупки'!H95</x:f>
        <x:v>0.17150857802937913</x:v>
      </x:c>
      <x:c r="G885" s="14" t="str">
        <x:f>IF(I885="Есть цена",IF(AND(ISNUMBER(E885),E885&gt;0,F885&gt;0),E885/F885-1,NA()),"")</x:f>
      </x:c>
      <x:c r="H885" s="14" t="str">
        <x:f>IF(AND(I885="Есть цена",I878="Есть цена"),IF(AND(E885&gt;0,E878&gt;0),E885/E878-1,NA()),"")</x:f>
      </x:c>
      <x:c r="I885" s="2" t="str">
        <x:v>GatorSwap: нет модели цены</x:v>
      </x:c>
      <x:c r="J885" s="2"/>
      <x:c r="K885" s="9"/>
      <x:c r="L885" s="2"/>
      <x:c r="M885" s="2"/>
      <x:c r="N885" s="2"/>
      <x:c r="O885" s="2"/>
      <x:c r="P885" s="2" t="str">
        <x:v>route_decoder_missing</x:v>
      </x:c>
      <x:c r="Q885" s="2" t="str"/>
      <x:c r="R885" s="14" t="str">
        <x:f>IF(AND(C885="Нулевой остаток",I885="Есть цена"),G885,"")</x:f>
      </x:c>
      <x:c r="S885" s="14" t="str">
        <x:f>IF(AND(C885="Докупка",I885="Есть цена"),G885,"")</x:f>
      </x:c>
    </x:row>
    <x:row r="886" ht="21" customHeight="1">
      <x:c r="A886" s="2" t="n">
        <x:v>88</x:v>
      </x:c>
      <x:c r="B886" s="2" t="n">
        <x:v>21600</x:v>
      </x:c>
      <x:c r="C886" s="2" t="str">
        <x:f>'Покупки'!C95</x:f>
        <x:v>Докупка</x:v>
      </x:c>
      <x:c r="D886" s="9" t="n">
        <x:v>46281.714212962965</x:v>
      </x:c>
      <x:c r="E886" s="12"/>
      <x:c r="F886" s="12" t="n">
        <x:f>'Покупки'!H95</x:f>
        <x:v>0.17150857802937913</x:v>
      </x:c>
      <x:c r="G886" s="14" t="str">
        <x:f>IF(I886="Есть цена",IF(AND(ISNUMBER(E886),E886&gt;0,F886&gt;0),E886/F886-1,NA()),"")</x:f>
      </x:c>
      <x:c r="H886" s="14" t="str">
        <x:f>IF(AND(I886="Есть цена",I878="Есть цена"),IF(AND(E886&gt;0,E878&gt;0),E886/E878-1,NA()),"")</x:f>
      </x:c>
      <x:c r="I886" s="2" t="str">
        <x:v>GatorSwap: нет модели цены</x:v>
      </x:c>
      <x:c r="J886" s="2"/>
      <x:c r="K886" s="9"/>
      <x:c r="L886" s="2"/>
      <x:c r="M886" s="2"/>
      <x:c r="N886" s="2"/>
      <x:c r="O886" s="2"/>
      <x:c r="P886" s="2" t="str">
        <x:v>route_decoder_missing</x:v>
      </x:c>
      <x:c r="Q886" s="2" t="str"/>
      <x:c r="R886" s="14" t="str">
        <x:f>IF(AND(C886="Нулевой остаток",I886="Есть цена"),G886,"")</x:f>
      </x:c>
      <x:c r="S886" s="14" t="str">
        <x:f>IF(AND(C886="Докупка",I886="Есть цена"),G886,"")</x:f>
      </x:c>
    </x:row>
    <x:row r="887" ht="21" customHeight="1">
      <x:c r="A887" s="2" t="n">
        <x:v>88</x:v>
      </x:c>
      <x:c r="B887" s="2" t="n">
        <x:v>86400</x:v>
      </x:c>
      <x:c r="C887" s="2" t="str">
        <x:f>'Покупки'!C95</x:f>
        <x:v>Докупка</x:v>
      </x:c>
      <x:c r="D887" s="9" t="n">
        <x:v>46282.464212962965</x:v>
      </x:c>
      <x:c r="E887" s="12"/>
      <x:c r="F887" s="12" t="n">
        <x:f>'Покупки'!H95</x:f>
        <x:v>0.17150857802937913</x:v>
      </x:c>
      <x:c r="G887" s="14" t="str">
        <x:f>IF(I887="Есть цена",IF(AND(ISNUMBER(E887),E887&gt;0,F887&gt;0),E887/F887-1,NA()),"")</x:f>
      </x:c>
      <x:c r="H887" s="14" t="str">
        <x:f>IF(AND(I887="Есть цена",I878="Есть цена"),IF(AND(E887&gt;0,E878&gt;0),E887/E878-1,NA()),"")</x:f>
      </x:c>
      <x:c r="I887" s="2" t="str">
        <x:v>GatorSwap: нет модели цены</x:v>
      </x:c>
      <x:c r="J887" s="2"/>
      <x:c r="K887" s="9"/>
      <x:c r="L887" s="2"/>
      <x:c r="M887" s="2"/>
      <x:c r="N887" s="2"/>
      <x:c r="O887" s="2"/>
      <x:c r="P887" s="2" t="str">
        <x:v>route_decoder_missing</x:v>
      </x:c>
      <x:c r="Q887" s="2" t="str"/>
      <x:c r="R887" s="14" t="str">
        <x:f>IF(AND(C887="Нулевой остаток",I887="Есть цена"),G887,"")</x:f>
      </x:c>
      <x:c r="S887" s="14" t="str">
        <x:f>IF(AND(C887="Докупка",I887="Есть цена"),G887,"")</x:f>
      </x:c>
    </x:row>
    <x:row r="888" ht="21" customHeight="1">
      <x:c r="A888" s="2" t="n">
        <x:v>89</x:v>
      </x:c>
      <x:c r="B888" s="2" t="n">
        <x:v>5</x:v>
      </x:c>
      <x:c r="C888" s="2" t="str">
        <x:f>'Покупки'!C96</x:f>
        <x:v>Докупка</x:v>
      </x:c>
      <x:c r="D888" s="9" t="n">
        <x:v>46281.19118055556</x:v>
      </x:c>
      <x:c r="E888" s="12"/>
      <x:c r="F888" s="12" t="n">
        <x:f>'Покупки'!H96</x:f>
        <x:v>0.15519989350860847</x:v>
      </x:c>
      <x:c r="G888" s="14" t="str">
        <x:f>IF(I888="Есть цена",IF(AND(ISNUMBER(E888),E888&gt;0,F888&gt;0),E888/F888-1,NA()),"")</x:f>
      </x:c>
      <x:c r="H888" s="14" t="str">
        <x:f>IF(AND(I888="Есть цена",I888="Есть цена"),IF(AND(E888&gt;0,E888&gt;0),E888/E888-1,NA()),"")</x:f>
      </x:c>
      <x:c r="I888" s="2" t="str">
        <x:v>RPC: данные не загружены</x:v>
      </x:c>
      <x:c r="J888" s="2"/>
      <x:c r="K888" s="9"/>
      <x:c r="L888" s="2"/>
      <x:c r="M888" s="2"/>
      <x:c r="N888" s="2"/>
      <x:c r="O888" s="2"/>
      <x:c r="P888" s="2" t="str">
        <x:v>not_cached:getSignaturesForAddress:history/01f7efd0008185149cd5d1cd</x:v>
      </x:c>
      <x:c r="Q888" s="2" t="str"/>
      <x:c r="R888" s="14" t="str">
        <x:f>IF(AND(C888="Нулевой остаток",I888="Есть цена"),G888,"")</x:f>
      </x:c>
      <x:c r="S888" s="14" t="str">
        <x:f>IF(AND(C888="Докупка",I888="Есть цена"),G888,"")</x:f>
      </x:c>
    </x:row>
    <x:row r="889" ht="21" customHeight="1">
      <x:c r="A889" s="2" t="n">
        <x:v>89</x:v>
      </x:c>
      <x:c r="B889" s="2" t="n">
        <x:v>15</x:v>
      </x:c>
      <x:c r="C889" s="2" t="str">
        <x:f>'Покупки'!C96</x:f>
        <x:v>Докупка</x:v>
      </x:c>
      <x:c r="D889" s="9" t="n">
        <x:v>46281.191296296296</x:v>
      </x:c>
      <x:c r="E889" s="12"/>
      <x:c r="F889" s="12" t="n">
        <x:f>'Покупки'!H96</x:f>
        <x:v>0.15519989350860847</x:v>
      </x:c>
      <x:c r="G889" s="14" t="str">
        <x:f>IF(I889="Есть цена",IF(AND(ISNUMBER(E889),E889&gt;0,F889&gt;0),E889/F889-1,NA()),"")</x:f>
      </x:c>
      <x:c r="H889" s="14" t="str">
        <x:f>IF(AND(I889="Есть цена",I888="Есть цена"),IF(AND(E889&gt;0,E888&gt;0),E889/E888-1,NA()),"")</x:f>
      </x:c>
      <x:c r="I889" s="2" t="str">
        <x:v>RPC: данные не загружены</x:v>
      </x:c>
      <x:c r="J889" s="2"/>
      <x:c r="K889" s="9"/>
      <x:c r="L889" s="2"/>
      <x:c r="M889" s="2"/>
      <x:c r="N889" s="2"/>
      <x:c r="O889" s="2"/>
      <x:c r="P889" s="2" t="str">
        <x:v>not_cached:getSignaturesForAddress:history/01f7efd0008185149cd5d1cd</x:v>
      </x:c>
      <x:c r="Q889" s="2" t="str"/>
      <x:c r="R889" s="14" t="str">
        <x:f>IF(AND(C889="Нулевой остаток",I889="Есть цена"),G889,"")</x:f>
      </x:c>
      <x:c r="S889" s="14" t="str">
        <x:f>IF(AND(C889="Докупка",I889="Есть цена"),G889,"")</x:f>
      </x:c>
    </x:row>
    <x:row r="890" ht="21" customHeight="1">
      <x:c r="A890" s="2" t="n">
        <x:v>89</x:v>
      </x:c>
      <x:c r="B890" s="2" t="n">
        <x:v>30</x:v>
      </x:c>
      <x:c r="C890" s="2" t="str">
        <x:f>'Покупки'!C96</x:f>
        <x:v>Докупка</x:v>
      </x:c>
      <x:c r="D890" s="9" t="n">
        <x:v>46281.191469907404</x:v>
      </x:c>
      <x:c r="E890" s="12"/>
      <x:c r="F890" s="12" t="n">
        <x:f>'Покупки'!H96</x:f>
        <x:v>0.15519989350860847</x:v>
      </x:c>
      <x:c r="G890" s="14" t="str">
        <x:f>IF(I890="Есть цена",IF(AND(ISNUMBER(E890),E890&gt;0,F890&gt;0),E890/F890-1,NA()),"")</x:f>
      </x:c>
      <x:c r="H890" s="14" t="str">
        <x:f>IF(AND(I890="Есть цена",I888="Есть цена"),IF(AND(E890&gt;0,E888&gt;0),E890/E888-1,NA()),"")</x:f>
      </x:c>
      <x:c r="I890" s="2" t="str">
        <x:v>RPC: данные не загружены</x:v>
      </x:c>
      <x:c r="J890" s="2"/>
      <x:c r="K890" s="9"/>
      <x:c r="L890" s="2"/>
      <x:c r="M890" s="2"/>
      <x:c r="N890" s="2"/>
      <x:c r="O890" s="2"/>
      <x:c r="P890" s="2" t="str">
        <x:v>not_cached:getSignaturesForAddress:history/410c9a20fd7ff09e7e04e779</x:v>
      </x:c>
      <x:c r="Q890" s="2" t="str"/>
      <x:c r="R890" s="14" t="str">
        <x:f>IF(AND(C890="Нулевой остаток",I890="Есть цена"),G890,"")</x:f>
      </x:c>
      <x:c r="S890" s="14" t="str">
        <x:f>IF(AND(C890="Докупка",I890="Есть цена"),G890,"")</x:f>
      </x:c>
    </x:row>
    <x:row r="891" ht="21" customHeight="1">
      <x:c r="A891" s="2" t="n">
        <x:v>89</x:v>
      </x:c>
      <x:c r="B891" s="2" t="n">
        <x:v>60</x:v>
      </x:c>
      <x:c r="C891" s="2" t="str">
        <x:f>'Покупки'!C96</x:f>
        <x:v>Докупка</x:v>
      </x:c>
      <x:c r="D891" s="9" t="n">
        <x:v>46281.19181712963</x:v>
      </x:c>
      <x:c r="E891" s="12"/>
      <x:c r="F891" s="12" t="n">
        <x:f>'Покупки'!H96</x:f>
        <x:v>0.15519989350860847</x:v>
      </x:c>
      <x:c r="G891" s="14" t="str">
        <x:f>IF(I891="Есть цена",IF(AND(ISNUMBER(E891),E891&gt;0,F891&gt;0),E891/F891-1,NA()),"")</x:f>
      </x:c>
      <x:c r="H891" s="14" t="str">
        <x:f>IF(AND(I891="Есть цена",I888="Есть цена"),IF(AND(E891&gt;0,E888&gt;0),E891/E888-1,NA()),"")</x:f>
      </x:c>
      <x:c r="I891" s="2" t="str">
        <x:v>RPC: данные не загружены</x:v>
      </x:c>
      <x:c r="J891" s="2"/>
      <x:c r="K891" s="9"/>
      <x:c r="L891" s="2"/>
      <x:c r="M891" s="2"/>
      <x:c r="N891" s="2"/>
      <x:c r="O891" s="2"/>
      <x:c r="P891" s="2" t="str">
        <x:v>not_cached:getSignaturesForAddress:history/410c9a20fd7ff09e7e04e779</x:v>
      </x:c>
      <x:c r="Q891" s="2" t="str"/>
      <x:c r="R891" s="14" t="str">
        <x:f>IF(AND(C891="Нулевой остаток",I891="Есть цена"),G891,"")</x:f>
      </x:c>
      <x:c r="S891" s="14" t="str">
        <x:f>IF(AND(C891="Докупка",I891="Есть цена"),G891,"")</x:f>
      </x:c>
    </x:row>
    <x:row r="892" ht="21" customHeight="1">
      <x:c r="A892" s="2" t="n">
        <x:v>89</x:v>
      </x:c>
      <x:c r="B892" s="2" t="n">
        <x:v>180</x:v>
      </x:c>
      <x:c r="C892" s="2" t="str">
        <x:f>'Покупки'!C96</x:f>
        <x:v>Докупка</x:v>
      </x:c>
      <x:c r="D892" s="9" t="n">
        <x:v>46281.19320601852</x:v>
      </x:c>
      <x:c r="E892" s="12"/>
      <x:c r="F892" s="12" t="n">
        <x:f>'Покупки'!H96</x:f>
        <x:v>0.15519989350860847</x:v>
      </x:c>
      <x:c r="G892" s="14" t="str">
        <x:f>IF(I892="Есть цена",IF(AND(ISNUMBER(E892),E892&gt;0,F892&gt;0),E892/F892-1,NA()),"")</x:f>
      </x:c>
      <x:c r="H892" s="14" t="str">
        <x:f>IF(AND(I892="Есть цена",I888="Есть цена"),IF(AND(E892&gt;0,E888&gt;0),E892/E888-1,NA()),"")</x:f>
      </x:c>
      <x:c r="I892" s="2" t="str">
        <x:v>RPC: данные не загружены</x:v>
      </x:c>
      <x:c r="J892" s="2"/>
      <x:c r="K892" s="9"/>
      <x:c r="L892" s="2"/>
      <x:c r="M892" s="2"/>
      <x:c r="N892" s="2"/>
      <x:c r="O892" s="2"/>
      <x:c r="P892" s="2" t="str">
        <x:v>not_cached:getSignaturesForAddress:history/410c9a20fd7ff09e7e04e779</x:v>
      </x:c>
      <x:c r="Q892" s="2" t="str"/>
      <x:c r="R892" s="14" t="str">
        <x:f>IF(AND(C892="Нулевой остаток",I892="Есть цена"),G892,"")</x:f>
      </x:c>
      <x:c r="S892" s="14" t="str">
        <x:f>IF(AND(C892="Докупка",I892="Есть цена"),G892,"")</x:f>
      </x:c>
    </x:row>
    <x:row r="893" ht="21" customHeight="1">
      <x:c r="A893" s="2" t="n">
        <x:v>89</x:v>
      </x:c>
      <x:c r="B893" s="2" t="n">
        <x:v>300</x:v>
      </x:c>
      <x:c r="C893" s="2" t="str">
        <x:f>'Покупки'!C96</x:f>
        <x:v>Докупка</x:v>
      </x:c>
      <x:c r="D893" s="9" t="n">
        <x:v>46281.19459490741</x:v>
      </x:c>
      <x:c r="E893" s="12"/>
      <x:c r="F893" s="12" t="n">
        <x:f>'Покупки'!H96</x:f>
        <x:v>0.15519989350860847</x:v>
      </x:c>
      <x:c r="G893" s="14" t="str">
        <x:f>IF(I893="Есть цена",IF(AND(ISNUMBER(E893),E893&gt;0,F893&gt;0),E893/F893-1,NA()),"")</x:f>
      </x:c>
      <x:c r="H893" s="14" t="str">
        <x:f>IF(AND(I893="Есть цена",I888="Есть цена"),IF(AND(E893&gt;0,E888&gt;0),E893/E888-1,NA()),"")</x:f>
      </x:c>
      <x:c r="I893" s="2" t="str">
        <x:v>RPC: данные не загружены</x:v>
      </x:c>
      <x:c r="J893" s="2"/>
      <x:c r="K893" s="9"/>
      <x:c r="L893" s="2"/>
      <x:c r="M893" s="2"/>
      <x:c r="N893" s="2"/>
      <x:c r="O893" s="2"/>
      <x:c r="P893" s="2" t="str">
        <x:v>not_cached:getSignaturesForAddress:history/410c9a20fd7ff09e7e04e779</x:v>
      </x:c>
      <x:c r="Q893" s="2" t="str"/>
      <x:c r="R893" s="14" t="str">
        <x:f>IF(AND(C893="Нулевой остаток",I893="Есть цена"),G893,"")</x:f>
      </x:c>
      <x:c r="S893" s="14" t="str">
        <x:f>IF(AND(C893="Докупка",I893="Есть цена"),G893,"")</x:f>
      </x:c>
    </x:row>
    <x:row r="894" ht="21" customHeight="1">
      <x:c r="A894" s="2" t="n">
        <x:v>89</x:v>
      </x:c>
      <x:c r="B894" s="2" t="n">
        <x:v>900</x:v>
      </x:c>
      <x:c r="C894" s="2" t="str">
        <x:f>'Покупки'!C96</x:f>
        <x:v>Докупка</x:v>
      </x:c>
      <x:c r="D894" s="9" t="n">
        <x:v>46281.20153935185</x:v>
      </x:c>
      <x:c r="E894" s="12"/>
      <x:c r="F894" s="12" t="n">
        <x:f>'Покупки'!H96</x:f>
        <x:v>0.15519989350860847</x:v>
      </x:c>
      <x:c r="G894" s="14" t="str">
        <x:f>IF(I894="Есть цена",IF(AND(ISNUMBER(E894),E894&gt;0,F894&gt;0),E894/F894-1,NA()),"")</x:f>
      </x:c>
      <x:c r="H894" s="14" t="str">
        <x:f>IF(AND(I894="Есть цена",I888="Есть цена"),IF(AND(E894&gt;0,E888&gt;0),E894/E888-1,NA()),"")</x:f>
      </x:c>
      <x:c r="I894" s="2" t="str">
        <x:v>RPC: данные не загружены</x:v>
      </x:c>
      <x:c r="J894" s="2"/>
      <x:c r="K894" s="9"/>
      <x:c r="L894" s="2"/>
      <x:c r="M894" s="2"/>
      <x:c r="N894" s="2"/>
      <x:c r="O894" s="2"/>
      <x:c r="P894" s="2" t="str">
        <x:v>not_cached:getSignaturesForAddress:history/52774ef258487b66aff93cf9</x:v>
      </x:c>
      <x:c r="Q894" s="2" t="str"/>
      <x:c r="R894" s="14" t="str">
        <x:f>IF(AND(C894="Нулевой остаток",I894="Есть цена"),G894,"")</x:f>
      </x:c>
      <x:c r="S894" s="14" t="str">
        <x:f>IF(AND(C894="Докупка",I894="Есть цена"),G894,"")</x:f>
      </x:c>
    </x:row>
    <x:row r="895" ht="21" customHeight="1">
      <x:c r="A895" s="2" t="n">
        <x:v>89</x:v>
      </x:c>
      <x:c r="B895" s="2" t="n">
        <x:v>3600</x:v>
      </x:c>
      <x:c r="C895" s="2" t="str">
        <x:f>'Покупки'!C96</x:f>
        <x:v>Докупка</x:v>
      </x:c>
      <x:c r="D895" s="9" t="n">
        <x:v>46281.23278935185</x:v>
      </x:c>
      <x:c r="E895" s="12"/>
      <x:c r="F895" s="12" t="n">
        <x:f>'Покупки'!H96</x:f>
        <x:v>0.15519989350860847</x:v>
      </x:c>
      <x:c r="G895" s="14" t="str">
        <x:f>IF(I895="Есть цена",IF(AND(ISNUMBER(E895),E895&gt;0,F895&gt;0),E895/F895-1,NA()),"")</x:f>
      </x:c>
      <x:c r="H895" s="14" t="str">
        <x:f>IF(AND(I895="Есть цена",I888="Есть цена"),IF(AND(E895&gt;0,E888&gt;0),E895/E888-1,NA()),"")</x:f>
      </x:c>
      <x:c r="I895" s="2" t="str">
        <x:v>RPC: данные не загружены</x:v>
      </x:c>
      <x:c r="J895" s="2"/>
      <x:c r="K895" s="9"/>
      <x:c r="L895" s="2"/>
      <x:c r="M895" s="2"/>
      <x:c r="N895" s="2"/>
      <x:c r="O895" s="2"/>
      <x:c r="P895" s="2" t="str">
        <x:v>not_cached:getSignaturesForAddress:history/adc9b1965547d35509ef4ba3</x:v>
      </x:c>
      <x:c r="Q895" s="2" t="str"/>
      <x:c r="R895" s="14" t="str">
        <x:f>IF(AND(C895="Нулевой остаток",I895="Есть цена"),G895,"")</x:f>
      </x:c>
      <x:c r="S895" s="14" t="str">
        <x:f>IF(AND(C895="Докупка",I895="Есть цена"),G895,"")</x:f>
      </x:c>
    </x:row>
    <x:row r="896" ht="21" customHeight="1">
      <x:c r="A896" s="2" t="n">
        <x:v>89</x:v>
      </x:c>
      <x:c r="B896" s="2" t="n">
        <x:v>21600</x:v>
      </x:c>
      <x:c r="C896" s="2" t="str">
        <x:f>'Покупки'!C96</x:f>
        <x:v>Докупка</x:v>
      </x:c>
      <x:c r="D896" s="9" t="n">
        <x:v>46281.44112268519</x:v>
      </x:c>
      <x:c r="E896" s="12"/>
      <x:c r="F896" s="12" t="n">
        <x:f>'Покупки'!H96</x:f>
        <x:v>0.15519989350860847</x:v>
      </x:c>
      <x:c r="G896" s="14" t="str">
        <x:f>IF(I896="Есть цена",IF(AND(ISNUMBER(E896),E896&gt;0,F896&gt;0),E896/F896-1,NA()),"")</x:f>
      </x:c>
      <x:c r="H896" s="14" t="str">
        <x:f>IF(AND(I896="Есть цена",I888="Есть цена"),IF(AND(E896&gt;0,E888&gt;0),E896/E888-1,NA()),"")</x:f>
      </x:c>
      <x:c r="I896" s="2" t="str">
        <x:v>RPC: данные не загружены</x:v>
      </x:c>
      <x:c r="J896" s="2"/>
      <x:c r="K896" s="9"/>
      <x:c r="L896" s="2"/>
      <x:c r="M896" s="2"/>
      <x:c r="N896" s="2"/>
      <x:c r="O896" s="2"/>
      <x:c r="P896" s="2" t="str">
        <x:v>not_cached:getSignaturesForAddress:history/3eab80fd3603b0340b02b48e</x:v>
      </x:c>
      <x:c r="Q896" s="2" t="str"/>
      <x:c r="R896" s="14" t="str">
        <x:f>IF(AND(C896="Нулевой остаток",I896="Есть цена"),G896,"")</x:f>
      </x:c>
      <x:c r="S896" s="14" t="str">
        <x:f>IF(AND(C896="Докупка",I896="Есть цена"),G896,"")</x:f>
      </x:c>
    </x:row>
    <x:row r="897" ht="21" customHeight="1">
      <x:c r="A897" s="2" t="n">
        <x:v>89</x:v>
      </x:c>
      <x:c r="B897" s="2" t="n">
        <x:v>86400</x:v>
      </x:c>
      <x:c r="C897" s="2" t="str">
        <x:f>'Покупки'!C96</x:f>
        <x:v>Докупка</x:v>
      </x:c>
      <x:c r="D897" s="9" t="n">
        <x:v>46282.19112268519</x:v>
      </x:c>
      <x:c r="E897" s="12"/>
      <x:c r="F897" s="12" t="n">
        <x:f>'Покупки'!H96</x:f>
        <x:v>0.15519989350860847</x:v>
      </x:c>
      <x:c r="G897" s="14" t="str">
        <x:f>IF(I897="Есть цена",IF(AND(ISNUMBER(E897),E897&gt;0,F897&gt;0),E897/F897-1,NA()),"")</x:f>
      </x:c>
      <x:c r="H897" s="14" t="str">
        <x:f>IF(AND(I897="Есть цена",I888="Есть цена"),IF(AND(E897&gt;0,E888&gt;0),E897/E888-1,NA()),"")</x:f>
      </x:c>
      <x:c r="I897" s="2" t="str">
        <x:v>RPC: данные не загружены</x:v>
      </x:c>
      <x:c r="J897" s="2"/>
      <x:c r="K897" s="9"/>
      <x:c r="L897" s="2"/>
      <x:c r="M897" s="2"/>
      <x:c r="N897" s="2"/>
      <x:c r="O897" s="2"/>
      <x:c r="P897" s="2" t="str">
        <x:v>not_cached:getSignaturesForAddress:history/2ce6f362b860747b40105a95</x:v>
      </x:c>
      <x:c r="Q897" s="2" t="str"/>
      <x:c r="R897" s="14" t="str">
        <x:f>IF(AND(C897="Нулевой остаток",I897="Есть цена"),G897,"")</x:f>
      </x:c>
      <x:c r="S897" s="14" t="str">
        <x:f>IF(AND(C897="Докупка",I897="Есть цена"),G897,"")</x:f>
      </x:c>
    </x:row>
    <x:row r="898" ht="21" customHeight="1">
      <x:c r="A898" s="2" t="n">
        <x:v>90</x:v>
      </x:c>
      <x:c r="B898" s="2" t="n">
        <x:v>5</x:v>
      </x:c>
      <x:c r="C898" s="2" t="str">
        <x:f>'Покупки'!C97</x:f>
        <x:v>Докупка</x:v>
      </x:c>
      <x:c r="D898" s="9" t="n">
        <x:v>46281.1640625</x:v>
      </x:c>
      <x:c r="E898" s="12"/>
      <x:c r="F898" s="12" t="n">
        <x:f>'Покупки'!H97</x:f>
        <x:v>0.0039291718330992965</x:v>
      </x:c>
      <x:c r="G898" s="14" t="str">
        <x:f>IF(I898="Есть цена",IF(AND(ISNUMBER(E898),E898&gt;0,F898&gt;0),E898/F898-1,NA()),"")</x:f>
      </x:c>
      <x:c r="H898" s="14" t="str">
        <x:f>IF(AND(I898="Есть цена",I898="Есть цена"),IF(AND(E898&gt;0,E898&gt;0),E898/E898-1,NA()),"")</x:f>
      </x:c>
      <x:c r="I898" s="2" t="str">
        <x:v>RPC: данные не загружены</x:v>
      </x:c>
      <x:c r="J898" s="2"/>
      <x:c r="K898" s="9"/>
      <x:c r="L898" s="2"/>
      <x:c r="M898" s="2"/>
      <x:c r="N898" s="2"/>
      <x:c r="O898" s="2"/>
      <x:c r="P898" s="2" t="str">
        <x:v>not_cached:getSignaturesForAddress:history/e3884db499b8305e8f385f5b</x:v>
      </x:c>
      <x:c r="Q898" s="2" t="str"/>
      <x:c r="R898" s="14" t="str">
        <x:f>IF(AND(C898="Нулевой остаток",I898="Есть цена"),G898,"")</x:f>
      </x:c>
      <x:c r="S898" s="14" t="str">
        <x:f>IF(AND(C898="Докупка",I898="Есть цена"),G898,"")</x:f>
      </x:c>
    </x:row>
    <x:row r="899" ht="21" customHeight="1">
      <x:c r="A899" s="2" t="n">
        <x:v>90</x:v>
      </x:c>
      <x:c r="B899" s="2" t="n">
        <x:v>15</x:v>
      </x:c>
      <x:c r="C899" s="2" t="str">
        <x:f>'Покупки'!C97</x:f>
        <x:v>Докупка</x:v>
      </x:c>
      <x:c r="D899" s="9" t="n">
        <x:v>46281.16417824074</x:v>
      </x:c>
      <x:c r="E899" s="12"/>
      <x:c r="F899" s="12" t="n">
        <x:f>'Покупки'!H97</x:f>
        <x:v>0.0039291718330992965</x:v>
      </x:c>
      <x:c r="G899" s="14" t="str">
        <x:f>IF(I899="Есть цена",IF(AND(ISNUMBER(E899),E899&gt;0,F899&gt;0),E899/F899-1,NA()),"")</x:f>
      </x:c>
      <x:c r="H899" s="14" t="str">
        <x:f>IF(AND(I899="Есть цена",I898="Есть цена"),IF(AND(E899&gt;0,E898&gt;0),E899/E898-1,NA()),"")</x:f>
      </x:c>
      <x:c r="I899" s="2" t="str">
        <x:v>RPC: данные не загружены</x:v>
      </x:c>
      <x:c r="J899" s="2"/>
      <x:c r="K899" s="9"/>
      <x:c r="L899" s="2"/>
      <x:c r="M899" s="2"/>
      <x:c r="N899" s="2"/>
      <x:c r="O899" s="2"/>
      <x:c r="P899" s="2" t="str">
        <x:v>not_cached:getSignaturesForAddress:history/e3884db499b8305e8f385f5b</x:v>
      </x:c>
      <x:c r="Q899" s="2" t="str"/>
      <x:c r="R899" s="14" t="str">
        <x:f>IF(AND(C899="Нулевой остаток",I899="Есть цена"),G899,"")</x:f>
      </x:c>
      <x:c r="S899" s="14" t="str">
        <x:f>IF(AND(C899="Докупка",I899="Есть цена"),G899,"")</x:f>
      </x:c>
    </x:row>
    <x:row r="900" ht="21" customHeight="1">
      <x:c r="A900" s="2" t="n">
        <x:v>90</x:v>
      </x:c>
      <x:c r="B900" s="2" t="n">
        <x:v>30</x:v>
      </x:c>
      <x:c r="C900" s="2" t="str">
        <x:f>'Покупки'!C97</x:f>
        <x:v>Докупка</x:v>
      </x:c>
      <x:c r="D900" s="9" t="n">
        <x:v>46281.164351851854</x:v>
      </x:c>
      <x:c r="E900" s="12"/>
      <x:c r="F900" s="12" t="n">
        <x:f>'Покупки'!H97</x:f>
        <x:v>0.0039291718330992965</x:v>
      </x:c>
      <x:c r="G900" s="14" t="str">
        <x:f>IF(I900="Есть цена",IF(AND(ISNUMBER(E900),E900&gt;0,F900&gt;0),E900/F900-1,NA()),"")</x:f>
      </x:c>
      <x:c r="H900" s="14" t="str">
        <x:f>IF(AND(I900="Есть цена",I898="Есть цена"),IF(AND(E900&gt;0,E898&gt;0),E900/E898-1,NA()),"")</x:f>
      </x:c>
      <x:c r="I900" s="2" t="str">
        <x:v>RPC: данные не загружены</x:v>
      </x:c>
      <x:c r="J900" s="2"/>
      <x:c r="K900" s="9"/>
      <x:c r="L900" s="2"/>
      <x:c r="M900" s="2"/>
      <x:c r="N900" s="2"/>
      <x:c r="O900" s="2"/>
      <x:c r="P900" s="2" t="str">
        <x:v>not_cached:getSignaturesForAddress:history/e3884db499b8305e8f385f5b</x:v>
      </x:c>
      <x:c r="Q900" s="2" t="str"/>
      <x:c r="R900" s="14" t="str">
        <x:f>IF(AND(C900="Нулевой остаток",I900="Есть цена"),G900,"")</x:f>
      </x:c>
      <x:c r="S900" s="14" t="str">
        <x:f>IF(AND(C900="Докупка",I900="Есть цена"),G900,"")</x:f>
      </x:c>
    </x:row>
    <x:row r="901" ht="21" customHeight="1">
      <x:c r="A901" s="2" t="n">
        <x:v>90</x:v>
      </x:c>
      <x:c r="B901" s="2" t="n">
        <x:v>60</x:v>
      </x:c>
      <x:c r="C901" s="2" t="str">
        <x:f>'Покупки'!C97</x:f>
        <x:v>Докупка</x:v>
      </x:c>
      <x:c r="D901" s="9" t="n">
        <x:v>46281.16469907408</x:v>
      </x:c>
      <x:c r="E901" s="12"/>
      <x:c r="F901" s="12" t="n">
        <x:f>'Покупки'!H97</x:f>
        <x:v>0.0039291718330992965</x:v>
      </x:c>
      <x:c r="G901" s="14" t="str">
        <x:f>IF(I901="Есть цена",IF(AND(ISNUMBER(E901),E901&gt;0,F901&gt;0),E901/F901-1,NA()),"")</x:f>
      </x:c>
      <x:c r="H901" s="14" t="str">
        <x:f>IF(AND(I901="Есть цена",I898="Есть цена"),IF(AND(E901&gt;0,E898&gt;0),E901/E898-1,NA()),"")</x:f>
      </x:c>
      <x:c r="I901" s="2" t="str">
        <x:v>RPC: данные не загружены</x:v>
      </x:c>
      <x:c r="J901" s="2"/>
      <x:c r="K901" s="9"/>
      <x:c r="L901" s="2"/>
      <x:c r="M901" s="2"/>
      <x:c r="N901" s="2"/>
      <x:c r="O901" s="2"/>
      <x:c r="P901" s="2" t="str">
        <x:v>not_cached:getSignaturesForAddress:history/e3884db499b8305e8f385f5b</x:v>
      </x:c>
      <x:c r="Q901" s="2" t="str"/>
      <x:c r="R901" s="14" t="str">
        <x:f>IF(AND(C901="Нулевой остаток",I901="Есть цена"),G901,"")</x:f>
      </x:c>
      <x:c r="S901" s="14" t="str">
        <x:f>IF(AND(C901="Докупка",I901="Есть цена"),G901,"")</x:f>
      </x:c>
    </x:row>
    <x:row r="902" ht="21" customHeight="1">
      <x:c r="A902" s="2" t="n">
        <x:v>90</x:v>
      </x:c>
      <x:c r="B902" s="2" t="n">
        <x:v>180</x:v>
      </x:c>
      <x:c r="C902" s="2" t="str">
        <x:f>'Покупки'!C97</x:f>
        <x:v>Докупка</x:v>
      </x:c>
      <x:c r="D902" s="9" t="n">
        <x:v>46281.16608796296</x:v>
      </x:c>
      <x:c r="E902" s="12"/>
      <x:c r="F902" s="12" t="n">
        <x:f>'Покупки'!H97</x:f>
        <x:v>0.0039291718330992965</x:v>
      </x:c>
      <x:c r="G902" s="14" t="str">
        <x:f>IF(I902="Есть цена",IF(AND(ISNUMBER(E902),E902&gt;0,F902&gt;0),E902/F902-1,NA()),"")</x:f>
      </x:c>
      <x:c r="H902" s="14" t="str">
        <x:f>IF(AND(I902="Есть цена",I898="Есть цена"),IF(AND(E902&gt;0,E898&gt;0),E902/E898-1,NA()),"")</x:f>
      </x:c>
      <x:c r="I902" s="2" t="str">
        <x:v>RPC: данные не загружены</x:v>
      </x:c>
      <x:c r="J902" s="2"/>
      <x:c r="K902" s="9"/>
      <x:c r="L902" s="2"/>
      <x:c r="M902" s="2"/>
      <x:c r="N902" s="2"/>
      <x:c r="O902" s="2"/>
      <x:c r="P902" s="2" t="str">
        <x:v>not_cached:getSignaturesForAddress:history/e3884db499b8305e8f385f5b</x:v>
      </x:c>
      <x:c r="Q902" s="2" t="str"/>
      <x:c r="R902" s="14" t="str">
        <x:f>IF(AND(C902="Нулевой остаток",I902="Есть цена"),G902,"")</x:f>
      </x:c>
      <x:c r="S902" s="14" t="str">
        <x:f>IF(AND(C902="Докупка",I902="Есть цена"),G902,"")</x:f>
      </x:c>
    </x:row>
    <x:row r="903" ht="21" customHeight="1">
      <x:c r="A903" s="2" t="n">
        <x:v>90</x:v>
      </x:c>
      <x:c r="B903" s="2" t="n">
        <x:v>300</x:v>
      </x:c>
      <x:c r="C903" s="2" t="str">
        <x:f>'Покупки'!C97</x:f>
        <x:v>Докупка</x:v>
      </x:c>
      <x:c r="D903" s="9" t="n">
        <x:v>46281.16747685185</x:v>
      </x:c>
      <x:c r="E903" s="12"/>
      <x:c r="F903" s="12" t="n">
        <x:f>'Покупки'!H97</x:f>
        <x:v>0.0039291718330992965</x:v>
      </x:c>
      <x:c r="G903" s="14" t="str">
        <x:f>IF(I903="Есть цена",IF(AND(ISNUMBER(E903),E903&gt;0,F903&gt;0),E903/F903-1,NA()),"")</x:f>
      </x:c>
      <x:c r="H903" s="14" t="str">
        <x:f>IF(AND(I903="Есть цена",I898="Есть цена"),IF(AND(E903&gt;0,E898&gt;0),E903/E898-1,NA()),"")</x:f>
      </x:c>
      <x:c r="I903" s="2" t="str">
        <x:v>RPC: данные не загружены</x:v>
      </x:c>
      <x:c r="J903" s="2"/>
      <x:c r="K903" s="9"/>
      <x:c r="L903" s="2"/>
      <x:c r="M903" s="2"/>
      <x:c r="N903" s="2"/>
      <x:c r="O903" s="2"/>
      <x:c r="P903" s="2" t="str">
        <x:v>not_cached:getSignaturesForAddress:history/7a00a3e46fb43534b029a2e5</x:v>
      </x:c>
      <x:c r="Q903" s="2" t="str"/>
      <x:c r="R903" s="14" t="str">
        <x:f>IF(AND(C903="Нулевой остаток",I903="Есть цена"),G903,"")</x:f>
      </x:c>
      <x:c r="S903" s="14" t="str">
        <x:f>IF(AND(C903="Докупка",I903="Есть цена"),G903,"")</x:f>
      </x:c>
    </x:row>
    <x:row r="904" ht="21" customHeight="1">
      <x:c r="A904" s="2" t="n">
        <x:v>90</x:v>
      </x:c>
      <x:c r="B904" s="2" t="n">
        <x:v>900</x:v>
      </x:c>
      <x:c r="C904" s="2" t="str">
        <x:f>'Покупки'!C97</x:f>
        <x:v>Докупка</x:v>
      </x:c>
      <x:c r="D904" s="9" t="n">
        <x:v>46281.174421296295</x:v>
      </x:c>
      <x:c r="E904" s="12"/>
      <x:c r="F904" s="12" t="n">
        <x:f>'Покупки'!H97</x:f>
        <x:v>0.0039291718330992965</x:v>
      </x:c>
      <x:c r="G904" s="14" t="str">
        <x:f>IF(I904="Есть цена",IF(AND(ISNUMBER(E904),E904&gt;0,F904&gt;0),E904/F904-1,NA()),"")</x:f>
      </x:c>
      <x:c r="H904" s="14" t="str">
        <x:f>IF(AND(I904="Есть цена",I898="Есть цена"),IF(AND(E904&gt;0,E898&gt;0),E904/E898-1,NA()),"")</x:f>
      </x:c>
      <x:c r="I904" s="2" t="str">
        <x:v>RPC: данные не загружены</x:v>
      </x:c>
      <x:c r="J904" s="2"/>
      <x:c r="K904" s="9"/>
      <x:c r="L904" s="2"/>
      <x:c r="M904" s="2"/>
      <x:c r="N904" s="2"/>
      <x:c r="O904" s="2"/>
      <x:c r="P904" s="2" t="str">
        <x:v>not_cached:getSignaturesForAddress:history/17c8e31a082643207af5d183</x:v>
      </x:c>
      <x:c r="Q904" s="2" t="str"/>
      <x:c r="R904" s="14" t="str">
        <x:f>IF(AND(C904="Нулевой остаток",I904="Есть цена"),G904,"")</x:f>
      </x:c>
      <x:c r="S904" s="14" t="str">
        <x:f>IF(AND(C904="Докупка",I904="Есть цена"),G904,"")</x:f>
      </x:c>
    </x:row>
    <x:row r="905" ht="21" customHeight="1">
      <x:c r="A905" s="2" t="n">
        <x:v>90</x:v>
      </x:c>
      <x:c r="B905" s="2" t="n">
        <x:v>3600</x:v>
      </x:c>
      <x:c r="C905" s="2" t="str">
        <x:f>'Покупки'!C97</x:f>
        <x:v>Докупка</x:v>
      </x:c>
      <x:c r="D905" s="9" t="n">
        <x:v>46281.205671296295</x:v>
      </x:c>
      <x:c r="E905" s="12"/>
      <x:c r="F905" s="12" t="n">
        <x:f>'Покупки'!H97</x:f>
        <x:v>0.0039291718330992965</x:v>
      </x:c>
      <x:c r="G905" s="14" t="str">
        <x:f>IF(I905="Есть цена",IF(AND(ISNUMBER(E905),E905&gt;0,F905&gt;0),E905/F905-1,NA()),"")</x:f>
      </x:c>
      <x:c r="H905" s="14" t="str">
        <x:f>IF(AND(I905="Есть цена",I898="Есть цена"),IF(AND(E905&gt;0,E898&gt;0),E905/E898-1,NA()),"")</x:f>
      </x:c>
      <x:c r="I905" s="2" t="str">
        <x:v>RPC: данные не загружены</x:v>
      </x:c>
      <x:c r="J905" s="2"/>
      <x:c r="K905" s="9"/>
      <x:c r="L905" s="2"/>
      <x:c r="M905" s="2"/>
      <x:c r="N905" s="2"/>
      <x:c r="O905" s="2"/>
      <x:c r="P905" s="2" t="str">
        <x:v>not_cached:getSignaturesForAddress:history/b350db172ce8ccfcd19ff348</x:v>
      </x:c>
      <x:c r="Q905" s="2" t="str"/>
      <x:c r="R905" s="14" t="str">
        <x:f>IF(AND(C905="Нулевой остаток",I905="Есть цена"),G905,"")</x:f>
      </x:c>
      <x:c r="S905" s="14" t="str">
        <x:f>IF(AND(C905="Докупка",I905="Есть цена"),G905,"")</x:f>
      </x:c>
    </x:row>
    <x:row r="906" ht="21" customHeight="1">
      <x:c r="A906" s="2" t="n">
        <x:v>90</x:v>
      </x:c>
      <x:c r="B906" s="2" t="n">
        <x:v>21600</x:v>
      </x:c>
      <x:c r="C906" s="2" t="str">
        <x:f>'Покупки'!C97</x:f>
        <x:v>Докупка</x:v>
      </x:c>
      <x:c r="D906" s="9" t="n">
        <x:v>46281.41400462963</x:v>
      </x:c>
      <x:c r="E906" s="12"/>
      <x:c r="F906" s="12" t="n">
        <x:f>'Покупки'!H97</x:f>
        <x:v>0.0039291718330992965</x:v>
      </x:c>
      <x:c r="G906" s="14" t="str">
        <x:f>IF(I906="Есть цена",IF(AND(ISNUMBER(E906),E906&gt;0,F906&gt;0),E906/F906-1,NA()),"")</x:f>
      </x:c>
      <x:c r="H906" s="14" t="str">
        <x:f>IF(AND(I906="Есть цена",I898="Есть цена"),IF(AND(E906&gt;0,E898&gt;0),E906/E898-1,NA()),"")</x:f>
      </x:c>
      <x:c r="I906" s="2" t="str">
        <x:v>RPC: данные не загружены</x:v>
      </x:c>
      <x:c r="J906" s="2"/>
      <x:c r="K906" s="9"/>
      <x:c r="L906" s="2"/>
      <x:c r="M906" s="2"/>
      <x:c r="N906" s="2"/>
      <x:c r="O906" s="2"/>
      <x:c r="P906" s="2" t="str">
        <x:v>not_cached:getSignaturesForAddress:history/4f2f553d3830c0208d97bde2</x:v>
      </x:c>
      <x:c r="Q906" s="2" t="str"/>
      <x:c r="R906" s="14" t="str">
        <x:f>IF(AND(C906="Нулевой остаток",I906="Есть цена"),G906,"")</x:f>
      </x:c>
      <x:c r="S906" s="14" t="str">
        <x:f>IF(AND(C906="Докупка",I906="Есть цена"),G906,"")</x:f>
      </x:c>
    </x:row>
    <x:row r="907" ht="21" customHeight="1">
      <x:c r="A907" s="2" t="n">
        <x:v>90</x:v>
      </x:c>
      <x:c r="B907" s="2" t="n">
        <x:v>86400</x:v>
      </x:c>
      <x:c r="C907" s="2" t="str">
        <x:f>'Покупки'!C97</x:f>
        <x:v>Докупка</x:v>
      </x:c>
      <x:c r="D907" s="9" t="n">
        <x:v>46282.16400462963</x:v>
      </x:c>
      <x:c r="E907" s="12"/>
      <x:c r="F907" s="12" t="n">
        <x:f>'Покупки'!H97</x:f>
        <x:v>0.0039291718330992965</x:v>
      </x:c>
      <x:c r="G907" s="14" t="str">
        <x:f>IF(I907="Есть цена",IF(AND(ISNUMBER(E907),E907&gt;0,F907&gt;0),E907/F907-1,NA()),"")</x:f>
      </x:c>
      <x:c r="H907" s="14" t="str">
        <x:f>IF(AND(I907="Есть цена",I898="Есть цена"),IF(AND(E907&gt;0,E898&gt;0),E907/E898-1,NA()),"")</x:f>
      </x:c>
      <x:c r="I907" s="2" t="str">
        <x:v>RPC: данные не загружены</x:v>
      </x:c>
      <x:c r="J907" s="2"/>
      <x:c r="K907" s="9"/>
      <x:c r="L907" s="2"/>
      <x:c r="M907" s="2"/>
      <x:c r="N907" s="2"/>
      <x:c r="O907" s="2"/>
      <x:c r="P907" s="2" t="str">
        <x:v>not_cached:getSignaturesForAddress:history/7861386cc22d84dca58eef15</x:v>
      </x:c>
      <x:c r="Q907" s="2" t="str"/>
      <x:c r="R907" s="14" t="str">
        <x:f>IF(AND(C907="Нулевой остаток",I907="Есть цена"),G907,"")</x:f>
      </x:c>
      <x:c r="S907" s="14" t="str">
        <x:f>IF(AND(C907="Докупка",I907="Есть цена"),G907,"")</x:f>
      </x:c>
    </x:row>
    <x:row r="908" ht="21" customHeight="1">
      <x:c r="A908" s="2" t="n">
        <x:v>91</x:v>
      </x:c>
      <x:c r="B908" s="2" t="n">
        <x:v>5</x:v>
      </x:c>
      <x:c r="C908" s="2" t="str">
        <x:f>'Покупки'!C98</x:f>
        <x:v>Докупка</x:v>
      </x:c>
      <x:c r="D908" s="9" t="n">
        <x:v>46281.16380787037</x:v>
      </x:c>
      <x:c r="E908" s="12"/>
      <x:c r="F908" s="12" t="n">
        <x:f>'Покупки'!H98</x:f>
        <x:v>0.0003612018727676031</x:v>
      </x:c>
      <x:c r="G908" s="14" t="str">
        <x:f>IF(I908="Есть цена",IF(AND(ISNUMBER(E908),E908&gt;0,F908&gt;0),E908/F908-1,NA()),"")</x:f>
      </x:c>
      <x:c r="H908" s="14" t="str">
        <x:f>IF(AND(I908="Есть цена",I908="Есть цена"),IF(AND(E908&gt;0,E908&gt;0),E908/E908-1,NA()),"")</x:f>
      </x:c>
      <x:c r="I908" s="2" t="str">
        <x:v>RPC: данные не загружены</x:v>
      </x:c>
      <x:c r="J908" s="2"/>
      <x:c r="K908" s="9"/>
      <x:c r="L908" s="2"/>
      <x:c r="M908" s="2"/>
      <x:c r="N908" s="2"/>
      <x:c r="O908" s="2"/>
      <x:c r="P908" s="2" t="str">
        <x:v>not_cached:getSignaturesForAddress:history/9f21a2f475bb8b67e2faa6d0</x:v>
      </x:c>
      <x:c r="Q908" s="2" t="str"/>
      <x:c r="R908" s="14" t="str">
        <x:f>IF(AND(C908="Нулевой остаток",I908="Есть цена"),G908,"")</x:f>
      </x:c>
      <x:c r="S908" s="14" t="str">
        <x:f>IF(AND(C908="Докупка",I908="Есть цена"),G908,"")</x:f>
      </x:c>
    </x:row>
    <x:row r="909" ht="21" customHeight="1">
      <x:c r="A909" s="2" t="n">
        <x:v>91</x:v>
      </x:c>
      <x:c r="B909" s="2" t="n">
        <x:v>15</x:v>
      </x:c>
      <x:c r="C909" s="2" t="str">
        <x:f>'Покупки'!C98</x:f>
        <x:v>Докупка</x:v>
      </x:c>
      <x:c r="D909" s="9" t="n">
        <x:v>46281.16392361111</x:v>
      </x:c>
      <x:c r="E909" s="12"/>
      <x:c r="F909" s="12" t="n">
        <x:f>'Покупки'!H98</x:f>
        <x:v>0.0003612018727676031</x:v>
      </x:c>
      <x:c r="G909" s="14" t="str">
        <x:f>IF(I909="Есть цена",IF(AND(ISNUMBER(E909),E909&gt;0,F909&gt;0),E909/F909-1,NA()),"")</x:f>
      </x:c>
      <x:c r="H909" s="14" t="str">
        <x:f>IF(AND(I909="Есть цена",I908="Есть цена"),IF(AND(E909&gt;0,E908&gt;0),E909/E908-1,NA()),"")</x:f>
      </x:c>
      <x:c r="I909" s="2" t="str">
        <x:v>RPC: данные не загружены</x:v>
      </x:c>
      <x:c r="J909" s="2"/>
      <x:c r="K909" s="9"/>
      <x:c r="L909" s="2"/>
      <x:c r="M909" s="2"/>
      <x:c r="N909" s="2"/>
      <x:c r="O909" s="2"/>
      <x:c r="P909" s="2" t="str">
        <x:v>not_cached:getSignaturesForAddress:history/9f21a2f475bb8b67e2faa6d0</x:v>
      </x:c>
      <x:c r="Q909" s="2" t="str"/>
      <x:c r="R909" s="14" t="str">
        <x:f>IF(AND(C909="Нулевой остаток",I909="Есть цена"),G909,"")</x:f>
      </x:c>
      <x:c r="S909" s="14" t="str">
        <x:f>IF(AND(C909="Докупка",I909="Есть цена"),G909,"")</x:f>
      </x:c>
    </x:row>
    <x:row r="910" ht="21" customHeight="1">
      <x:c r="A910" s="2" t="n">
        <x:v>91</x:v>
      </x:c>
      <x:c r="B910" s="2" t="n">
        <x:v>30</x:v>
      </x:c>
      <x:c r="C910" s="2" t="str">
        <x:f>'Покупки'!C98</x:f>
        <x:v>Докупка</x:v>
      </x:c>
      <x:c r="D910" s="9" t="n">
        <x:v>46281.16409722222</x:v>
      </x:c>
      <x:c r="E910" s="12"/>
      <x:c r="F910" s="12" t="n">
        <x:f>'Покупки'!H98</x:f>
        <x:v>0.0003612018727676031</x:v>
      </x:c>
      <x:c r="G910" s="14" t="str">
        <x:f>IF(I910="Есть цена",IF(AND(ISNUMBER(E910),E910&gt;0,F910&gt;0),E910/F910-1,NA()),"")</x:f>
      </x:c>
      <x:c r="H910" s="14" t="str">
        <x:f>IF(AND(I910="Есть цена",I908="Есть цена"),IF(AND(E910&gt;0,E908&gt;0),E910/E908-1,NA()),"")</x:f>
      </x:c>
      <x:c r="I910" s="2" t="str">
        <x:v>RPC: данные не загружены</x:v>
      </x:c>
      <x:c r="J910" s="2"/>
      <x:c r="K910" s="9"/>
      <x:c r="L910" s="2"/>
      <x:c r="M910" s="2"/>
      <x:c r="N910" s="2"/>
      <x:c r="O910" s="2"/>
      <x:c r="P910" s="2" t="str">
        <x:v>not_cached:getSignaturesForAddress:history/e548f0e5b95b92d2700a9285</x:v>
      </x:c>
      <x:c r="Q910" s="2" t="str"/>
      <x:c r="R910" s="14" t="str">
        <x:f>IF(AND(C910="Нулевой остаток",I910="Есть цена"),G910,"")</x:f>
      </x:c>
      <x:c r="S910" s="14" t="str">
        <x:f>IF(AND(C910="Докупка",I910="Есть цена"),G910,"")</x:f>
      </x:c>
    </x:row>
    <x:row r="911" ht="21" customHeight="1">
      <x:c r="A911" s="2" t="n">
        <x:v>91</x:v>
      </x:c>
      <x:c r="B911" s="2" t="n">
        <x:v>60</x:v>
      </x:c>
      <x:c r="C911" s="2" t="str">
        <x:f>'Покупки'!C98</x:f>
        <x:v>Докупка</x:v>
      </x:c>
      <x:c r="D911" s="9" t="n">
        <x:v>46281.16444444445</x:v>
      </x:c>
      <x:c r="E911" s="12"/>
      <x:c r="F911" s="12" t="n">
        <x:f>'Покупки'!H98</x:f>
        <x:v>0.0003612018727676031</x:v>
      </x:c>
      <x:c r="G911" s="14" t="str">
        <x:f>IF(I911="Есть цена",IF(AND(ISNUMBER(E911),E911&gt;0,F911&gt;0),E911/F911-1,NA()),"")</x:f>
      </x:c>
      <x:c r="H911" s="14" t="str">
        <x:f>IF(AND(I911="Есть цена",I908="Есть цена"),IF(AND(E911&gt;0,E908&gt;0),E911/E908-1,NA()),"")</x:f>
      </x:c>
      <x:c r="I911" s="2" t="str">
        <x:v>RPC: данные не загружены</x:v>
      </x:c>
      <x:c r="J911" s="2"/>
      <x:c r="K911" s="9"/>
      <x:c r="L911" s="2"/>
      <x:c r="M911" s="2"/>
      <x:c r="N911" s="2"/>
      <x:c r="O911" s="2"/>
      <x:c r="P911" s="2" t="str">
        <x:v>not_cached:getSignaturesForAddress:history/e548f0e5b95b92d2700a9285</x:v>
      </x:c>
      <x:c r="Q911" s="2" t="str"/>
      <x:c r="R911" s="14" t="str">
        <x:f>IF(AND(C911="Нулевой остаток",I911="Есть цена"),G911,"")</x:f>
      </x:c>
      <x:c r="S911" s="14" t="str">
        <x:f>IF(AND(C911="Докупка",I911="Есть цена"),G911,"")</x:f>
      </x:c>
    </x:row>
    <x:row r="912" ht="21" customHeight="1">
      <x:c r="A912" s="2" t="n">
        <x:v>91</x:v>
      </x:c>
      <x:c r="B912" s="2" t="n">
        <x:v>180</x:v>
      </x:c>
      <x:c r="C912" s="2" t="str">
        <x:f>'Покупки'!C98</x:f>
        <x:v>Докупка</x:v>
      </x:c>
      <x:c r="D912" s="9" t="n">
        <x:v>46281.16583333333</x:v>
      </x:c>
      <x:c r="E912" s="12"/>
      <x:c r="F912" s="12" t="n">
        <x:f>'Покупки'!H98</x:f>
        <x:v>0.0003612018727676031</x:v>
      </x:c>
      <x:c r="G912" s="14" t="str">
        <x:f>IF(I912="Есть цена",IF(AND(ISNUMBER(E912),E912&gt;0,F912&gt;0),E912/F912-1,NA()),"")</x:f>
      </x:c>
      <x:c r="H912" s="14" t="str">
        <x:f>IF(AND(I912="Есть цена",I908="Есть цена"),IF(AND(E912&gt;0,E908&gt;0),E912/E908-1,NA()),"")</x:f>
      </x:c>
      <x:c r="I912" s="2" t="str">
        <x:v>RPC: данные не загружены</x:v>
      </x:c>
      <x:c r="J912" s="2"/>
      <x:c r="K912" s="9"/>
      <x:c r="L912" s="2"/>
      <x:c r="M912" s="2"/>
      <x:c r="N912" s="2"/>
      <x:c r="O912" s="2"/>
      <x:c r="P912" s="2" t="str">
        <x:v>not_cached:getSignaturesForAddress:history/e548f0e5b95b92d2700a9285</x:v>
      </x:c>
      <x:c r="Q912" s="2" t="str"/>
      <x:c r="R912" s="14" t="str">
        <x:f>IF(AND(C912="Нулевой остаток",I912="Есть цена"),G912,"")</x:f>
      </x:c>
      <x:c r="S912" s="14" t="str">
        <x:f>IF(AND(C912="Докупка",I912="Есть цена"),G912,"")</x:f>
      </x:c>
    </x:row>
    <x:row r="913" ht="21" customHeight="1">
      <x:c r="A913" s="2" t="n">
        <x:v>91</x:v>
      </x:c>
      <x:c r="B913" s="2" t="n">
        <x:v>300</x:v>
      </x:c>
      <x:c r="C913" s="2" t="str">
        <x:f>'Покупки'!C98</x:f>
        <x:v>Докупка</x:v>
      </x:c>
      <x:c r="D913" s="9" t="n">
        <x:v>46281.16722222222</x:v>
      </x:c>
      <x:c r="E913" s="12"/>
      <x:c r="F913" s="12" t="n">
        <x:f>'Покупки'!H98</x:f>
        <x:v>0.0003612018727676031</x:v>
      </x:c>
      <x:c r="G913" s="14" t="str">
        <x:f>IF(I913="Есть цена",IF(AND(ISNUMBER(E913),E913&gt;0,F913&gt;0),E913/F913-1,NA()),"")</x:f>
      </x:c>
      <x:c r="H913" s="14" t="str">
        <x:f>IF(AND(I913="Есть цена",I908="Есть цена"),IF(AND(E913&gt;0,E908&gt;0),E913/E908-1,NA()),"")</x:f>
      </x:c>
      <x:c r="I913" s="2" t="str">
        <x:v>RPC: данные не загружены</x:v>
      </x:c>
      <x:c r="J913" s="2"/>
      <x:c r="K913" s="9"/>
      <x:c r="L913" s="2"/>
      <x:c r="M913" s="2"/>
      <x:c r="N913" s="2"/>
      <x:c r="O913" s="2"/>
      <x:c r="P913" s="2" t="str">
        <x:v>not_cached:getSignaturesForAddress:history/e548f0e5b95b92d2700a9285</x:v>
      </x:c>
      <x:c r="Q913" s="2" t="str"/>
      <x:c r="R913" s="14" t="str">
        <x:f>IF(AND(C913="Нулевой остаток",I913="Есть цена"),G913,"")</x:f>
      </x:c>
      <x:c r="S913" s="14" t="str">
        <x:f>IF(AND(C913="Докупка",I913="Есть цена"),G913,"")</x:f>
      </x:c>
    </x:row>
    <x:row r="914" ht="21" customHeight="1">
      <x:c r="A914" s="2" t="n">
        <x:v>91</x:v>
      </x:c>
      <x:c r="B914" s="2" t="n">
        <x:v>900</x:v>
      </x:c>
      <x:c r="C914" s="2" t="str">
        <x:f>'Покупки'!C98</x:f>
        <x:v>Докупка</x:v>
      </x:c>
      <x:c r="D914" s="9" t="n">
        <x:v>46281.174166666664</x:v>
      </x:c>
      <x:c r="E914" s="12"/>
      <x:c r="F914" s="12" t="n">
        <x:f>'Покупки'!H98</x:f>
        <x:v>0.0003612018727676031</x:v>
      </x:c>
      <x:c r="G914" s="14" t="str">
        <x:f>IF(I914="Есть цена",IF(AND(ISNUMBER(E914),E914&gt;0,F914&gt;0),E914/F914-1,NA()),"")</x:f>
      </x:c>
      <x:c r="H914" s="14" t="str">
        <x:f>IF(AND(I914="Есть цена",I908="Есть цена"),IF(AND(E914&gt;0,E908&gt;0),E914/E908-1,NA()),"")</x:f>
      </x:c>
      <x:c r="I914" s="2" t="str">
        <x:v>RPC: данные не загружены</x:v>
      </x:c>
      <x:c r="J914" s="2"/>
      <x:c r="K914" s="9"/>
      <x:c r="L914" s="2"/>
      <x:c r="M914" s="2"/>
      <x:c r="N914" s="2"/>
      <x:c r="O914" s="2"/>
      <x:c r="P914" s="2" t="str">
        <x:v>not_cached:getSignaturesForAddress:history/b2e068c81d4becbd93389e3a</x:v>
      </x:c>
      <x:c r="Q914" s="2" t="str"/>
      <x:c r="R914" s="14" t="str">
        <x:f>IF(AND(C914="Нулевой остаток",I914="Есть цена"),G914,"")</x:f>
      </x:c>
      <x:c r="S914" s="14" t="str">
        <x:f>IF(AND(C914="Докупка",I914="Есть цена"),G914,"")</x:f>
      </x:c>
    </x:row>
    <x:row r="915" ht="21" customHeight="1">
      <x:c r="A915" s="2" t="n">
        <x:v>91</x:v>
      </x:c>
      <x:c r="B915" s="2" t="n">
        <x:v>3600</x:v>
      </x:c>
      <x:c r="C915" s="2" t="str">
        <x:f>'Покупки'!C98</x:f>
        <x:v>Докупка</x:v>
      </x:c>
      <x:c r="D915" s="9" t="n">
        <x:v>46281.205416666664</x:v>
      </x:c>
      <x:c r="E915" s="12"/>
      <x:c r="F915" s="12" t="n">
        <x:f>'Покупки'!H98</x:f>
        <x:v>0.0003612018727676031</x:v>
      </x:c>
      <x:c r="G915" s="14" t="str">
        <x:f>IF(I915="Есть цена",IF(AND(ISNUMBER(E915),E915&gt;0,F915&gt;0),E915/F915-1,NA()),"")</x:f>
      </x:c>
      <x:c r="H915" s="14" t="str">
        <x:f>IF(AND(I915="Есть цена",I908="Есть цена"),IF(AND(E915&gt;0,E908&gt;0),E915/E908-1,NA()),"")</x:f>
      </x:c>
      <x:c r="I915" s="2" t="str">
        <x:v>RPC: данные не загружены</x:v>
      </x:c>
      <x:c r="J915" s="2"/>
      <x:c r="K915" s="9"/>
      <x:c r="L915" s="2"/>
      <x:c r="M915" s="2"/>
      <x:c r="N915" s="2"/>
      <x:c r="O915" s="2"/>
      <x:c r="P915" s="2" t="str">
        <x:v>not_cached:getSignaturesForAddress:history/345d96e389b041305daa38c2</x:v>
      </x:c>
      <x:c r="Q915" s="2" t="str"/>
      <x:c r="R915" s="14" t="str">
        <x:f>IF(AND(C915="Нулевой остаток",I915="Есть цена"),G915,"")</x:f>
      </x:c>
      <x:c r="S915" s="14" t="str">
        <x:f>IF(AND(C915="Докупка",I915="Есть цена"),G915,"")</x:f>
      </x:c>
    </x:row>
    <x:row r="916" ht="21" customHeight="1">
      <x:c r="A916" s="2" t="n">
        <x:v>91</x:v>
      </x:c>
      <x:c r="B916" s="2" t="n">
        <x:v>21600</x:v>
      </x:c>
      <x:c r="C916" s="2" t="str">
        <x:f>'Покупки'!C98</x:f>
        <x:v>Докупка</x:v>
      </x:c>
      <x:c r="D916" s="9" t="n">
        <x:v>46281.41375</x:v>
      </x:c>
      <x:c r="E916" s="12"/>
      <x:c r="F916" s="12" t="n">
        <x:f>'Покупки'!H98</x:f>
        <x:v>0.0003612018727676031</x:v>
      </x:c>
      <x:c r="G916" s="14" t="str">
        <x:f>IF(I916="Есть цена",IF(AND(ISNUMBER(E916),E916&gt;0,F916&gt;0),E916/F916-1,NA()),"")</x:f>
      </x:c>
      <x:c r="H916" s="14" t="str">
        <x:f>IF(AND(I916="Есть цена",I908="Есть цена"),IF(AND(E916&gt;0,E908&gt;0),E916/E908-1,NA()),"")</x:f>
      </x:c>
      <x:c r="I916" s="2" t="str">
        <x:v>RPC: данные не загружены</x:v>
      </x:c>
      <x:c r="J916" s="2"/>
      <x:c r="K916" s="9"/>
      <x:c r="L916" s="2"/>
      <x:c r="M916" s="2"/>
      <x:c r="N916" s="2"/>
      <x:c r="O916" s="2"/>
      <x:c r="P916" s="2" t="str">
        <x:v>not_cached:getSignaturesForAddress:history/a6907718aefeb6a5a042aa51</x:v>
      </x:c>
      <x:c r="Q916" s="2" t="str"/>
      <x:c r="R916" s="14" t="str">
        <x:f>IF(AND(C916="Нулевой остаток",I916="Есть цена"),G916,"")</x:f>
      </x:c>
      <x:c r="S916" s="14" t="str">
        <x:f>IF(AND(C916="Докупка",I916="Есть цена"),G916,"")</x:f>
      </x:c>
    </x:row>
    <x:row r="917" ht="21" customHeight="1">
      <x:c r="A917" s="2" t="n">
        <x:v>91</x:v>
      </x:c>
      <x:c r="B917" s="2" t="n">
        <x:v>86400</x:v>
      </x:c>
      <x:c r="C917" s="2" t="str">
        <x:f>'Покупки'!C98</x:f>
        <x:v>Докупка</x:v>
      </x:c>
      <x:c r="D917" s="9" t="n">
        <x:v>46282.16375</x:v>
      </x:c>
      <x:c r="E917" s="12"/>
      <x:c r="F917" s="12" t="n">
        <x:f>'Покупки'!H98</x:f>
        <x:v>0.0003612018727676031</x:v>
      </x:c>
      <x:c r="G917" s="14" t="str">
        <x:f>IF(I917="Есть цена",IF(AND(ISNUMBER(E917),E917&gt;0,F917&gt;0),E917/F917-1,NA()),"")</x:f>
      </x:c>
      <x:c r="H917" s="14" t="str">
        <x:f>IF(AND(I917="Есть цена",I908="Есть цена"),IF(AND(E917&gt;0,E908&gt;0),E917/E908-1,NA()),"")</x:f>
      </x:c>
      <x:c r="I917" s="2" t="str">
        <x:v>RPC: данные не загружены</x:v>
      </x:c>
      <x:c r="J917" s="2"/>
      <x:c r="K917" s="9"/>
      <x:c r="L917" s="2"/>
      <x:c r="M917" s="2"/>
      <x:c r="N917" s="2"/>
      <x:c r="O917" s="2"/>
      <x:c r="P917" s="2" t="str">
        <x:v>not_cached:getSignaturesForAddress:history/15982ca2088af0f9714b7838</x:v>
      </x:c>
      <x:c r="Q917" s="2" t="str"/>
      <x:c r="R917" s="14" t="str">
        <x:f>IF(AND(C917="Нулевой остаток",I917="Есть цена"),G917,"")</x:f>
      </x:c>
      <x:c r="S917" s="14" t="str">
        <x:f>IF(AND(C917="Докупка",I917="Есть цена"),G917,"")</x:f>
      </x:c>
    </x:row>
    <x:row r="918" ht="21" customHeight="1">
      <x:c r="A918" s="2" t="n">
        <x:v>92</x:v>
      </x:c>
      <x:c r="B918" s="2" t="n">
        <x:v>5</x:v>
      </x:c>
      <x:c r="C918" s="2" t="str">
        <x:f>'Покупки'!C99</x:f>
        <x:v>Докупка</x:v>
      </x:c>
      <x:c r="D918" s="9" t="n">
        <x:v>46281.16341435185</x:v>
      </x:c>
      <x:c r="E918" s="12"/>
      <x:c r="F918" s="12" t="n">
        <x:f>'Покупки'!H99</x:f>
        <x:v>0.00030862660443468963</x:v>
      </x:c>
      <x:c r="G918" s="14" t="str">
        <x:f>IF(I918="Есть цена",IF(AND(ISNUMBER(E918),E918&gt;0,F918&gt;0),E918/F918-1,NA()),"")</x:f>
      </x:c>
      <x:c r="H918" s="14" t="str">
        <x:f>IF(AND(I918="Есть цена",I918="Есть цена"),IF(AND(E918&gt;0,E918&gt;0),E918/E918-1,NA()),"")</x:f>
      </x:c>
      <x:c r="I918" s="2" t="str">
        <x:v>RPC: данные не загружены</x:v>
      </x:c>
      <x:c r="J918" s="2"/>
      <x:c r="K918" s="9"/>
      <x:c r="L918" s="2"/>
      <x:c r="M918" s="2"/>
      <x:c r="N918" s="2"/>
      <x:c r="O918" s="2"/>
      <x:c r="P918" s="2" t="str">
        <x:v>not_cached:getSignaturesForAddress:history/5926bddc638fa1c5befd71f5</x:v>
      </x:c>
      <x:c r="Q918" s="2" t="str"/>
      <x:c r="R918" s="14" t="str">
        <x:f>IF(AND(C918="Нулевой остаток",I918="Есть цена"),G918,"")</x:f>
      </x:c>
      <x:c r="S918" s="14" t="str">
        <x:f>IF(AND(C918="Докупка",I918="Есть цена"),G918,"")</x:f>
      </x:c>
    </x:row>
    <x:row r="919" ht="21" customHeight="1">
      <x:c r="A919" s="2" t="n">
        <x:v>92</x:v>
      </x:c>
      <x:c r="B919" s="2" t="n">
        <x:v>15</x:v>
      </x:c>
      <x:c r="C919" s="2" t="str">
        <x:f>'Покупки'!C99</x:f>
        <x:v>Докупка</x:v>
      </x:c>
      <x:c r="D919" s="9" t="n">
        <x:v>46281.16353009259</x:v>
      </x:c>
      <x:c r="E919" s="12"/>
      <x:c r="F919" s="12" t="n">
        <x:f>'Покупки'!H99</x:f>
        <x:v>0.00030862660443468963</x:v>
      </x:c>
      <x:c r="G919" s="14" t="str">
        <x:f>IF(I919="Есть цена",IF(AND(ISNUMBER(E919),E919&gt;0,F919&gt;0),E919/F919-1,NA()),"")</x:f>
      </x:c>
      <x:c r="H919" s="14" t="str">
        <x:f>IF(AND(I919="Есть цена",I918="Есть цена"),IF(AND(E919&gt;0,E918&gt;0),E919/E918-1,NA()),"")</x:f>
      </x:c>
      <x:c r="I919" s="2" t="str">
        <x:v>RPC: данные не загружены</x:v>
      </x:c>
      <x:c r="J919" s="2"/>
      <x:c r="K919" s="9"/>
      <x:c r="L919" s="2"/>
      <x:c r="M919" s="2"/>
      <x:c r="N919" s="2"/>
      <x:c r="O919" s="2"/>
      <x:c r="P919" s="2" t="str">
        <x:v>not_cached:getSignaturesForAddress:history/5926bddc638fa1c5befd71f5</x:v>
      </x:c>
      <x:c r="Q919" s="2" t="str"/>
      <x:c r="R919" s="14" t="str">
        <x:f>IF(AND(C919="Нулевой остаток",I919="Есть цена"),G919,"")</x:f>
      </x:c>
      <x:c r="S919" s="14" t="str">
        <x:f>IF(AND(C919="Докупка",I919="Есть цена"),G919,"")</x:f>
      </x:c>
    </x:row>
    <x:row r="920" ht="21" customHeight="1">
      <x:c r="A920" s="2" t="n">
        <x:v>92</x:v>
      </x:c>
      <x:c r="B920" s="2" t="n">
        <x:v>30</x:v>
      </x:c>
      <x:c r="C920" s="2" t="str">
        <x:f>'Покупки'!C99</x:f>
        <x:v>Докупка</x:v>
      </x:c>
      <x:c r="D920" s="9" t="n">
        <x:v>46281.16370370371</x:v>
      </x:c>
      <x:c r="E920" s="12"/>
      <x:c r="F920" s="12" t="n">
        <x:f>'Покупки'!H99</x:f>
        <x:v>0.00030862660443468963</x:v>
      </x:c>
      <x:c r="G920" s="14" t="str">
        <x:f>IF(I920="Есть цена",IF(AND(ISNUMBER(E920),E920&gt;0,F920&gt;0),E920/F920-1,NA()),"")</x:f>
      </x:c>
      <x:c r="H920" s="14" t="str">
        <x:f>IF(AND(I920="Есть цена",I918="Есть цена"),IF(AND(E920&gt;0,E918&gt;0),E920/E918-1,NA()),"")</x:f>
      </x:c>
      <x:c r="I920" s="2" t="str">
        <x:v>RPC: данные не загружены</x:v>
      </x:c>
      <x:c r="J920" s="2"/>
      <x:c r="K920" s="9"/>
      <x:c r="L920" s="2"/>
      <x:c r="M920" s="2"/>
      <x:c r="N920" s="2"/>
      <x:c r="O920" s="2"/>
      <x:c r="P920" s="2" t="str">
        <x:v>not_cached:getSignaturesForAddress:history/5926bddc638fa1c5befd71f5</x:v>
      </x:c>
      <x:c r="Q920" s="2" t="str"/>
      <x:c r="R920" s="14" t="str">
        <x:f>IF(AND(C920="Нулевой остаток",I920="Есть цена"),G920,"")</x:f>
      </x:c>
      <x:c r="S920" s="14" t="str">
        <x:f>IF(AND(C920="Докупка",I920="Есть цена"),G920,"")</x:f>
      </x:c>
    </x:row>
    <x:row r="921" ht="21" customHeight="1">
      <x:c r="A921" s="2" t="n">
        <x:v>92</x:v>
      </x:c>
      <x:c r="B921" s="2" t="n">
        <x:v>60</x:v>
      </x:c>
      <x:c r="C921" s="2" t="str">
        <x:f>'Покупки'!C99</x:f>
        <x:v>Докупка</x:v>
      </x:c>
      <x:c r="D921" s="9" t="n">
        <x:v>46281.16405092592</x:v>
      </x:c>
      <x:c r="E921" s="12"/>
      <x:c r="F921" s="12" t="n">
        <x:f>'Покупки'!H99</x:f>
        <x:v>0.00030862660443468963</x:v>
      </x:c>
      <x:c r="G921" s="14" t="str">
        <x:f>IF(I921="Есть цена",IF(AND(ISNUMBER(E921),E921&gt;0,F921&gt;0),E921/F921-1,NA()),"")</x:f>
      </x:c>
      <x:c r="H921" s="14" t="str">
        <x:f>IF(AND(I921="Есть цена",I918="Есть цена"),IF(AND(E921&gt;0,E918&gt;0),E921/E918-1,NA()),"")</x:f>
      </x:c>
      <x:c r="I921" s="2" t="str">
        <x:v>RPC: данные не загружены</x:v>
      </x:c>
      <x:c r="J921" s="2"/>
      <x:c r="K921" s="9"/>
      <x:c r="L921" s="2"/>
      <x:c r="M921" s="2"/>
      <x:c r="N921" s="2"/>
      <x:c r="O921" s="2"/>
      <x:c r="P921" s="2" t="str">
        <x:v>not_cached:getSignaturesForAddress:history/e548f0e5b95b92d2700a9285</x:v>
      </x:c>
      <x:c r="Q921" s="2" t="str"/>
      <x:c r="R921" s="14" t="str">
        <x:f>IF(AND(C921="Нулевой остаток",I921="Есть цена"),G921,"")</x:f>
      </x:c>
      <x:c r="S921" s="14" t="str">
        <x:f>IF(AND(C921="Докупка",I921="Есть цена"),G921,"")</x:f>
      </x:c>
    </x:row>
    <x:row r="922" ht="21" customHeight="1">
      <x:c r="A922" s="2" t="n">
        <x:v>92</x:v>
      </x:c>
      <x:c r="B922" s="2" t="n">
        <x:v>180</x:v>
      </x:c>
      <x:c r="C922" s="2" t="str">
        <x:f>'Покупки'!C99</x:f>
        <x:v>Докупка</x:v>
      </x:c>
      <x:c r="D922" s="9" t="n">
        <x:v>46281.16543981482</x:v>
      </x:c>
      <x:c r="E922" s="12"/>
      <x:c r="F922" s="12" t="n">
        <x:f>'Покупки'!H99</x:f>
        <x:v>0.00030862660443468963</x:v>
      </x:c>
      <x:c r="G922" s="14" t="str">
        <x:f>IF(I922="Есть цена",IF(AND(ISNUMBER(E922),E922&gt;0,F922&gt;0),E922/F922-1,NA()),"")</x:f>
      </x:c>
      <x:c r="H922" s="14" t="str">
        <x:f>IF(AND(I922="Есть цена",I918="Есть цена"),IF(AND(E922&gt;0,E918&gt;0),E922/E918-1,NA()),"")</x:f>
      </x:c>
      <x:c r="I922" s="2" t="str">
        <x:v>RPC: данные не загружены</x:v>
      </x:c>
      <x:c r="J922" s="2"/>
      <x:c r="K922" s="9"/>
      <x:c r="L922" s="2"/>
      <x:c r="M922" s="2"/>
      <x:c r="N922" s="2"/>
      <x:c r="O922" s="2"/>
      <x:c r="P922" s="2" t="str">
        <x:v>not_cached:getSignaturesForAddress:history/e548f0e5b95b92d2700a9285</x:v>
      </x:c>
      <x:c r="Q922" s="2" t="str"/>
      <x:c r="R922" s="14" t="str">
        <x:f>IF(AND(C922="Нулевой остаток",I922="Есть цена"),G922,"")</x:f>
      </x:c>
      <x:c r="S922" s="14" t="str">
        <x:f>IF(AND(C922="Докупка",I922="Есть цена"),G922,"")</x:f>
      </x:c>
    </x:row>
    <x:row r="923" ht="21" customHeight="1">
      <x:c r="A923" s="2" t="n">
        <x:v>92</x:v>
      </x:c>
      <x:c r="B923" s="2" t="n">
        <x:v>300</x:v>
      </x:c>
      <x:c r="C923" s="2" t="str">
        <x:f>'Покупки'!C99</x:f>
        <x:v>Докупка</x:v>
      </x:c>
      <x:c r="D923" s="9" t="n">
        <x:v>46281.1668287037</x:v>
      </x:c>
      <x:c r="E923" s="12"/>
      <x:c r="F923" s="12" t="n">
        <x:f>'Покупки'!H99</x:f>
        <x:v>0.00030862660443468963</x:v>
      </x:c>
      <x:c r="G923" s="14" t="str">
        <x:f>IF(I923="Есть цена",IF(AND(ISNUMBER(E923),E923&gt;0,F923&gt;0),E923/F923-1,NA()),"")</x:f>
      </x:c>
      <x:c r="H923" s="14" t="str">
        <x:f>IF(AND(I923="Есть цена",I918="Есть цена"),IF(AND(E923&gt;0,E918&gt;0),E923/E918-1,NA()),"")</x:f>
      </x:c>
      <x:c r="I923" s="2" t="str">
        <x:v>RPC: данные не загружены</x:v>
      </x:c>
      <x:c r="J923" s="2"/>
      <x:c r="K923" s="9"/>
      <x:c r="L923" s="2"/>
      <x:c r="M923" s="2"/>
      <x:c r="N923" s="2"/>
      <x:c r="O923" s="2"/>
      <x:c r="P923" s="2" t="str">
        <x:v>not_cached:getSignaturesForAddress:history/e548f0e5b95b92d2700a9285</x:v>
      </x:c>
      <x:c r="Q923" s="2" t="str"/>
      <x:c r="R923" s="14" t="str">
        <x:f>IF(AND(C923="Нулевой остаток",I923="Есть цена"),G923,"")</x:f>
      </x:c>
      <x:c r="S923" s="14" t="str">
        <x:f>IF(AND(C923="Докупка",I923="Есть цена"),G923,"")</x:f>
      </x:c>
    </x:row>
    <x:row r="924" ht="21" customHeight="1">
      <x:c r="A924" s="2" t="n">
        <x:v>92</x:v>
      </x:c>
      <x:c r="B924" s="2" t="n">
        <x:v>900</x:v>
      </x:c>
      <x:c r="C924" s="2" t="str">
        <x:f>'Покупки'!C99</x:f>
        <x:v>Докупка</x:v>
      </x:c>
      <x:c r="D924" s="9" t="n">
        <x:v>46281.17377314815</x:v>
      </x:c>
      <x:c r="E924" s="12"/>
      <x:c r="F924" s="12" t="n">
        <x:f>'Покупки'!H99</x:f>
        <x:v>0.00030862660443468963</x:v>
      </x:c>
      <x:c r="G924" s="14" t="str">
        <x:f>IF(I924="Есть цена",IF(AND(ISNUMBER(E924),E924&gt;0,F924&gt;0),E924/F924-1,NA()),"")</x:f>
      </x:c>
      <x:c r="H924" s="14" t="str">
        <x:f>IF(AND(I924="Есть цена",I918="Есть цена"),IF(AND(E924&gt;0,E918&gt;0),E924/E918-1,NA()),"")</x:f>
      </x:c>
      <x:c r="I924" s="2" t="str">
        <x:v>RPC: данные не загружены</x:v>
      </x:c>
      <x:c r="J924" s="2"/>
      <x:c r="K924" s="9"/>
      <x:c r="L924" s="2"/>
      <x:c r="M924" s="2"/>
      <x:c r="N924" s="2"/>
      <x:c r="O924" s="2"/>
      <x:c r="P924" s="2" t="str">
        <x:v>not_cached:getSignaturesForAddress:history/b2e068c81d4becbd93389e3a</x:v>
      </x:c>
      <x:c r="Q924" s="2" t="str"/>
      <x:c r="R924" s="14" t="str">
        <x:f>IF(AND(C924="Нулевой остаток",I924="Есть цена"),G924,"")</x:f>
      </x:c>
      <x:c r="S924" s="14" t="str">
        <x:f>IF(AND(C924="Докупка",I924="Есть цена"),G924,"")</x:f>
      </x:c>
    </x:row>
    <x:row r="925" ht="21" customHeight="1">
      <x:c r="A925" s="2" t="n">
        <x:v>92</x:v>
      </x:c>
      <x:c r="B925" s="2" t="n">
        <x:v>3600</x:v>
      </x:c>
      <x:c r="C925" s="2" t="str">
        <x:f>'Покупки'!C99</x:f>
        <x:v>Докупка</x:v>
      </x:c>
      <x:c r="D925" s="9" t="n">
        <x:v>46281.20502314815</x:v>
      </x:c>
      <x:c r="E925" s="12"/>
      <x:c r="F925" s="12" t="n">
        <x:f>'Покупки'!H99</x:f>
        <x:v>0.00030862660443468963</x:v>
      </x:c>
      <x:c r="G925" s="14" t="str">
        <x:f>IF(I925="Есть цена",IF(AND(ISNUMBER(E925),E925&gt;0,F925&gt;0),E925/F925-1,NA()),"")</x:f>
      </x:c>
      <x:c r="H925" s="14" t="str">
        <x:f>IF(AND(I925="Есть цена",I918="Есть цена"),IF(AND(E925&gt;0,E918&gt;0),E925/E918-1,NA()),"")</x:f>
      </x:c>
      <x:c r="I925" s="2" t="str">
        <x:v>RPC: данные не загружены</x:v>
      </x:c>
      <x:c r="J925" s="2"/>
      <x:c r="K925" s="9"/>
      <x:c r="L925" s="2"/>
      <x:c r="M925" s="2"/>
      <x:c r="N925" s="2"/>
      <x:c r="O925" s="2"/>
      <x:c r="P925" s="2" t="str">
        <x:v>not_cached:getSignaturesForAddress:history/345d96e389b041305daa38c2</x:v>
      </x:c>
      <x:c r="Q925" s="2" t="str"/>
      <x:c r="R925" s="14" t="str">
        <x:f>IF(AND(C925="Нулевой остаток",I925="Есть цена"),G925,"")</x:f>
      </x:c>
      <x:c r="S925" s="14" t="str">
        <x:f>IF(AND(C925="Докупка",I925="Есть цена"),G925,"")</x:f>
      </x:c>
    </x:row>
    <x:row r="926" ht="21" customHeight="1">
      <x:c r="A926" s="2" t="n">
        <x:v>92</x:v>
      </x:c>
      <x:c r="B926" s="2" t="n">
        <x:v>21600</x:v>
      </x:c>
      <x:c r="C926" s="2" t="str">
        <x:f>'Покупки'!C99</x:f>
        <x:v>Докупка</x:v>
      </x:c>
      <x:c r="D926" s="9" t="n">
        <x:v>46281.413356481484</x:v>
      </x:c>
      <x:c r="E926" s="12"/>
      <x:c r="F926" s="12" t="n">
        <x:f>'Покупки'!H99</x:f>
        <x:v>0.00030862660443468963</x:v>
      </x:c>
      <x:c r="G926" s="14" t="str">
        <x:f>IF(I926="Есть цена",IF(AND(ISNUMBER(E926),E926&gt;0,F926&gt;0),E926/F926-1,NA()),"")</x:f>
      </x:c>
      <x:c r="H926" s="14" t="str">
        <x:f>IF(AND(I926="Есть цена",I918="Есть цена"),IF(AND(E926&gt;0,E918&gt;0),E926/E918-1,NA()),"")</x:f>
      </x:c>
      <x:c r="I926" s="2" t="str">
        <x:v>RPC: данные не загружены</x:v>
      </x:c>
      <x:c r="J926" s="2"/>
      <x:c r="K926" s="9"/>
      <x:c r="L926" s="2"/>
      <x:c r="M926" s="2"/>
      <x:c r="N926" s="2"/>
      <x:c r="O926" s="2"/>
      <x:c r="P926" s="2" t="str">
        <x:v>not_cached:getSignaturesForAddress:history/256506272b0465faf3e793e4</x:v>
      </x:c>
      <x:c r="Q926" s="2" t="str"/>
      <x:c r="R926" s="14" t="str">
        <x:f>IF(AND(C926="Нулевой остаток",I926="Есть цена"),G926,"")</x:f>
      </x:c>
      <x:c r="S926" s="14" t="str">
        <x:f>IF(AND(C926="Докупка",I926="Есть цена"),G926,"")</x:f>
      </x:c>
    </x:row>
    <x:row r="927" ht="21" customHeight="1">
      <x:c r="A927" s="2" t="n">
        <x:v>92</x:v>
      </x:c>
      <x:c r="B927" s="2" t="n">
        <x:v>86400</x:v>
      </x:c>
      <x:c r="C927" s="2" t="str">
        <x:f>'Покупки'!C99</x:f>
        <x:v>Докупка</x:v>
      </x:c>
      <x:c r="D927" s="9" t="n">
        <x:v>46282.163356481484</x:v>
      </x:c>
      <x:c r="E927" s="12"/>
      <x:c r="F927" s="12" t="n">
        <x:f>'Покупки'!H99</x:f>
        <x:v>0.00030862660443468963</x:v>
      </x:c>
      <x:c r="G927" s="14" t="str">
        <x:f>IF(I927="Есть цена",IF(AND(ISNUMBER(E927),E927&gt;0,F927&gt;0),E927/F927-1,NA()),"")</x:f>
      </x:c>
      <x:c r="H927" s="14" t="str">
        <x:f>IF(AND(I927="Есть цена",I918="Есть цена"),IF(AND(E927&gt;0,E918&gt;0),E927/E918-1,NA()),"")</x:f>
      </x:c>
      <x:c r="I927" s="2" t="str">
        <x:v>RPC: данные не загружены</x:v>
      </x:c>
      <x:c r="J927" s="2"/>
      <x:c r="K927" s="9"/>
      <x:c r="L927" s="2"/>
      <x:c r="M927" s="2"/>
      <x:c r="N927" s="2"/>
      <x:c r="O927" s="2"/>
      <x:c r="P927" s="2" t="str">
        <x:v>not_cached:getSignaturesForAddress:history/15982ca2088af0f9714b7838</x:v>
      </x:c>
      <x:c r="Q927" s="2" t="str"/>
      <x:c r="R927" s="14" t="str">
        <x:f>IF(AND(C927="Нулевой остаток",I927="Есть цена"),G927,"")</x:f>
      </x:c>
      <x:c r="S927" s="14" t="str">
        <x:f>IF(AND(C927="Докупка",I927="Есть цена"),G927,"")</x:f>
      </x:c>
    </x:row>
    <x:row r="928" ht="21" customHeight="1">
      <x:c r="A928" s="2" t="n">
        <x:v>93</x:v>
      </x:c>
      <x:c r="B928" s="2" t="n">
        <x:v>5</x:v>
      </x:c>
      <x:c r="C928" s="2" t="str">
        <x:f>'Покупки'!C100</x:f>
        <x:v>Докупка</x:v>
      </x:c>
      <x:c r="D928" s="9" t="n">
        <x:v>46281.16322916667</x:v>
      </x:c>
      <x:c r="E928" s="12"/>
      <x:c r="F928" s="12" t="n">
        <x:f>'Покупки'!H100</x:f>
        <x:v>0.0002562322037413619</x:v>
      </x:c>
      <x:c r="G928" s="14" t="str">
        <x:f>IF(I928="Есть цена",IF(AND(ISNUMBER(E928),E928&gt;0,F928&gt;0),E928/F928-1,NA()),"")</x:f>
      </x:c>
      <x:c r="H928" s="14" t="str">
        <x:f>IF(AND(I928="Есть цена",I928="Есть цена"),IF(AND(E928&gt;0,E928&gt;0),E928/E928-1,NA()),"")</x:f>
      </x:c>
      <x:c r="I928" s="2" t="str">
        <x:v>RPC: данные не загружены</x:v>
      </x:c>
      <x:c r="J928" s="2"/>
      <x:c r="K928" s="9"/>
      <x:c r="L928" s="2"/>
      <x:c r="M928" s="2"/>
      <x:c r="N928" s="2"/>
      <x:c r="O928" s="2"/>
      <x:c r="P928" s="2" t="str">
        <x:v>not_cached:getSignaturesForAddress:history/2887a41d81b81ea5aa72b94f</x:v>
      </x:c>
      <x:c r="Q928" s="2" t="str"/>
      <x:c r="R928" s="14" t="str">
        <x:f>IF(AND(C928="Нулевой остаток",I928="Есть цена"),G928,"")</x:f>
      </x:c>
      <x:c r="S928" s="14" t="str">
        <x:f>IF(AND(C928="Докупка",I928="Есть цена"),G928,"")</x:f>
      </x:c>
    </x:row>
    <x:row r="929" ht="21" customHeight="1">
      <x:c r="A929" s="2" t="n">
        <x:v>93</x:v>
      </x:c>
      <x:c r="B929" s="2" t="n">
        <x:v>15</x:v>
      </x:c>
      <x:c r="C929" s="2" t="str">
        <x:f>'Покупки'!C100</x:f>
        <x:v>Докупка</x:v>
      </x:c>
      <x:c r="D929" s="9" t="n">
        <x:v>46281.16334490741</x:v>
      </x:c>
      <x:c r="E929" s="12"/>
      <x:c r="F929" s="12" t="n">
        <x:f>'Покупки'!H100</x:f>
        <x:v>0.0002562322037413619</x:v>
      </x:c>
      <x:c r="G929" s="14" t="str">
        <x:f>IF(I929="Есть цена",IF(AND(ISNUMBER(E929),E929&gt;0,F929&gt;0),E929/F929-1,NA()),"")</x:f>
      </x:c>
      <x:c r="H929" s="14" t="str">
        <x:f>IF(AND(I929="Есть цена",I928="Есть цена"),IF(AND(E929&gt;0,E928&gt;0),E929/E928-1,NA()),"")</x:f>
      </x:c>
      <x:c r="I929" s="2" t="str">
        <x:v>RPC: данные не загружены</x:v>
      </x:c>
      <x:c r="J929" s="2"/>
      <x:c r="K929" s="9"/>
      <x:c r="L929" s="2"/>
      <x:c r="M929" s="2"/>
      <x:c r="N929" s="2"/>
      <x:c r="O929" s="2"/>
      <x:c r="P929" s="2" t="str">
        <x:v>not_cached:getSignaturesForAddress:history/2887a41d81b81ea5aa72b94f</x:v>
      </x:c>
      <x:c r="Q929" s="2" t="str"/>
      <x:c r="R929" s="14" t="str">
        <x:f>IF(AND(C929="Нулевой остаток",I929="Есть цена"),G929,"")</x:f>
      </x:c>
      <x:c r="S929" s="14" t="str">
        <x:f>IF(AND(C929="Докупка",I929="Есть цена"),G929,"")</x:f>
      </x:c>
    </x:row>
    <x:row r="930" ht="21" customHeight="1">
      <x:c r="A930" s="2" t="n">
        <x:v>93</x:v>
      </x:c>
      <x:c r="B930" s="2" t="n">
        <x:v>30</x:v>
      </x:c>
      <x:c r="C930" s="2" t="str">
        <x:f>'Покупки'!C100</x:f>
        <x:v>Докупка</x:v>
      </x:c>
      <x:c r="D930" s="9" t="n">
        <x:v>46281.163518518515</x:v>
      </x:c>
      <x:c r="E930" s="12"/>
      <x:c r="F930" s="12" t="n">
        <x:f>'Покупки'!H100</x:f>
        <x:v>0.0002562322037413619</x:v>
      </x:c>
      <x:c r="G930" s="14" t="str">
        <x:f>IF(I930="Есть цена",IF(AND(ISNUMBER(E930),E930&gt;0,F930&gt;0),E930/F930-1,NA()),"")</x:f>
      </x:c>
      <x:c r="H930" s="14" t="str">
        <x:f>IF(AND(I930="Есть цена",I928="Есть цена"),IF(AND(E930&gt;0,E928&gt;0),E930/E928-1,NA()),"")</x:f>
      </x:c>
      <x:c r="I930" s="2" t="str">
        <x:v>RPC: данные не загружены</x:v>
      </x:c>
      <x:c r="J930" s="2"/>
      <x:c r="K930" s="9"/>
      <x:c r="L930" s="2"/>
      <x:c r="M930" s="2"/>
      <x:c r="N930" s="2"/>
      <x:c r="O930" s="2"/>
      <x:c r="P930" s="2" t="str">
        <x:v>not_cached:getSignaturesForAddress:history/5926bddc638fa1c5befd71f5</x:v>
      </x:c>
      <x:c r="Q930" s="2" t="str"/>
      <x:c r="R930" s="14" t="str">
        <x:f>IF(AND(C930="Нулевой остаток",I930="Есть цена"),G930,"")</x:f>
      </x:c>
      <x:c r="S930" s="14" t="str">
        <x:f>IF(AND(C930="Докупка",I930="Есть цена"),G930,"")</x:f>
      </x:c>
    </x:row>
    <x:row r="931" ht="21" customHeight="1">
      <x:c r="A931" s="2" t="n">
        <x:v>93</x:v>
      </x:c>
      <x:c r="B931" s="2" t="n">
        <x:v>60</x:v>
      </x:c>
      <x:c r="C931" s="2" t="str">
        <x:f>'Покупки'!C100</x:f>
        <x:v>Докупка</x:v>
      </x:c>
      <x:c r="D931" s="9" t="n">
        <x:v>46281.16386574074</x:v>
      </x:c>
      <x:c r="E931" s="12"/>
      <x:c r="F931" s="12" t="n">
        <x:f>'Покупки'!H100</x:f>
        <x:v>0.0002562322037413619</x:v>
      </x:c>
      <x:c r="G931" s="14" t="str">
        <x:f>IF(I931="Есть цена",IF(AND(ISNUMBER(E931),E931&gt;0,F931&gt;0),E931/F931-1,NA()),"")</x:f>
      </x:c>
      <x:c r="H931" s="14" t="str">
        <x:f>IF(AND(I931="Есть цена",I928="Есть цена"),IF(AND(E931&gt;0,E928&gt;0),E931/E928-1,NA()),"")</x:f>
      </x:c>
      <x:c r="I931" s="2" t="str">
        <x:v>RPC: данные не загружены</x:v>
      </x:c>
      <x:c r="J931" s="2"/>
      <x:c r="K931" s="9"/>
      <x:c r="L931" s="2"/>
      <x:c r="M931" s="2"/>
      <x:c r="N931" s="2"/>
      <x:c r="O931" s="2"/>
      <x:c r="P931" s="2" t="str">
        <x:v>not_cached:getSignaturesForAddress:history/9f21a2f475bb8b67e2faa6d0</x:v>
      </x:c>
      <x:c r="Q931" s="2" t="str"/>
      <x:c r="R931" s="14" t="str">
        <x:f>IF(AND(C931="Нулевой остаток",I931="Есть цена"),G931,"")</x:f>
      </x:c>
      <x:c r="S931" s="14" t="str">
        <x:f>IF(AND(C931="Докупка",I931="Есть цена"),G931,"")</x:f>
      </x:c>
    </x:row>
    <x:row r="932" ht="21" customHeight="1">
      <x:c r="A932" s="2" t="n">
        <x:v>93</x:v>
      </x:c>
      <x:c r="B932" s="2" t="n">
        <x:v>180</x:v>
      </x:c>
      <x:c r="C932" s="2" t="str">
        <x:f>'Покупки'!C100</x:f>
        <x:v>Докупка</x:v>
      </x:c>
      <x:c r="D932" s="9" t="n">
        <x:v>46281.16525462963</x:v>
      </x:c>
      <x:c r="E932" s="12"/>
      <x:c r="F932" s="12" t="n">
        <x:f>'Покупки'!H100</x:f>
        <x:v>0.0002562322037413619</x:v>
      </x:c>
      <x:c r="G932" s="14" t="str">
        <x:f>IF(I932="Есть цена",IF(AND(ISNUMBER(E932),E932&gt;0,F932&gt;0),E932/F932-1,NA()),"")</x:f>
      </x:c>
      <x:c r="H932" s="14" t="str">
        <x:f>IF(AND(I932="Есть цена",I928="Есть цена"),IF(AND(E932&gt;0,E928&gt;0),E932/E928-1,NA()),"")</x:f>
      </x:c>
      <x:c r="I932" s="2" t="str">
        <x:v>RPC: данные не загружены</x:v>
      </x:c>
      <x:c r="J932" s="2"/>
      <x:c r="K932" s="9"/>
      <x:c r="L932" s="2"/>
      <x:c r="M932" s="2"/>
      <x:c r="N932" s="2"/>
      <x:c r="O932" s="2"/>
      <x:c r="P932" s="2" t="str">
        <x:v>not_cached:getSignaturesForAddress:history/e548f0e5b95b92d2700a9285</x:v>
      </x:c>
      <x:c r="Q932" s="2" t="str"/>
      <x:c r="R932" s="14" t="str">
        <x:f>IF(AND(C932="Нулевой остаток",I932="Есть цена"),G932,"")</x:f>
      </x:c>
      <x:c r="S932" s="14" t="str">
        <x:f>IF(AND(C932="Докупка",I932="Есть цена"),G932,"")</x:f>
      </x:c>
    </x:row>
    <x:row r="933" ht="21" customHeight="1">
      <x:c r="A933" s="2" t="n">
        <x:v>93</x:v>
      </x:c>
      <x:c r="B933" s="2" t="n">
        <x:v>300</x:v>
      </x:c>
      <x:c r="C933" s="2" t="str">
        <x:f>'Покупки'!C100</x:f>
        <x:v>Докупка</x:v>
      </x:c>
      <x:c r="D933" s="9" t="n">
        <x:v>46281.16664351852</x:v>
      </x:c>
      <x:c r="E933" s="12"/>
      <x:c r="F933" s="12" t="n">
        <x:f>'Покупки'!H100</x:f>
        <x:v>0.0002562322037413619</x:v>
      </x:c>
      <x:c r="G933" s="14" t="str">
        <x:f>IF(I933="Есть цена",IF(AND(ISNUMBER(E933),E933&gt;0,F933&gt;0),E933/F933-1,NA()),"")</x:f>
      </x:c>
      <x:c r="H933" s="14" t="str">
        <x:f>IF(AND(I933="Есть цена",I928="Есть цена"),IF(AND(E933&gt;0,E928&gt;0),E933/E928-1,NA()),"")</x:f>
      </x:c>
      <x:c r="I933" s="2" t="str">
        <x:v>RPC: данные не загружены</x:v>
      </x:c>
      <x:c r="J933" s="2"/>
      <x:c r="K933" s="9"/>
      <x:c r="L933" s="2"/>
      <x:c r="M933" s="2"/>
      <x:c r="N933" s="2"/>
      <x:c r="O933" s="2"/>
      <x:c r="P933" s="2" t="str">
        <x:v>not_cached:getSignaturesForAddress:history/e548f0e5b95b92d2700a9285</x:v>
      </x:c>
      <x:c r="Q933" s="2" t="str"/>
      <x:c r="R933" s="14" t="str">
        <x:f>IF(AND(C933="Нулевой остаток",I933="Есть цена"),G933,"")</x:f>
      </x:c>
      <x:c r="S933" s="14" t="str">
        <x:f>IF(AND(C933="Докупка",I933="Есть цена"),G933,"")</x:f>
      </x:c>
    </x:row>
    <x:row r="934" ht="21" customHeight="1">
      <x:c r="A934" s="2" t="n">
        <x:v>93</x:v>
      </x:c>
      <x:c r="B934" s="2" t="n">
        <x:v>900</x:v>
      </x:c>
      <x:c r="C934" s="2" t="str">
        <x:f>'Покупки'!C100</x:f>
        <x:v>Докупка</x:v>
      </x:c>
      <x:c r="D934" s="9" t="n">
        <x:v>46281.17358796296</x:v>
      </x:c>
      <x:c r="E934" s="12"/>
      <x:c r="F934" s="12" t="n">
        <x:f>'Покупки'!H100</x:f>
        <x:v>0.0002562322037413619</x:v>
      </x:c>
      <x:c r="G934" s="14" t="str">
        <x:f>IF(I934="Есть цена",IF(AND(ISNUMBER(E934),E934&gt;0,F934&gt;0),E934/F934-1,NA()),"")</x:f>
      </x:c>
      <x:c r="H934" s="14" t="str">
        <x:f>IF(AND(I934="Есть цена",I928="Есть цена"),IF(AND(E934&gt;0,E928&gt;0),E934/E928-1,NA()),"")</x:f>
      </x:c>
      <x:c r="I934" s="2" t="str">
        <x:v>RPC: данные не загружены</x:v>
      </x:c>
      <x:c r="J934" s="2"/>
      <x:c r="K934" s="9"/>
      <x:c r="L934" s="2"/>
      <x:c r="M934" s="2"/>
      <x:c r="N934" s="2"/>
      <x:c r="O934" s="2"/>
      <x:c r="P934" s="2" t="str">
        <x:v>not_cached:getSignaturesForAddress:history/b2e068c81d4becbd93389e3a</x:v>
      </x:c>
      <x:c r="Q934" s="2" t="str"/>
      <x:c r="R934" s="14" t="str">
        <x:f>IF(AND(C934="Нулевой остаток",I934="Есть цена"),G934,"")</x:f>
      </x:c>
      <x:c r="S934" s="14" t="str">
        <x:f>IF(AND(C934="Докупка",I934="Есть цена"),G934,"")</x:f>
      </x:c>
    </x:row>
    <x:row r="935" ht="21" customHeight="1">
      <x:c r="A935" s="2" t="n">
        <x:v>93</x:v>
      </x:c>
      <x:c r="B935" s="2" t="n">
        <x:v>3600</x:v>
      </x:c>
      <x:c r="C935" s="2" t="str">
        <x:f>'Покупки'!C100</x:f>
        <x:v>Докупка</x:v>
      </x:c>
      <x:c r="D935" s="9" t="n">
        <x:v>46281.20483796296</x:v>
      </x:c>
      <x:c r="E935" s="12"/>
      <x:c r="F935" s="12" t="n">
        <x:f>'Покупки'!H100</x:f>
        <x:v>0.0002562322037413619</x:v>
      </x:c>
      <x:c r="G935" s="14" t="str">
        <x:f>IF(I935="Есть цена",IF(AND(ISNUMBER(E935),E935&gt;0,F935&gt;0),E935/F935-1,NA()),"")</x:f>
      </x:c>
      <x:c r="H935" s="14" t="str">
        <x:f>IF(AND(I935="Есть цена",I928="Есть цена"),IF(AND(E935&gt;0,E928&gt;0),E935/E928-1,NA()),"")</x:f>
      </x:c>
      <x:c r="I935" s="2" t="str">
        <x:v>RPC: данные не загружены</x:v>
      </x:c>
      <x:c r="J935" s="2"/>
      <x:c r="K935" s="9"/>
      <x:c r="L935" s="2"/>
      <x:c r="M935" s="2"/>
      <x:c r="N935" s="2"/>
      <x:c r="O935" s="2"/>
      <x:c r="P935" s="2" t="str">
        <x:v>not_cached:getSignaturesForAddress:history/345d96e389b041305daa38c2</x:v>
      </x:c>
      <x:c r="Q935" s="2" t="str"/>
      <x:c r="R935" s="14" t="str">
        <x:f>IF(AND(C935="Нулевой остаток",I935="Есть цена"),G935,"")</x:f>
      </x:c>
      <x:c r="S935" s="14" t="str">
        <x:f>IF(AND(C935="Докупка",I935="Есть цена"),G935,"")</x:f>
      </x:c>
    </x:row>
    <x:row r="936" ht="21" customHeight="1">
      <x:c r="A936" s="2" t="n">
        <x:v>93</x:v>
      </x:c>
      <x:c r="B936" s="2" t="n">
        <x:v>21600</x:v>
      </x:c>
      <x:c r="C936" s="2" t="str">
        <x:f>'Покупки'!C100</x:f>
        <x:v>Докупка</x:v>
      </x:c>
      <x:c r="D936" s="9" t="n">
        <x:v>46281.4131712963</x:v>
      </x:c>
      <x:c r="E936" s="12"/>
      <x:c r="F936" s="12" t="n">
        <x:f>'Покупки'!H100</x:f>
        <x:v>0.0002562322037413619</x:v>
      </x:c>
      <x:c r="G936" s="14" t="str">
        <x:f>IF(I936="Есть цена",IF(AND(ISNUMBER(E936),E936&gt;0,F936&gt;0),E936/F936-1,NA()),"")</x:f>
      </x:c>
      <x:c r="H936" s="14" t="str">
        <x:f>IF(AND(I936="Есть цена",I928="Есть цена"),IF(AND(E936&gt;0,E928&gt;0),E936/E928-1,NA()),"")</x:f>
      </x:c>
      <x:c r="I936" s="2" t="str">
        <x:v>RPC: данные не загружены</x:v>
      </x:c>
      <x:c r="J936" s="2"/>
      <x:c r="K936" s="9"/>
      <x:c r="L936" s="2"/>
      <x:c r="M936" s="2"/>
      <x:c r="N936" s="2"/>
      <x:c r="O936" s="2"/>
      <x:c r="P936" s="2" t="str">
        <x:v>not_cached:getSignaturesForAddress:history/256506272b0465faf3e793e4</x:v>
      </x:c>
      <x:c r="Q936" s="2" t="str"/>
      <x:c r="R936" s="14" t="str">
        <x:f>IF(AND(C936="Нулевой остаток",I936="Есть цена"),G936,"")</x:f>
      </x:c>
      <x:c r="S936" s="14" t="str">
        <x:f>IF(AND(C936="Докупка",I936="Есть цена"),G936,"")</x:f>
      </x:c>
    </x:row>
    <x:row r="937" ht="21" customHeight="1">
      <x:c r="A937" s="2" t="n">
        <x:v>93</x:v>
      </x:c>
      <x:c r="B937" s="2" t="n">
        <x:v>86400</x:v>
      </x:c>
      <x:c r="C937" s="2" t="str">
        <x:f>'Покупки'!C100</x:f>
        <x:v>Докупка</x:v>
      </x:c>
      <x:c r="D937" s="9" t="n">
        <x:v>46282.1631712963</x:v>
      </x:c>
      <x:c r="E937" s="12"/>
      <x:c r="F937" s="12" t="n">
        <x:f>'Покупки'!H100</x:f>
        <x:v>0.0002562322037413619</x:v>
      </x:c>
      <x:c r="G937" s="14" t="str">
        <x:f>IF(I937="Есть цена",IF(AND(ISNUMBER(E937),E937&gt;0,F937&gt;0),E937/F937-1,NA()),"")</x:f>
      </x:c>
      <x:c r="H937" s="14" t="str">
        <x:f>IF(AND(I937="Есть цена",I928="Есть цена"),IF(AND(E937&gt;0,E928&gt;0),E937/E928-1,NA()),"")</x:f>
      </x:c>
      <x:c r="I937" s="2" t="str">
        <x:v>RPC: данные не загружены</x:v>
      </x:c>
      <x:c r="J937" s="2"/>
      <x:c r="K937" s="9"/>
      <x:c r="L937" s="2"/>
      <x:c r="M937" s="2"/>
      <x:c r="N937" s="2"/>
      <x:c r="O937" s="2"/>
      <x:c r="P937" s="2" t="str">
        <x:v>not_cached:getSignaturesForAddress:history/15982ca2088af0f9714b7838</x:v>
      </x:c>
      <x:c r="Q937" s="2" t="str"/>
      <x:c r="R937" s="14" t="str">
        <x:f>IF(AND(C937="Нулевой остаток",I937="Есть цена"),G937,"")</x:f>
      </x:c>
      <x:c r="S937" s="14" t="str">
        <x:f>IF(AND(C937="Докупка",I937="Есть цена"),G937,"")</x:f>
      </x:c>
    </x:row>
    <x:row r="938" ht="21" customHeight="1">
      <x:c r="A938" s="2" t="n">
        <x:v>94</x:v>
      </x:c>
      <x:c r="B938" s="2" t="n">
        <x:v>5</x:v>
      </x:c>
      <x:c r="C938" s="2" t="str">
        <x:f>'Покупки'!C101</x:f>
        <x:v>Докупка</x:v>
      </x:c>
      <x:c r="D938" s="9" t="n">
        <x:v>46281.16295138889</x:v>
      </x:c>
      <x:c r="E938" s="12"/>
      <x:c r="F938" s="12" t="n">
        <x:f>'Покупки'!H101</x:f>
        <x:v>0.0025526893695986207</x:v>
      </x:c>
      <x:c r="G938" s="14" t="str">
        <x:f>IF(I938="Есть цена",IF(AND(ISNUMBER(E938),E938&gt;0,F938&gt;0),E938/F938-1,NA()),"")</x:f>
      </x:c>
      <x:c r="H938" s="14" t="str">
        <x:f>IF(AND(I938="Есть цена",I938="Есть цена"),IF(AND(E938&gt;0,E938&gt;0),E938/E938-1,NA()),"")</x:f>
      </x:c>
      <x:c r="I938" s="2" t="str">
        <x:v>RPC: данные не загружены</x:v>
      </x:c>
      <x:c r="J938" s="2"/>
      <x:c r="K938" s="9"/>
      <x:c r="L938" s="2"/>
      <x:c r="M938" s="2"/>
      <x:c r="N938" s="2"/>
      <x:c r="O938" s="2"/>
      <x:c r="P938" s="2" t="str">
        <x:v>not_cached:getSignaturesForAddress:history/16567e9664d2805b54d844e4</x:v>
      </x:c>
      <x:c r="Q938" s="2" t="str"/>
      <x:c r="R938" s="14" t="str">
        <x:f>IF(AND(C938="Нулевой остаток",I938="Есть цена"),G938,"")</x:f>
      </x:c>
      <x:c r="S938" s="14" t="str">
        <x:f>IF(AND(C938="Докупка",I938="Есть цена"),G938,"")</x:f>
      </x:c>
    </x:row>
    <x:row r="939" ht="21" customHeight="1">
      <x:c r="A939" s="2" t="n">
        <x:v>94</x:v>
      </x:c>
      <x:c r="B939" s="2" t="n">
        <x:v>15</x:v>
      </x:c>
      <x:c r="C939" s="2" t="str">
        <x:f>'Покупки'!C101</x:f>
        <x:v>Докупка</x:v>
      </x:c>
      <x:c r="D939" s="9" t="n">
        <x:v>46281.16306712963</x:v>
      </x:c>
      <x:c r="E939" s="12"/>
      <x:c r="F939" s="12" t="n">
        <x:f>'Покупки'!H101</x:f>
        <x:v>0.0025526893695986207</x:v>
      </x:c>
      <x:c r="G939" s="14" t="str">
        <x:f>IF(I939="Есть цена",IF(AND(ISNUMBER(E939),E939&gt;0,F939&gt;0),E939/F939-1,NA()),"")</x:f>
      </x:c>
      <x:c r="H939" s="14" t="str">
        <x:f>IF(AND(I939="Есть цена",I938="Есть цена"),IF(AND(E939&gt;0,E938&gt;0),E939/E938-1,NA()),"")</x:f>
      </x:c>
      <x:c r="I939" s="2" t="str">
        <x:v>RPC: данные не загружены</x:v>
      </x:c>
      <x:c r="J939" s="2"/>
      <x:c r="K939" s="9"/>
      <x:c r="L939" s="2"/>
      <x:c r="M939" s="2"/>
      <x:c r="N939" s="2"/>
      <x:c r="O939" s="2"/>
      <x:c r="P939" s="2" t="str">
        <x:v>not_cached:getSignaturesForAddress:history/16567e9664d2805b54d844e4</x:v>
      </x:c>
      <x:c r="Q939" s="2" t="str"/>
      <x:c r="R939" s="14" t="str">
        <x:f>IF(AND(C939="Нулевой остаток",I939="Есть цена"),G939,"")</x:f>
      </x:c>
      <x:c r="S939" s="14" t="str">
        <x:f>IF(AND(C939="Докупка",I939="Есть цена"),G939,"")</x:f>
      </x:c>
    </x:row>
    <x:row r="940" ht="21" customHeight="1">
      <x:c r="A940" s="2" t="n">
        <x:v>94</x:v>
      </x:c>
      <x:c r="B940" s="2" t="n">
        <x:v>30</x:v>
      </x:c>
      <x:c r="C940" s="2" t="str">
        <x:f>'Покупки'!C101</x:f>
        <x:v>Докупка</x:v>
      </x:c>
      <x:c r="D940" s="9" t="n">
        <x:v>46281.16324074074</x:v>
      </x:c>
      <x:c r="E940" s="12"/>
      <x:c r="F940" s="12" t="n">
        <x:f>'Покупки'!H101</x:f>
        <x:v>0.0025526893695986207</x:v>
      </x:c>
      <x:c r="G940" s="14" t="str">
        <x:f>IF(I940="Есть цена",IF(AND(ISNUMBER(E940),E940&gt;0,F940&gt;0),E940/F940-1,NA()),"")</x:f>
      </x:c>
      <x:c r="H940" s="14" t="str">
        <x:f>IF(AND(I940="Есть цена",I938="Есть цена"),IF(AND(E940&gt;0,E938&gt;0),E940/E938-1,NA()),"")</x:f>
      </x:c>
      <x:c r="I940" s="2" t="str">
        <x:v>RPC: данные не загружены</x:v>
      </x:c>
      <x:c r="J940" s="2"/>
      <x:c r="K940" s="9"/>
      <x:c r="L940" s="2"/>
      <x:c r="M940" s="2"/>
      <x:c r="N940" s="2"/>
      <x:c r="O940" s="2"/>
      <x:c r="P940" s="2" t="str">
        <x:v>not_cached:getSignaturesForAddress:history/a1d870ca3b081e2f955f30f6</x:v>
      </x:c>
      <x:c r="Q940" s="2" t="str"/>
      <x:c r="R940" s="14" t="str">
        <x:f>IF(AND(C940="Нулевой остаток",I940="Есть цена"),G940,"")</x:f>
      </x:c>
      <x:c r="S940" s="14" t="str">
        <x:f>IF(AND(C940="Докупка",I940="Есть цена"),G940,"")</x:f>
      </x:c>
    </x:row>
    <x:row r="941" ht="21" customHeight="1">
      <x:c r="A941" s="2" t="n">
        <x:v>94</x:v>
      </x:c>
      <x:c r="B941" s="2" t="n">
        <x:v>60</x:v>
      </x:c>
      <x:c r="C941" s="2" t="str">
        <x:f>'Покупки'!C101</x:f>
        <x:v>Докупка</x:v>
      </x:c>
      <x:c r="D941" s="9" t="n">
        <x:v>46281.16358796296</x:v>
      </x:c>
      <x:c r="E941" s="12"/>
      <x:c r="F941" s="12" t="n">
        <x:f>'Покупки'!H101</x:f>
        <x:v>0.0025526893695986207</x:v>
      </x:c>
      <x:c r="G941" s="14" t="str">
        <x:f>IF(I941="Есть цена",IF(AND(ISNUMBER(E941),E941&gt;0,F941&gt;0),E941/F941-1,NA()),"")</x:f>
      </x:c>
      <x:c r="H941" s="14" t="str">
        <x:f>IF(AND(I941="Есть цена",I938="Есть цена"),IF(AND(E941&gt;0,E938&gt;0),E941/E938-1,NA()),"")</x:f>
      </x:c>
      <x:c r="I941" s="2" t="str">
        <x:v>RPC: данные не загружены</x:v>
      </x:c>
      <x:c r="J941" s="2"/>
      <x:c r="K941" s="9"/>
      <x:c r="L941" s="2"/>
      <x:c r="M941" s="2"/>
      <x:c r="N941" s="2"/>
      <x:c r="O941" s="2"/>
      <x:c r="P941" s="2" t="str">
        <x:v>not_cached:getSignaturesForAddress:history/861e2633279dd690c8cb0b1b</x:v>
      </x:c>
      <x:c r="Q941" s="2" t="str"/>
      <x:c r="R941" s="14" t="str">
        <x:f>IF(AND(C941="Нулевой остаток",I941="Есть цена"),G941,"")</x:f>
      </x:c>
      <x:c r="S941" s="14" t="str">
        <x:f>IF(AND(C941="Докупка",I941="Есть цена"),G941,"")</x:f>
      </x:c>
    </x:row>
    <x:row r="942" ht="21" customHeight="1">
      <x:c r="A942" s="2" t="n">
        <x:v>94</x:v>
      </x:c>
      <x:c r="B942" s="2" t="n">
        <x:v>180</x:v>
      </x:c>
      <x:c r="C942" s="2" t="str">
        <x:f>'Покупки'!C101</x:f>
        <x:v>Докупка</x:v>
      </x:c>
      <x:c r="D942" s="9" t="n">
        <x:v>46281.164976851855</x:v>
      </x:c>
      <x:c r="E942" s="12"/>
      <x:c r="F942" s="12" t="n">
        <x:f>'Покупки'!H101</x:f>
        <x:v>0.0025526893695986207</x:v>
      </x:c>
      <x:c r="G942" s="14" t="str">
        <x:f>IF(I942="Есть цена",IF(AND(ISNUMBER(E942),E942&gt;0,F942&gt;0),E942/F942-1,NA()),"")</x:f>
      </x:c>
      <x:c r="H942" s="14" t="str">
        <x:f>IF(AND(I942="Есть цена",I938="Есть цена"),IF(AND(E942&gt;0,E938&gt;0),E942/E938-1,NA()),"")</x:f>
      </x:c>
      <x:c r="I942" s="2" t="str">
        <x:v>RPC: данные не загружены</x:v>
      </x:c>
      <x:c r="J942" s="2"/>
      <x:c r="K942" s="9"/>
      <x:c r="L942" s="2"/>
      <x:c r="M942" s="2"/>
      <x:c r="N942" s="2"/>
      <x:c r="O942" s="2"/>
      <x:c r="P942" s="2" t="str">
        <x:v>not_cached:getSignaturesForAddress:history/7e972c995b553ccded33bd44</x:v>
      </x:c>
      <x:c r="Q942" s="2" t="str"/>
      <x:c r="R942" s="14" t="str">
        <x:f>IF(AND(C942="Нулевой остаток",I942="Есть цена"),G942,"")</x:f>
      </x:c>
      <x:c r="S942" s="14" t="str">
        <x:f>IF(AND(C942="Докупка",I942="Есть цена"),G942,"")</x:f>
      </x:c>
    </x:row>
    <x:row r="943" ht="21" customHeight="1">
      <x:c r="A943" s="2" t="n">
        <x:v>94</x:v>
      </x:c>
      <x:c r="B943" s="2" t="n">
        <x:v>300</x:v>
      </x:c>
      <x:c r="C943" s="2" t="str">
        <x:f>'Покупки'!C101</x:f>
        <x:v>Докупка</x:v>
      </x:c>
      <x:c r="D943" s="9" t="n">
        <x:v>46281.16636574074</x:v>
      </x:c>
      <x:c r="E943" s="12"/>
      <x:c r="F943" s="12" t="n">
        <x:f>'Покупки'!H101</x:f>
        <x:v>0.0025526893695986207</x:v>
      </x:c>
      <x:c r="G943" s="14" t="str">
        <x:f>IF(I943="Есть цена",IF(AND(ISNUMBER(E943),E943&gt;0,F943&gt;0),E943/F943-1,NA()),"")</x:f>
      </x:c>
      <x:c r="H943" s="14" t="str">
        <x:f>IF(AND(I943="Есть цена",I938="Есть цена"),IF(AND(E943&gt;0,E938&gt;0),E943/E938-1,NA()),"")</x:f>
      </x:c>
      <x:c r="I943" s="2" t="str">
        <x:v>RPC: данные не загружены</x:v>
      </x:c>
      <x:c r="J943" s="2"/>
      <x:c r="K943" s="9"/>
      <x:c r="L943" s="2"/>
      <x:c r="M943" s="2"/>
      <x:c r="N943" s="2"/>
      <x:c r="O943" s="2"/>
      <x:c r="P943" s="2" t="str">
        <x:v>not_cached:getSignaturesForAddress:history/7e972c995b553ccded33bd44</x:v>
      </x:c>
      <x:c r="Q943" s="2" t="str"/>
      <x:c r="R943" s="14" t="str">
        <x:f>IF(AND(C943="Нулевой остаток",I943="Есть цена"),G943,"")</x:f>
      </x:c>
      <x:c r="S943" s="14" t="str">
        <x:f>IF(AND(C943="Докупка",I943="Есть цена"),G943,"")</x:f>
      </x:c>
    </x:row>
    <x:row r="944" ht="21" customHeight="1">
      <x:c r="A944" s="2" t="n">
        <x:v>94</x:v>
      </x:c>
      <x:c r="B944" s="2" t="n">
        <x:v>900</x:v>
      </x:c>
      <x:c r="C944" s="2" t="str">
        <x:f>'Покупки'!C101</x:f>
        <x:v>Докупка</x:v>
      </x:c>
      <x:c r="D944" s="9" t="n">
        <x:v>46281.173310185186</x:v>
      </x:c>
      <x:c r="E944" s="12"/>
      <x:c r="F944" s="12" t="n">
        <x:f>'Покупки'!H101</x:f>
        <x:v>0.0025526893695986207</x:v>
      </x:c>
      <x:c r="G944" s="14" t="str">
        <x:f>IF(I944="Есть цена",IF(AND(ISNUMBER(E944),E944&gt;0,F944&gt;0),E944/F944-1,NA()),"")</x:f>
      </x:c>
      <x:c r="H944" s="14" t="str">
        <x:f>IF(AND(I944="Есть цена",I938="Есть цена"),IF(AND(E944&gt;0,E938&gt;0),E944/E938-1,NA()),"")</x:f>
      </x:c>
      <x:c r="I944" s="2" t="str">
        <x:v>RPC: данные не загружены</x:v>
      </x:c>
      <x:c r="J944" s="2"/>
      <x:c r="K944" s="9"/>
      <x:c r="L944" s="2"/>
      <x:c r="M944" s="2"/>
      <x:c r="N944" s="2"/>
      <x:c r="O944" s="2"/>
      <x:c r="P944" s="2" t="str">
        <x:v>not_cached:getSignaturesForAddress:history/5323ecd459fa8215f187c875</x:v>
      </x:c>
      <x:c r="Q944" s="2" t="str"/>
      <x:c r="R944" s="14" t="str">
        <x:f>IF(AND(C944="Нулевой остаток",I944="Есть цена"),G944,"")</x:f>
      </x:c>
      <x:c r="S944" s="14" t="str">
        <x:f>IF(AND(C944="Докупка",I944="Есть цена"),G944,"")</x:f>
      </x:c>
    </x:row>
    <x:row r="945" ht="21" customHeight="1">
      <x:c r="A945" s="2" t="n">
        <x:v>94</x:v>
      </x:c>
      <x:c r="B945" s="2" t="n">
        <x:v>3600</x:v>
      </x:c>
      <x:c r="C945" s="2" t="str">
        <x:f>'Покупки'!C101</x:f>
        <x:v>Докупка</x:v>
      </x:c>
      <x:c r="D945" s="9" t="n">
        <x:v>46281.204560185186</x:v>
      </x:c>
      <x:c r="E945" s="12"/>
      <x:c r="F945" s="12" t="n">
        <x:f>'Покупки'!H101</x:f>
        <x:v>0.0025526893695986207</x:v>
      </x:c>
      <x:c r="G945" s="14" t="str">
        <x:f>IF(I945="Есть цена",IF(AND(ISNUMBER(E945),E945&gt;0,F945&gt;0),E945/F945-1,NA()),"")</x:f>
      </x:c>
      <x:c r="H945" s="14" t="str">
        <x:f>IF(AND(I945="Есть цена",I938="Есть цена"),IF(AND(E945&gt;0,E938&gt;0),E945/E938-1,NA()),"")</x:f>
      </x:c>
      <x:c r="I945" s="2" t="str">
        <x:v>RPC: данные не загружены</x:v>
      </x:c>
      <x:c r="J945" s="2"/>
      <x:c r="K945" s="9"/>
      <x:c r="L945" s="2"/>
      <x:c r="M945" s="2"/>
      <x:c r="N945" s="2"/>
      <x:c r="O945" s="2"/>
      <x:c r="P945" s="2" t="str">
        <x:v>not_cached:getSignaturesForAddress:history/922c8f968b1981cbddd37de4</x:v>
      </x:c>
      <x:c r="Q945" s="2" t="str"/>
      <x:c r="R945" s="14" t="str">
        <x:f>IF(AND(C945="Нулевой остаток",I945="Есть цена"),G945,"")</x:f>
      </x:c>
      <x:c r="S945" s="14" t="str">
        <x:f>IF(AND(C945="Докупка",I945="Есть цена"),G945,"")</x:f>
      </x:c>
    </x:row>
    <x:row r="946" ht="21" customHeight="1">
      <x:c r="A946" s="2" t="n">
        <x:v>94</x:v>
      </x:c>
      <x:c r="B946" s="2" t="n">
        <x:v>21600</x:v>
      </x:c>
      <x:c r="C946" s="2" t="str">
        <x:f>'Покупки'!C101</x:f>
        <x:v>Докупка</x:v>
      </x:c>
      <x:c r="D946" s="9" t="n">
        <x:v>46281.41289351852</x:v>
      </x:c>
      <x:c r="E946" s="12"/>
      <x:c r="F946" s="12" t="n">
        <x:f>'Покупки'!H101</x:f>
        <x:v>0.0025526893695986207</x:v>
      </x:c>
      <x:c r="G946" s="14" t="str">
        <x:f>IF(I946="Есть цена",IF(AND(ISNUMBER(E946),E946&gt;0,F946&gt;0),E946/F946-1,NA()),"")</x:f>
      </x:c>
      <x:c r="H946" s="14" t="str">
        <x:f>IF(AND(I946="Есть цена",I938="Есть цена"),IF(AND(E946&gt;0,E938&gt;0),E946/E938-1,NA()),"")</x:f>
      </x:c>
      <x:c r="I946" s="2" t="str">
        <x:v>RPC: данные не загружены</x:v>
      </x:c>
      <x:c r="J946" s="2"/>
      <x:c r="K946" s="9"/>
      <x:c r="L946" s="2"/>
      <x:c r="M946" s="2"/>
      <x:c r="N946" s="2"/>
      <x:c r="O946" s="2"/>
      <x:c r="P946" s="2" t="str">
        <x:v>not_cached:getSignaturesForAddress:history/f4e17d2dd95f9652b052c1eb</x:v>
      </x:c>
      <x:c r="Q946" s="2" t="str"/>
      <x:c r="R946" s="14" t="str">
        <x:f>IF(AND(C946="Нулевой остаток",I946="Есть цена"),G946,"")</x:f>
      </x:c>
      <x:c r="S946" s="14" t="str">
        <x:f>IF(AND(C946="Докупка",I946="Есть цена"),G946,"")</x:f>
      </x:c>
    </x:row>
    <x:row r="947" ht="21" customHeight="1">
      <x:c r="A947" s="2" t="n">
        <x:v>94</x:v>
      </x:c>
      <x:c r="B947" s="2" t="n">
        <x:v>86400</x:v>
      </x:c>
      <x:c r="C947" s="2" t="str">
        <x:f>'Покупки'!C101</x:f>
        <x:v>Докупка</x:v>
      </x:c>
      <x:c r="D947" s="9" t="n">
        <x:v>46282.16289351852</x:v>
      </x:c>
      <x:c r="E947" s="12"/>
      <x:c r="F947" s="12" t="n">
        <x:f>'Покупки'!H101</x:f>
        <x:v>0.0025526893695986207</x:v>
      </x:c>
      <x:c r="G947" s="14" t="str">
        <x:f>IF(I947="Есть цена",IF(AND(ISNUMBER(E947),E947&gt;0,F947&gt;0),E947/F947-1,NA()),"")</x:f>
      </x:c>
      <x:c r="H947" s="14" t="str">
        <x:f>IF(AND(I947="Есть цена",I938="Есть цена"),IF(AND(E947&gt;0,E938&gt;0),E947/E938-1,NA()),"")</x:f>
      </x:c>
      <x:c r="I947" s="2" t="str">
        <x:v>RPC: данные не загружены</x:v>
      </x:c>
      <x:c r="J947" s="2"/>
      <x:c r="K947" s="9"/>
      <x:c r="L947" s="2"/>
      <x:c r="M947" s="2"/>
      <x:c r="N947" s="2"/>
      <x:c r="O947" s="2"/>
      <x:c r="P947" s="2" t="str">
        <x:v>not_cached:getSignaturesForAddress:history/d3fadd67666c41c93c428dab</x:v>
      </x:c>
      <x:c r="Q947" s="2" t="str"/>
      <x:c r="R947" s="14" t="str">
        <x:f>IF(AND(C947="Нулевой остаток",I947="Есть цена"),G947,"")</x:f>
      </x:c>
      <x:c r="S947" s="14" t="str">
        <x:f>IF(AND(C947="Докупка",I947="Есть цена"),G947,"")</x:f>
      </x:c>
    </x:row>
    <x:row r="948" ht="21" customHeight="1">
      <x:c r="A948" s="2" t="n">
        <x:v>95</x:v>
      </x:c>
      <x:c r="B948" s="2" t="n">
        <x:v>5</x:v>
      </x:c>
      <x:c r="C948" s="2" t="str">
        <x:f>'Покупки'!C102</x:f>
        <x:v>Докупка</x:v>
      </x:c>
      <x:c r="D948" s="9" t="n">
        <x:v>46281.16128472222</x:v>
      </x:c>
      <x:c r="E948" s="12"/>
      <x:c r="F948" s="12" t="n">
        <x:f>'Покупки'!H102</x:f>
        <x:v>0.0008037459457333104</x:v>
      </x:c>
      <x:c r="G948" s="14" t="str">
        <x:f>IF(I948="Есть цена",IF(AND(ISNUMBER(E948),E948&gt;0,F948&gt;0),E948/F948-1,NA()),"")</x:f>
      </x:c>
      <x:c r="H948" s="14" t="str">
        <x:f>IF(AND(I948="Есть цена",I948="Есть цена"),IF(AND(E948&gt;0,E948&gt;0),E948/E948-1,NA()),"")</x:f>
      </x:c>
      <x:c r="I948" s="2" t="str">
        <x:v>RPC: данные не загружены</x:v>
      </x:c>
      <x:c r="J948" s="2"/>
      <x:c r="K948" s="9"/>
      <x:c r="L948" s="2"/>
      <x:c r="M948" s="2"/>
      <x:c r="N948" s="2"/>
      <x:c r="O948" s="2"/>
      <x:c r="P948" s="2" t="str">
        <x:v>not_cached:getSignaturesForAddress:history/6ab96ad534d89342d68757b2</x:v>
      </x:c>
      <x:c r="Q948" s="2" t="str"/>
      <x:c r="R948" s="14" t="str">
        <x:f>IF(AND(C948="Нулевой остаток",I948="Есть цена"),G948,"")</x:f>
      </x:c>
      <x:c r="S948" s="14" t="str">
        <x:f>IF(AND(C948="Докупка",I948="Есть цена"),G948,"")</x:f>
      </x:c>
    </x:row>
    <x:row r="949" ht="21" customHeight="1">
      <x:c r="A949" s="2" t="n">
        <x:v>95</x:v>
      </x:c>
      <x:c r="B949" s="2" t="n">
        <x:v>15</x:v>
      </x:c>
      <x:c r="C949" s="2" t="str">
        <x:f>'Покупки'!C102</x:f>
        <x:v>Докупка</x:v>
      </x:c>
      <x:c r="D949" s="9" t="n">
        <x:v>46281.16140046297</x:v>
      </x:c>
      <x:c r="E949" s="12"/>
      <x:c r="F949" s="12" t="n">
        <x:f>'Покупки'!H102</x:f>
        <x:v>0.0008037459457333104</x:v>
      </x:c>
      <x:c r="G949" s="14" t="str">
        <x:f>IF(I949="Есть цена",IF(AND(ISNUMBER(E949),E949&gt;0,F949&gt;0),E949/F949-1,NA()),"")</x:f>
      </x:c>
      <x:c r="H949" s="14" t="str">
        <x:f>IF(AND(I949="Есть цена",I948="Есть цена"),IF(AND(E949&gt;0,E948&gt;0),E949/E948-1,NA()),"")</x:f>
      </x:c>
      <x:c r="I949" s="2" t="str">
        <x:v>RPC: данные не загружены</x:v>
      </x:c>
      <x:c r="J949" s="2"/>
      <x:c r="K949" s="9"/>
      <x:c r="L949" s="2"/>
      <x:c r="M949" s="2"/>
      <x:c r="N949" s="2"/>
      <x:c r="O949" s="2"/>
      <x:c r="P949" s="2" t="str">
        <x:v>not_cached:getSignaturesForAddress:history/6ab96ad534d89342d68757b2</x:v>
      </x:c>
      <x:c r="Q949" s="2" t="str"/>
      <x:c r="R949" s="14" t="str">
        <x:f>IF(AND(C949="Нулевой остаток",I949="Есть цена"),G949,"")</x:f>
      </x:c>
      <x:c r="S949" s="14" t="str">
        <x:f>IF(AND(C949="Докупка",I949="Есть цена"),G949,"")</x:f>
      </x:c>
    </x:row>
    <x:row r="950" ht="21" customHeight="1">
      <x:c r="A950" s="2" t="n">
        <x:v>95</x:v>
      </x:c>
      <x:c r="B950" s="2" t="n">
        <x:v>30</x:v>
      </x:c>
      <x:c r="C950" s="2" t="str">
        <x:f>'Покупки'!C102</x:f>
        <x:v>Докупка</x:v>
      </x:c>
      <x:c r="D950" s="9" t="n">
        <x:v>46281.161574074074</x:v>
      </x:c>
      <x:c r="E950" s="12"/>
      <x:c r="F950" s="12" t="n">
        <x:f>'Покупки'!H102</x:f>
        <x:v>0.0008037459457333104</x:v>
      </x:c>
      <x:c r="G950" s="14" t="str">
        <x:f>IF(I950="Есть цена",IF(AND(ISNUMBER(E950),E950&gt;0,F950&gt;0),E950/F950-1,NA()),"")</x:f>
      </x:c>
      <x:c r="H950" s="14" t="str">
        <x:f>IF(AND(I950="Есть цена",I948="Есть цена"),IF(AND(E950&gt;0,E948&gt;0),E950/E948-1,NA()),"")</x:f>
      </x:c>
      <x:c r="I950" s="2" t="str">
        <x:v>RPC: данные не загружены</x:v>
      </x:c>
      <x:c r="J950" s="2"/>
      <x:c r="K950" s="9"/>
      <x:c r="L950" s="2"/>
      <x:c r="M950" s="2"/>
      <x:c r="N950" s="2"/>
      <x:c r="O950" s="2"/>
      <x:c r="P950" s="2" t="str">
        <x:v>not_cached:getSignaturesForAddress:history/a281dbd1f13a8a8293851507</x:v>
      </x:c>
      <x:c r="Q950" s="2" t="str"/>
      <x:c r="R950" s="14" t="str">
        <x:f>IF(AND(C950="Нулевой остаток",I950="Есть цена"),G950,"")</x:f>
      </x:c>
      <x:c r="S950" s="14" t="str">
        <x:f>IF(AND(C950="Докупка",I950="Есть цена"),G950,"")</x:f>
      </x:c>
    </x:row>
    <x:row r="951" ht="21" customHeight="1">
      <x:c r="A951" s="2" t="n">
        <x:v>95</x:v>
      </x:c>
      <x:c r="B951" s="2" t="n">
        <x:v>60</x:v>
      </x:c>
      <x:c r="C951" s="2" t="str">
        <x:f>'Покупки'!C102</x:f>
        <x:v>Докупка</x:v>
      </x:c>
      <x:c r="D951" s="9" t="n">
        <x:v>46281.1619212963</x:v>
      </x:c>
      <x:c r="E951" s="12"/>
      <x:c r="F951" s="12" t="n">
        <x:f>'Покупки'!H102</x:f>
        <x:v>0.0008037459457333104</x:v>
      </x:c>
      <x:c r="G951" s="14" t="str">
        <x:f>IF(I951="Есть цена",IF(AND(ISNUMBER(E951),E951&gt;0,F951&gt;0),E951/F951-1,NA()),"")</x:f>
      </x:c>
      <x:c r="H951" s="14" t="str">
        <x:f>IF(AND(I951="Есть цена",I948="Есть цена"),IF(AND(E951&gt;0,E948&gt;0),E951/E948-1,NA()),"")</x:f>
      </x:c>
      <x:c r="I951" s="2" t="str">
        <x:v>RPC: данные не загружены</x:v>
      </x:c>
      <x:c r="J951" s="2"/>
      <x:c r="K951" s="9"/>
      <x:c r="L951" s="2"/>
      <x:c r="M951" s="2"/>
      <x:c r="N951" s="2"/>
      <x:c r="O951" s="2"/>
      <x:c r="P951" s="2" t="str">
        <x:v>not_cached:getSignaturesForAddress:history/a281dbd1f13a8a8293851507</x:v>
      </x:c>
      <x:c r="Q951" s="2" t="str"/>
      <x:c r="R951" s="14" t="str">
        <x:f>IF(AND(C951="Нулевой остаток",I951="Есть цена"),G951,"")</x:f>
      </x:c>
      <x:c r="S951" s="14" t="str">
        <x:f>IF(AND(C951="Докупка",I951="Есть цена"),G951,"")</x:f>
      </x:c>
    </x:row>
    <x:row r="952" ht="21" customHeight="1">
      <x:c r="A952" s="2" t="n">
        <x:v>95</x:v>
      </x:c>
      <x:c r="B952" s="2" t="n">
        <x:v>180</x:v>
      </x:c>
      <x:c r="C952" s="2" t="str">
        <x:f>'Покупки'!C102</x:f>
        <x:v>Докупка</x:v>
      </x:c>
      <x:c r="D952" s="9" t="n">
        <x:v>46281.163310185184</x:v>
      </x:c>
      <x:c r="E952" s="12"/>
      <x:c r="F952" s="12" t="n">
        <x:f>'Покупки'!H102</x:f>
        <x:v>0.0008037459457333104</x:v>
      </x:c>
      <x:c r="G952" s="14" t="str">
        <x:f>IF(I952="Есть цена",IF(AND(ISNUMBER(E952),E952&gt;0,F952&gt;0),E952/F952-1,NA()),"")</x:f>
      </x:c>
      <x:c r="H952" s="14" t="str">
        <x:f>IF(AND(I952="Есть цена",I948="Есть цена"),IF(AND(E952&gt;0,E948&gt;0),E952/E948-1,NA()),"")</x:f>
      </x:c>
      <x:c r="I952" s="2" t="str">
        <x:v>RPC: данные не загружены</x:v>
      </x:c>
      <x:c r="J952" s="2"/>
      <x:c r="K952" s="9"/>
      <x:c r="L952" s="2"/>
      <x:c r="M952" s="2"/>
      <x:c r="N952" s="2"/>
      <x:c r="O952" s="2"/>
      <x:c r="P952" s="2" t="str">
        <x:v>not_cached:getSignaturesForAddress:history/c89c23455854793917bfd503</x:v>
      </x:c>
      <x:c r="Q952" s="2" t="str"/>
      <x:c r="R952" s="14" t="str">
        <x:f>IF(AND(C952="Нулевой остаток",I952="Есть цена"),G952,"")</x:f>
      </x:c>
      <x:c r="S952" s="14" t="str">
        <x:f>IF(AND(C952="Докупка",I952="Есть цена"),G952,"")</x:f>
      </x:c>
    </x:row>
    <x:row r="953" ht="21" customHeight="1">
      <x:c r="A953" s="2" t="n">
        <x:v>95</x:v>
      </x:c>
      <x:c r="B953" s="2" t="n">
        <x:v>300</x:v>
      </x:c>
      <x:c r="C953" s="2" t="str">
        <x:f>'Покупки'!C102</x:f>
        <x:v>Докупка</x:v>
      </x:c>
      <x:c r="D953" s="9" t="n">
        <x:v>46281.16469907408</x:v>
      </x:c>
      <x:c r="E953" s="12"/>
      <x:c r="F953" s="12" t="n">
        <x:f>'Покупки'!H102</x:f>
        <x:v>0.0008037459457333104</x:v>
      </x:c>
      <x:c r="G953" s="14" t="str">
        <x:f>IF(I953="Есть цена",IF(AND(ISNUMBER(E953),E953&gt;0,F953&gt;0),E953/F953-1,NA()),"")</x:f>
      </x:c>
      <x:c r="H953" s="14" t="str">
        <x:f>IF(AND(I953="Есть цена",I948="Есть цена"),IF(AND(E953&gt;0,E948&gt;0),E953/E948-1,NA()),"")</x:f>
      </x:c>
      <x:c r="I953" s="2" t="str">
        <x:v>RPC: данные не загружены</x:v>
      </x:c>
      <x:c r="J953" s="2"/>
      <x:c r="K953" s="9"/>
      <x:c r="L953" s="2"/>
      <x:c r="M953" s="2"/>
      <x:c r="N953" s="2"/>
      <x:c r="O953" s="2"/>
      <x:c r="P953" s="2" t="str">
        <x:v>not_cached:getSignaturesForAddress:history/2c2bcdd51a71c4afb7f8f257</x:v>
      </x:c>
      <x:c r="Q953" s="2" t="str"/>
      <x:c r="R953" s="14" t="str">
        <x:f>IF(AND(C953="Нулевой остаток",I953="Есть цена"),G953,"")</x:f>
      </x:c>
      <x:c r="S953" s="14" t="str">
        <x:f>IF(AND(C953="Докупка",I953="Есть цена"),G953,"")</x:f>
      </x:c>
    </x:row>
    <x:row r="954" ht="21" customHeight="1">
      <x:c r="A954" s="2" t="n">
        <x:v>95</x:v>
      </x:c>
      <x:c r="B954" s="2" t="n">
        <x:v>900</x:v>
      </x:c>
      <x:c r="C954" s="2" t="str">
        <x:f>'Покупки'!C102</x:f>
        <x:v>Докупка</x:v>
      </x:c>
      <x:c r="D954" s="9" t="n">
        <x:v>46281.171643518515</x:v>
      </x:c>
      <x:c r="E954" s="12"/>
      <x:c r="F954" s="12" t="n">
        <x:f>'Покупки'!H102</x:f>
        <x:v>0.0008037459457333104</x:v>
      </x:c>
      <x:c r="G954" s="14" t="str">
        <x:f>IF(I954="Есть цена",IF(AND(ISNUMBER(E954),E954&gt;0,F954&gt;0),E954/F954-1,NA()),"")</x:f>
      </x:c>
      <x:c r="H954" s="14" t="str">
        <x:f>IF(AND(I954="Есть цена",I948="Есть цена"),IF(AND(E954&gt;0,E948&gt;0),E954/E948-1,NA()),"")</x:f>
      </x:c>
      <x:c r="I954" s="2" t="str">
        <x:v>RPC: данные не загружены</x:v>
      </x:c>
      <x:c r="J954" s="2"/>
      <x:c r="K954" s="9"/>
      <x:c r="L954" s="2"/>
      <x:c r="M954" s="2"/>
      <x:c r="N954" s="2"/>
      <x:c r="O954" s="2"/>
      <x:c r="P954" s="2" t="str">
        <x:v>not_cached:getSignaturesForAddress:history/e53dd173face51d3365baf2e</x:v>
      </x:c>
      <x:c r="Q954" s="2" t="str"/>
      <x:c r="R954" s="14" t="str">
        <x:f>IF(AND(C954="Нулевой остаток",I954="Есть цена"),G954,"")</x:f>
      </x:c>
      <x:c r="S954" s="14" t="str">
        <x:f>IF(AND(C954="Докупка",I954="Есть цена"),G954,"")</x:f>
      </x:c>
    </x:row>
    <x:row r="955" ht="21" customHeight="1">
      <x:c r="A955" s="2" t="n">
        <x:v>95</x:v>
      </x:c>
      <x:c r="B955" s="2" t="n">
        <x:v>3600</x:v>
      </x:c>
      <x:c r="C955" s="2" t="str">
        <x:f>'Покупки'!C102</x:f>
        <x:v>Докупка</x:v>
      </x:c>
      <x:c r="D955" s="9" t="n">
        <x:v>46281.202893518515</x:v>
      </x:c>
      <x:c r="E955" s="12"/>
      <x:c r="F955" s="12" t="n">
        <x:f>'Покупки'!H102</x:f>
        <x:v>0.0008037459457333104</x:v>
      </x:c>
      <x:c r="G955" s="14" t="str">
        <x:f>IF(I955="Есть цена",IF(AND(ISNUMBER(E955),E955&gt;0,F955&gt;0),E955/F955-1,NA()),"")</x:f>
      </x:c>
      <x:c r="H955" s="14" t="str">
        <x:f>IF(AND(I955="Есть цена",I948="Есть цена"),IF(AND(E955&gt;0,E948&gt;0),E955/E948-1,NA()),"")</x:f>
      </x:c>
      <x:c r="I955" s="2" t="str">
        <x:v>RPC: данные не загружены</x:v>
      </x:c>
      <x:c r="J955" s="2"/>
      <x:c r="K955" s="9"/>
      <x:c r="L955" s="2"/>
      <x:c r="M955" s="2"/>
      <x:c r="N955" s="2"/>
      <x:c r="O955" s="2"/>
      <x:c r="P955" s="2" t="str">
        <x:v>not_cached:getSignaturesForAddress:history/588059bd9e6d21bdbd324e83</x:v>
      </x:c>
      <x:c r="Q955" s="2" t="str"/>
      <x:c r="R955" s="14" t="str">
        <x:f>IF(AND(C955="Нулевой остаток",I955="Есть цена"),G955,"")</x:f>
      </x:c>
      <x:c r="S955" s="14" t="str">
        <x:f>IF(AND(C955="Докупка",I955="Есть цена"),G955,"")</x:f>
      </x:c>
    </x:row>
    <x:row r="956" ht="21" customHeight="1">
      <x:c r="A956" s="2" t="n">
        <x:v>95</x:v>
      </x:c>
      <x:c r="B956" s="2" t="n">
        <x:v>21600</x:v>
      </x:c>
      <x:c r="C956" s="2" t="str">
        <x:f>'Покупки'!C102</x:f>
        <x:v>Докупка</x:v>
      </x:c>
      <x:c r="D956" s="9" t="n">
        <x:v>46281.41122685185</x:v>
      </x:c>
      <x:c r="E956" s="12"/>
      <x:c r="F956" s="12" t="n">
        <x:f>'Покупки'!H102</x:f>
        <x:v>0.0008037459457333104</x:v>
      </x:c>
      <x:c r="G956" s="14" t="str">
        <x:f>IF(I956="Есть цена",IF(AND(ISNUMBER(E956),E956&gt;0,F956&gt;0),E956/F956-1,NA()),"")</x:f>
      </x:c>
      <x:c r="H956" s="14" t="str">
        <x:f>IF(AND(I956="Есть цена",I948="Есть цена"),IF(AND(E956&gt;0,E948&gt;0),E956/E948-1,NA()),"")</x:f>
      </x:c>
      <x:c r="I956" s="2" t="str">
        <x:v>RPC: данные не загружены</x:v>
      </x:c>
      <x:c r="J956" s="2"/>
      <x:c r="K956" s="9"/>
      <x:c r="L956" s="2"/>
      <x:c r="M956" s="2"/>
      <x:c r="N956" s="2"/>
      <x:c r="O956" s="2"/>
      <x:c r="P956" s="2" t="str">
        <x:v>not_cached:getSignaturesForAddress:history/f9400b74b1b2360c63b9965d</x:v>
      </x:c>
      <x:c r="Q956" s="2" t="str"/>
      <x:c r="R956" s="14" t="str">
        <x:f>IF(AND(C956="Нулевой остаток",I956="Есть цена"),G956,"")</x:f>
      </x:c>
      <x:c r="S956" s="14" t="str">
        <x:f>IF(AND(C956="Докупка",I956="Есть цена"),G956,"")</x:f>
      </x:c>
    </x:row>
    <x:row r="957" ht="21" customHeight="1">
      <x:c r="A957" s="2" t="n">
        <x:v>95</x:v>
      </x:c>
      <x:c r="B957" s="2" t="n">
        <x:v>86400</x:v>
      </x:c>
      <x:c r="C957" s="2" t="str">
        <x:f>'Покупки'!C102</x:f>
        <x:v>Докупка</x:v>
      </x:c>
      <x:c r="D957" s="9" t="n">
        <x:v>46282.16122685185</x:v>
      </x:c>
      <x:c r="E957" s="12"/>
      <x:c r="F957" s="12" t="n">
        <x:f>'Покупки'!H102</x:f>
        <x:v>0.0008037459457333104</x:v>
      </x:c>
      <x:c r="G957" s="14" t="str">
        <x:f>IF(I957="Есть цена",IF(AND(ISNUMBER(E957),E957&gt;0,F957&gt;0),E957/F957-1,NA()),"")</x:f>
      </x:c>
      <x:c r="H957" s="14" t="str">
        <x:f>IF(AND(I957="Есть цена",I948="Есть цена"),IF(AND(E957&gt;0,E948&gt;0),E957/E948-1,NA()),"")</x:f>
      </x:c>
      <x:c r="I957" s="2" t="str">
        <x:v>RPC: данные не загружены</x:v>
      </x:c>
      <x:c r="J957" s="2"/>
      <x:c r="K957" s="9"/>
      <x:c r="L957" s="2"/>
      <x:c r="M957" s="2"/>
      <x:c r="N957" s="2"/>
      <x:c r="O957" s="2"/>
      <x:c r="P957" s="2" t="str">
        <x:v>not_cached:getSignaturesForAddress:history/ec7fd91831fba60f0bd54111</x:v>
      </x:c>
      <x:c r="Q957" s="2" t="str"/>
      <x:c r="R957" s="14" t="str">
        <x:f>IF(AND(C957="Нулевой остаток",I957="Есть цена"),G957,"")</x:f>
      </x:c>
      <x:c r="S957" s="14" t="str">
        <x:f>IF(AND(C957="Докупка",I957="Есть цена"),G957,"")</x:f>
      </x:c>
    </x:row>
    <x:row r="958" ht="21" customHeight="1">
      <x:c r="A958" s="2" t="n">
        <x:v>96</x:v>
      </x:c>
      <x:c r="B958" s="2" t="n">
        <x:v>5</x:v>
      </x:c>
      <x:c r="C958" s="2" t="str">
        <x:f>'Покупки'!C103</x:f>
        <x:v>Докупка</x:v>
      </x:c>
      <x:c r="D958" s="9" t="n">
        <x:v>46281.161157407405</x:v>
      </x:c>
      <x:c r="E958" s="12"/>
      <x:c r="F958" s="12" t="n">
        <x:f>'Покупки'!H103</x:f>
        <x:v>0.0024288440165623607</x:v>
      </x:c>
      <x:c r="G958" s="14" t="str">
        <x:f>IF(I958="Есть цена",IF(AND(ISNUMBER(E958),E958&gt;0,F958&gt;0),E958/F958-1,NA()),"")</x:f>
      </x:c>
      <x:c r="H958" s="14" t="str">
        <x:f>IF(AND(I958="Есть цена",I958="Есть цена"),IF(AND(E958&gt;0,E958&gt;0),E958/E958-1,NA()),"")</x:f>
      </x:c>
      <x:c r="I958" s="2" t="str">
        <x:v>RPC: данные не загружены</x:v>
      </x:c>
      <x:c r="J958" s="2"/>
      <x:c r="K958" s="9"/>
      <x:c r="L958" s="2"/>
      <x:c r="M958" s="2"/>
      <x:c r="N958" s="2"/>
      <x:c r="O958" s="2"/>
      <x:c r="P958" s="2" t="str">
        <x:v>not_cached:getSignaturesForAddress:history/78987661fee2516c26876c71</x:v>
      </x:c>
      <x:c r="Q958" s="2" t="str"/>
      <x:c r="R958" s="14" t="str">
        <x:f>IF(AND(C958="Нулевой остаток",I958="Есть цена"),G958,"")</x:f>
      </x:c>
      <x:c r="S958" s="14" t="str">
        <x:f>IF(AND(C958="Докупка",I958="Есть цена"),G958,"")</x:f>
      </x:c>
    </x:row>
    <x:row r="959" ht="21" customHeight="1">
      <x:c r="A959" s="2" t="n">
        <x:v>96</x:v>
      </x:c>
      <x:c r="B959" s="2" t="n">
        <x:v>15</x:v>
      </x:c>
      <x:c r="C959" s="2" t="str">
        <x:f>'Покупки'!C103</x:f>
        <x:v>Докупка</x:v>
      </x:c>
      <x:c r="D959" s="9" t="n">
        <x:v>46281.16127314815</x:v>
      </x:c>
      <x:c r="E959" s="12"/>
      <x:c r="F959" s="12" t="n">
        <x:f>'Покупки'!H103</x:f>
        <x:v>0.0024288440165623607</x:v>
      </x:c>
      <x:c r="G959" s="14" t="str">
        <x:f>IF(I959="Есть цена",IF(AND(ISNUMBER(E959),E959&gt;0,F959&gt;0),E959/F959-1,NA()),"")</x:f>
      </x:c>
      <x:c r="H959" s="14" t="str">
        <x:f>IF(AND(I959="Есть цена",I958="Есть цена"),IF(AND(E959&gt;0,E958&gt;0),E959/E958-1,NA()),"")</x:f>
      </x:c>
      <x:c r="I959" s="2" t="str">
        <x:v>RPC: данные не загружены</x:v>
      </x:c>
      <x:c r="J959" s="2"/>
      <x:c r="K959" s="9"/>
      <x:c r="L959" s="2"/>
      <x:c r="M959" s="2"/>
      <x:c r="N959" s="2"/>
      <x:c r="O959" s="2"/>
      <x:c r="P959" s="2" t="str">
        <x:v>not_cached:getSignaturesForAddress:history/22813f6da11a9bd5964f7429</x:v>
      </x:c>
      <x:c r="Q959" s="2" t="str"/>
      <x:c r="R959" s="14" t="str">
        <x:f>IF(AND(C959="Нулевой остаток",I959="Есть цена"),G959,"")</x:f>
      </x:c>
      <x:c r="S959" s="14" t="str">
        <x:f>IF(AND(C959="Докупка",I959="Есть цена"),G959,"")</x:f>
      </x:c>
    </x:row>
    <x:row r="960" ht="21" customHeight="1">
      <x:c r="A960" s="2" t="n">
        <x:v>96</x:v>
      </x:c>
      <x:c r="B960" s="2" t="n">
        <x:v>30</x:v>
      </x:c>
      <x:c r="C960" s="2" t="str">
        <x:f>'Покупки'!C103</x:f>
        <x:v>Докупка</x:v>
      </x:c>
      <x:c r="D960" s="9" t="n">
        <x:v>46281.16144675926</x:v>
      </x:c>
      <x:c r="E960" s="12"/>
      <x:c r="F960" s="12" t="n">
        <x:f>'Покупки'!H103</x:f>
        <x:v>0.0024288440165623607</x:v>
      </x:c>
      <x:c r="G960" s="14" t="str">
        <x:f>IF(I960="Есть цена",IF(AND(ISNUMBER(E960),E960&gt;0,F960&gt;0),E960/F960-1,NA()),"")</x:f>
      </x:c>
      <x:c r="H960" s="14" t="str">
        <x:f>IF(AND(I960="Есть цена",I958="Есть цена"),IF(AND(E960&gt;0,E958&gt;0),E960/E958-1,NA()),"")</x:f>
      </x:c>
      <x:c r="I960" s="2" t="str">
        <x:v>RPC: данные не загружены</x:v>
      </x:c>
      <x:c r="J960" s="2"/>
      <x:c r="K960" s="9"/>
      <x:c r="L960" s="2"/>
      <x:c r="M960" s="2"/>
      <x:c r="N960" s="2"/>
      <x:c r="O960" s="2"/>
      <x:c r="P960" s="2" t="str">
        <x:v>not_cached:getSignaturesForAddress:history/22813f6da11a9bd5964f7429</x:v>
      </x:c>
      <x:c r="Q960" s="2" t="str"/>
      <x:c r="R960" s="14" t="str">
        <x:f>IF(AND(C960="Нулевой остаток",I960="Есть цена"),G960,"")</x:f>
      </x:c>
      <x:c r="S960" s="14" t="str">
        <x:f>IF(AND(C960="Докупка",I960="Есть цена"),G960,"")</x:f>
      </x:c>
    </x:row>
    <x:row r="961" ht="21" customHeight="1">
      <x:c r="A961" s="2" t="n">
        <x:v>96</x:v>
      </x:c>
      <x:c r="B961" s="2" t="n">
        <x:v>60</x:v>
      </x:c>
      <x:c r="C961" s="2" t="str">
        <x:f>'Покупки'!C103</x:f>
        <x:v>Докупка</x:v>
      </x:c>
      <x:c r="D961" s="9" t="n">
        <x:v>46281.16179398148</x:v>
      </x:c>
      <x:c r="E961" s="12"/>
      <x:c r="F961" s="12" t="n">
        <x:f>'Покупки'!H103</x:f>
        <x:v>0.0024288440165623607</x:v>
      </x:c>
      <x:c r="G961" s="14" t="str">
        <x:f>IF(I961="Есть цена",IF(AND(ISNUMBER(E961),E961&gt;0,F961&gt;0),E961/F961-1,NA()),"")</x:f>
      </x:c>
      <x:c r="H961" s="14" t="str">
        <x:f>IF(AND(I961="Есть цена",I958="Есть цена"),IF(AND(E961&gt;0,E958&gt;0),E961/E958-1,NA()),"")</x:f>
      </x:c>
      <x:c r="I961" s="2" t="str">
        <x:v>RPC: данные не загружены</x:v>
      </x:c>
      <x:c r="J961" s="2"/>
      <x:c r="K961" s="9"/>
      <x:c r="L961" s="2"/>
      <x:c r="M961" s="2"/>
      <x:c r="N961" s="2"/>
      <x:c r="O961" s="2"/>
      <x:c r="P961" s="2" t="str">
        <x:v>not_cached:getSignaturesForAddress:history/39ba2283ea6494e828329b8b</x:v>
      </x:c>
      <x:c r="Q961" s="2" t="str"/>
      <x:c r="R961" s="14" t="str">
        <x:f>IF(AND(C961="Нулевой остаток",I961="Есть цена"),G961,"")</x:f>
      </x:c>
      <x:c r="S961" s="14" t="str">
        <x:f>IF(AND(C961="Докупка",I961="Есть цена"),G961,"")</x:f>
      </x:c>
    </x:row>
    <x:row r="962" ht="21" customHeight="1">
      <x:c r="A962" s="2" t="n">
        <x:v>96</x:v>
      </x:c>
      <x:c r="B962" s="2" t="n">
        <x:v>180</x:v>
      </x:c>
      <x:c r="C962" s="2" t="str">
        <x:f>'Покупки'!C103</x:f>
        <x:v>Докупка</x:v>
      </x:c>
      <x:c r="D962" s="9" t="n">
        <x:v>46281.16318287037</x:v>
      </x:c>
      <x:c r="E962" s="12"/>
      <x:c r="F962" s="12" t="n">
        <x:f>'Покупки'!H103</x:f>
        <x:v>0.0024288440165623607</x:v>
      </x:c>
      <x:c r="G962" s="14" t="str">
        <x:f>IF(I962="Есть цена",IF(AND(ISNUMBER(E962),E962&gt;0,F962&gt;0),E962/F962-1,NA()),"")</x:f>
      </x:c>
      <x:c r="H962" s="14" t="str">
        <x:f>IF(AND(I962="Есть цена",I958="Есть цена"),IF(AND(E962&gt;0,E958&gt;0),E962/E958-1,NA()),"")</x:f>
      </x:c>
      <x:c r="I962" s="2" t="str">
        <x:v>RPC: данные не загружены</x:v>
      </x:c>
      <x:c r="J962" s="2"/>
      <x:c r="K962" s="9"/>
      <x:c r="L962" s="2"/>
      <x:c r="M962" s="2"/>
      <x:c r="N962" s="2"/>
      <x:c r="O962" s="2"/>
      <x:c r="P962" s="2" t="str">
        <x:v>not_cached:getSignaturesForAddress:history/a1d870ca3b081e2f955f30f6</x:v>
      </x:c>
      <x:c r="Q962" s="2" t="str"/>
      <x:c r="R962" s="14" t="str">
        <x:f>IF(AND(C962="Нулевой остаток",I962="Есть цена"),G962,"")</x:f>
      </x:c>
      <x:c r="S962" s="14" t="str">
        <x:f>IF(AND(C962="Докупка",I962="Есть цена"),G962,"")</x:f>
      </x:c>
    </x:row>
    <x:row r="963" ht="21" customHeight="1">
      <x:c r="A963" s="2" t="n">
        <x:v>96</x:v>
      </x:c>
      <x:c r="B963" s="2" t="n">
        <x:v>300</x:v>
      </x:c>
      <x:c r="C963" s="2" t="str">
        <x:f>'Покупки'!C103</x:f>
        <x:v>Докупка</x:v>
      </x:c>
      <x:c r="D963" s="9" t="n">
        <x:v>46281.16457175926</x:v>
      </x:c>
      <x:c r="E963" s="12"/>
      <x:c r="F963" s="12" t="n">
        <x:f>'Покупки'!H103</x:f>
        <x:v>0.0024288440165623607</x:v>
      </x:c>
      <x:c r="G963" s="14" t="str">
        <x:f>IF(I963="Есть цена",IF(AND(ISNUMBER(E963),E963&gt;0,F963&gt;0),E963/F963-1,NA()),"")</x:f>
      </x:c>
      <x:c r="H963" s="14" t="str">
        <x:f>IF(AND(I963="Есть цена",I958="Есть цена"),IF(AND(E963&gt;0,E958&gt;0),E963/E958-1,NA()),"")</x:f>
      </x:c>
      <x:c r="I963" s="2" t="str">
        <x:v>RPC: данные не загружены</x:v>
      </x:c>
      <x:c r="J963" s="2"/>
      <x:c r="K963" s="9"/>
      <x:c r="L963" s="2"/>
      <x:c r="M963" s="2"/>
      <x:c r="N963" s="2"/>
      <x:c r="O963" s="2"/>
      <x:c r="P963" s="2" t="str">
        <x:v>not_cached:getSignaturesForAddress:history/7e972c995b553ccded33bd44</x:v>
      </x:c>
      <x:c r="Q963" s="2" t="str"/>
      <x:c r="R963" s="14" t="str">
        <x:f>IF(AND(C963="Нулевой остаток",I963="Есть цена"),G963,"")</x:f>
      </x:c>
      <x:c r="S963" s="14" t="str">
        <x:f>IF(AND(C963="Докупка",I963="Есть цена"),G963,"")</x:f>
      </x:c>
    </x:row>
    <x:row r="964" ht="21" customHeight="1">
      <x:c r="A964" s="2" t="n">
        <x:v>96</x:v>
      </x:c>
      <x:c r="B964" s="2" t="n">
        <x:v>900</x:v>
      </x:c>
      <x:c r="C964" s="2" t="str">
        <x:f>'Покупки'!C103</x:f>
        <x:v>Докупка</x:v>
      </x:c>
      <x:c r="D964" s="9" t="n">
        <x:v>46281.17151620371</x:v>
      </x:c>
      <x:c r="E964" s="12"/>
      <x:c r="F964" s="12" t="n">
        <x:f>'Покупки'!H103</x:f>
        <x:v>0.0024288440165623607</x:v>
      </x:c>
      <x:c r="G964" s="14" t="str">
        <x:f>IF(I964="Есть цена",IF(AND(ISNUMBER(E964),E964&gt;0,F964&gt;0),E964/F964-1,NA()),"")</x:f>
      </x:c>
      <x:c r="H964" s="14" t="str">
        <x:f>IF(AND(I964="Есть цена",I958="Есть цена"),IF(AND(E964&gt;0,E958&gt;0),E964/E958-1,NA()),"")</x:f>
      </x:c>
      <x:c r="I964" s="2" t="str">
        <x:v>RPC: данные не загружены</x:v>
      </x:c>
      <x:c r="J964" s="2"/>
      <x:c r="K964" s="9"/>
      <x:c r="L964" s="2"/>
      <x:c r="M964" s="2"/>
      <x:c r="N964" s="2"/>
      <x:c r="O964" s="2"/>
      <x:c r="P964" s="2" t="str">
        <x:v>not_cached:getSignaturesForAddress:history/9c8d7ab3ddb495d9c642d81a</x:v>
      </x:c>
      <x:c r="Q964" s="2" t="str"/>
      <x:c r="R964" s="14" t="str">
        <x:f>IF(AND(C964="Нулевой остаток",I964="Есть цена"),G964,"")</x:f>
      </x:c>
      <x:c r="S964" s="14" t="str">
        <x:f>IF(AND(C964="Докупка",I964="Есть цена"),G964,"")</x:f>
      </x:c>
    </x:row>
    <x:row r="965" ht="21" customHeight="1">
      <x:c r="A965" s="2" t="n">
        <x:v>96</x:v>
      </x:c>
      <x:c r="B965" s="2" t="n">
        <x:v>3600</x:v>
      </x:c>
      <x:c r="C965" s="2" t="str">
        <x:f>'Покупки'!C103</x:f>
        <x:v>Докупка</x:v>
      </x:c>
      <x:c r="D965" s="9" t="n">
        <x:v>46281.20276620371</x:v>
      </x:c>
      <x:c r="E965" s="12"/>
      <x:c r="F965" s="12" t="n">
        <x:f>'Покупки'!H103</x:f>
        <x:v>0.0024288440165623607</x:v>
      </x:c>
      <x:c r="G965" s="14" t="str">
        <x:f>IF(I965="Есть цена",IF(AND(ISNUMBER(E965),E965&gt;0,F965&gt;0),E965/F965-1,NA()),"")</x:f>
      </x:c>
      <x:c r="H965" s="14" t="str">
        <x:f>IF(AND(I965="Есть цена",I958="Есть цена"),IF(AND(E965&gt;0,E958&gt;0),E965/E958-1,NA()),"")</x:f>
      </x:c>
      <x:c r="I965" s="2" t="str">
        <x:v>RPC: данные не загружены</x:v>
      </x:c>
      <x:c r="J965" s="2"/>
      <x:c r="K965" s="9"/>
      <x:c r="L965" s="2"/>
      <x:c r="M965" s="2"/>
      <x:c r="N965" s="2"/>
      <x:c r="O965" s="2"/>
      <x:c r="P965" s="2" t="str">
        <x:v>not_cached:getSignaturesForAddress:history/922c8f968b1981cbddd37de4</x:v>
      </x:c>
      <x:c r="Q965" s="2" t="str"/>
      <x:c r="R965" s="14" t="str">
        <x:f>IF(AND(C965="Нулевой остаток",I965="Есть цена"),G965,"")</x:f>
      </x:c>
      <x:c r="S965" s="14" t="str">
        <x:f>IF(AND(C965="Докупка",I965="Есть цена"),G965,"")</x:f>
      </x:c>
    </x:row>
    <x:row r="966" ht="21" customHeight="1">
      <x:c r="A966" s="2" t="n">
        <x:v>96</x:v>
      </x:c>
      <x:c r="B966" s="2" t="n">
        <x:v>21600</x:v>
      </x:c>
      <x:c r="C966" s="2" t="str">
        <x:f>'Покупки'!C103</x:f>
        <x:v>Докупка</x:v>
      </x:c>
      <x:c r="D966" s="9" t="n">
        <x:v>46281.411099537036</x:v>
      </x:c>
      <x:c r="E966" s="12"/>
      <x:c r="F966" s="12" t="n">
        <x:f>'Покупки'!H103</x:f>
        <x:v>0.0024288440165623607</x:v>
      </x:c>
      <x:c r="G966" s="14" t="str">
        <x:f>IF(I966="Есть цена",IF(AND(ISNUMBER(E966),E966&gt;0,F966&gt;0),E966/F966-1,NA()),"")</x:f>
      </x:c>
      <x:c r="H966" s="14" t="str">
        <x:f>IF(AND(I966="Есть цена",I958="Есть цена"),IF(AND(E966&gt;0,E958&gt;0),E966/E958-1,NA()),"")</x:f>
      </x:c>
      <x:c r="I966" s="2" t="str">
        <x:v>RPC: данные не загружены</x:v>
      </x:c>
      <x:c r="J966" s="2"/>
      <x:c r="K966" s="9"/>
      <x:c r="L966" s="2"/>
      <x:c r="M966" s="2"/>
      <x:c r="N966" s="2"/>
      <x:c r="O966" s="2"/>
      <x:c r="P966" s="2" t="str">
        <x:v>not_cached:getSignaturesForAddress:history/6bf5c4aed2dca9ec5e6fa9aa</x:v>
      </x:c>
      <x:c r="Q966" s="2" t="str"/>
      <x:c r="R966" s="14" t="str">
        <x:f>IF(AND(C966="Нулевой остаток",I966="Есть цена"),G966,"")</x:f>
      </x:c>
      <x:c r="S966" s="14" t="str">
        <x:f>IF(AND(C966="Докупка",I966="Есть цена"),G966,"")</x:f>
      </x:c>
    </x:row>
    <x:row r="967" ht="21" customHeight="1">
      <x:c r="A967" s="2" t="n">
        <x:v>96</x:v>
      </x:c>
      <x:c r="B967" s="2" t="n">
        <x:v>86400</x:v>
      </x:c>
      <x:c r="C967" s="2" t="str">
        <x:f>'Покупки'!C103</x:f>
        <x:v>Докупка</x:v>
      </x:c>
      <x:c r="D967" s="9" t="n">
        <x:v>46282.161099537036</x:v>
      </x:c>
      <x:c r="E967" s="12"/>
      <x:c r="F967" s="12" t="n">
        <x:f>'Покупки'!H103</x:f>
        <x:v>0.0024288440165623607</x:v>
      </x:c>
      <x:c r="G967" s="14" t="str">
        <x:f>IF(I967="Есть цена",IF(AND(ISNUMBER(E967),E967&gt;0,F967&gt;0),E967/F967-1,NA()),"")</x:f>
      </x:c>
      <x:c r="H967" s="14" t="str">
        <x:f>IF(AND(I967="Есть цена",I958="Есть цена"),IF(AND(E967&gt;0,E958&gt;0),E967/E958-1,NA()),"")</x:f>
      </x:c>
      <x:c r="I967" s="2" t="str">
        <x:v>RPC: данные не загружены</x:v>
      </x:c>
      <x:c r="J967" s="2"/>
      <x:c r="K967" s="9"/>
      <x:c r="L967" s="2"/>
      <x:c r="M967" s="2"/>
      <x:c r="N967" s="2"/>
      <x:c r="O967" s="2"/>
      <x:c r="P967" s="2" t="str">
        <x:v>not_cached:getSignaturesForAddress:history/d3fadd67666c41c93c428dab</x:v>
      </x:c>
      <x:c r="Q967" s="2" t="str"/>
      <x:c r="R967" s="14" t="str">
        <x:f>IF(AND(C967="Нулевой остаток",I967="Есть цена"),G967,"")</x:f>
      </x:c>
      <x:c r="S967" s="14" t="str">
        <x:f>IF(AND(C967="Докупка",I967="Есть цена"),G967,"")</x:f>
      </x:c>
    </x:row>
    <x:row r="968" ht="21" customHeight="1">
      <x:c r="A968" s="2" t="n">
        <x:v>97</x:v>
      </x:c>
      <x:c r="B968" s="2" t="n">
        <x:v>5</x:v>
      </x:c>
      <x:c r="C968" s="2" t="str">
        <x:f>'Покупки'!C104</x:f>
        <x:v>Докупка</x:v>
      </x:c>
      <x:c r="D968" s="9" t="n">
        <x:v>46281.15584490741</x:v>
      </x:c>
      <x:c r="E968" s="12"/>
      <x:c r="F968" s="12" t="n">
        <x:f>'Покупки'!H104</x:f>
        <x:v>0.0007175066209803049</x:v>
      </x:c>
      <x:c r="G968" s="14" t="str">
        <x:f>IF(I968="Есть цена",IF(AND(ISNUMBER(E968),E968&gt;0,F968&gt;0),E968/F968-1,NA()),"")</x:f>
      </x:c>
      <x:c r="H968" s="14" t="str">
        <x:f>IF(AND(I968="Есть цена",I968="Есть цена"),IF(AND(E968&gt;0,E968&gt;0),E968/E968-1,NA()),"")</x:f>
      </x:c>
      <x:c r="I968" s="2" t="str">
        <x:v>RPC: данные не загружены</x:v>
      </x:c>
      <x:c r="J968" s="2"/>
      <x:c r="K968" s="9"/>
      <x:c r="L968" s="2"/>
      <x:c r="M968" s="2"/>
      <x:c r="N968" s="2"/>
      <x:c r="O968" s="2"/>
      <x:c r="P968" s="2" t="str">
        <x:v>not_cached:getSignaturesForAddress:history/4daa7dba20284825577a2731</x:v>
      </x:c>
      <x:c r="Q968" s="2" t="str"/>
      <x:c r="R968" s="14" t="str">
        <x:f>IF(AND(C968="Нулевой остаток",I968="Есть цена"),G968,"")</x:f>
      </x:c>
      <x:c r="S968" s="14" t="str">
        <x:f>IF(AND(C968="Докупка",I968="Есть цена"),G968,"")</x:f>
      </x:c>
    </x:row>
    <x:row r="969" ht="21" customHeight="1">
      <x:c r="A969" s="2" t="n">
        <x:v>97</x:v>
      </x:c>
      <x:c r="B969" s="2" t="n">
        <x:v>15</x:v>
      </x:c>
      <x:c r="C969" s="2" t="str">
        <x:f>'Покупки'!C104</x:f>
        <x:v>Докупка</x:v>
      </x:c>
      <x:c r="D969" s="9" t="n">
        <x:v>46281.155960648146</x:v>
      </x:c>
      <x:c r="E969" s="12"/>
      <x:c r="F969" s="12" t="n">
        <x:f>'Покупки'!H104</x:f>
        <x:v>0.0007175066209803049</x:v>
      </x:c>
      <x:c r="G969" s="14" t="str">
        <x:f>IF(I969="Есть цена",IF(AND(ISNUMBER(E969),E969&gt;0,F969&gt;0),E969/F969-1,NA()),"")</x:f>
      </x:c>
      <x:c r="H969" s="14" t="str">
        <x:f>IF(AND(I969="Есть цена",I968="Есть цена"),IF(AND(E969&gt;0,E968&gt;0),E969/E968-1,NA()),"")</x:f>
      </x:c>
      <x:c r="I969" s="2" t="str">
        <x:v>RPC: данные не загружены</x:v>
      </x:c>
      <x:c r="J969" s="2"/>
      <x:c r="K969" s="9"/>
      <x:c r="L969" s="2"/>
      <x:c r="M969" s="2"/>
      <x:c r="N969" s="2"/>
      <x:c r="O969" s="2"/>
      <x:c r="P969" s="2" t="str">
        <x:v>not_cached:getSignaturesForAddress:history/71c07fc90180c174bf99d39a</x:v>
      </x:c>
      <x:c r="Q969" s="2" t="str"/>
      <x:c r="R969" s="14" t="str">
        <x:f>IF(AND(C969="Нулевой остаток",I969="Есть цена"),G969,"")</x:f>
      </x:c>
      <x:c r="S969" s="14" t="str">
        <x:f>IF(AND(C969="Докупка",I969="Есть цена"),G969,"")</x:f>
      </x:c>
    </x:row>
    <x:row r="970" ht="21" customHeight="1">
      <x:c r="A970" s="2" t="n">
        <x:v>97</x:v>
      </x:c>
      <x:c r="B970" s="2" t="n">
        <x:v>30</x:v>
      </x:c>
      <x:c r="C970" s="2" t="str">
        <x:f>'Покупки'!C104</x:f>
        <x:v>Докупка</x:v>
      </x:c>
      <x:c r="D970" s="9" t="n">
        <x:v>46281.15613425926</x:v>
      </x:c>
      <x:c r="E970" s="12"/>
      <x:c r="F970" s="12" t="n">
        <x:f>'Покупки'!H104</x:f>
        <x:v>0.0007175066209803049</x:v>
      </x:c>
      <x:c r="G970" s="14" t="str">
        <x:f>IF(I970="Есть цена",IF(AND(ISNUMBER(E970),E970&gt;0,F970&gt;0),E970/F970-1,NA()),"")</x:f>
      </x:c>
      <x:c r="H970" s="14" t="str">
        <x:f>IF(AND(I970="Есть цена",I968="Есть цена"),IF(AND(E970&gt;0,E968&gt;0),E970/E968-1,NA()),"")</x:f>
      </x:c>
      <x:c r="I970" s="2" t="str">
        <x:v>RPC: данные не загружены</x:v>
      </x:c>
      <x:c r="J970" s="2"/>
      <x:c r="K970" s="9"/>
      <x:c r="L970" s="2"/>
      <x:c r="M970" s="2"/>
      <x:c r="N970" s="2"/>
      <x:c r="O970" s="2"/>
      <x:c r="P970" s="2" t="str">
        <x:v>not_cached:getSignaturesForAddress:history/71c07fc90180c174bf99d39a</x:v>
      </x:c>
      <x:c r="Q970" s="2" t="str"/>
      <x:c r="R970" s="14" t="str">
        <x:f>IF(AND(C970="Нулевой остаток",I970="Есть цена"),G970,"")</x:f>
      </x:c>
      <x:c r="S970" s="14" t="str">
        <x:f>IF(AND(C970="Докупка",I970="Есть цена"),G970,"")</x:f>
      </x:c>
    </x:row>
    <x:row r="971" ht="21" customHeight="1">
      <x:c r="A971" s="2" t="n">
        <x:v>97</x:v>
      </x:c>
      <x:c r="B971" s="2" t="n">
        <x:v>60</x:v>
      </x:c>
      <x:c r="C971" s="2" t="str">
        <x:f>'Покупки'!C104</x:f>
        <x:v>Докупка</x:v>
      </x:c>
      <x:c r="D971" s="9" t="n">
        <x:v>46281.156481481485</x:v>
      </x:c>
      <x:c r="E971" s="12"/>
      <x:c r="F971" s="12" t="n">
        <x:f>'Покупки'!H104</x:f>
        <x:v>0.0007175066209803049</x:v>
      </x:c>
      <x:c r="G971" s="14" t="str">
        <x:f>IF(I971="Есть цена",IF(AND(ISNUMBER(E971),E971&gt;0,F971&gt;0),E971/F971-1,NA()),"")</x:f>
      </x:c>
      <x:c r="H971" s="14" t="str">
        <x:f>IF(AND(I971="Есть цена",I968="Есть цена"),IF(AND(E971&gt;0,E968&gt;0),E971/E968-1,NA()),"")</x:f>
      </x:c>
      <x:c r="I971" s="2" t="str">
        <x:v>RPC: данные не загружены</x:v>
      </x:c>
      <x:c r="J971" s="2"/>
      <x:c r="K971" s="9"/>
      <x:c r="L971" s="2"/>
      <x:c r="M971" s="2"/>
      <x:c r="N971" s="2"/>
      <x:c r="O971" s="2"/>
      <x:c r="P971" s="2" t="str">
        <x:v>not_cached:getSignaturesForAddress:history/71c07fc90180c174bf99d39a</x:v>
      </x:c>
      <x:c r="Q971" s="2" t="str"/>
      <x:c r="R971" s="14" t="str">
        <x:f>IF(AND(C971="Нулевой остаток",I971="Есть цена"),G971,"")</x:f>
      </x:c>
      <x:c r="S971" s="14" t="str">
        <x:f>IF(AND(C971="Докупка",I971="Есть цена"),G971,"")</x:f>
      </x:c>
    </x:row>
    <x:row r="972" ht="21" customHeight="1">
      <x:c r="A972" s="2" t="n">
        <x:v>97</x:v>
      </x:c>
      <x:c r="B972" s="2" t="n">
        <x:v>180</x:v>
      </x:c>
      <x:c r="C972" s="2" t="str">
        <x:f>'Покупки'!C104</x:f>
        <x:v>Докупка</x:v>
      </x:c>
      <x:c r="D972" s="9" t="n">
        <x:v>46281.15787037037</x:v>
      </x:c>
      <x:c r="E972" s="12"/>
      <x:c r="F972" s="12" t="n">
        <x:f>'Покупки'!H104</x:f>
        <x:v>0.0007175066209803049</x:v>
      </x:c>
      <x:c r="G972" s="14" t="str">
        <x:f>IF(I972="Есть цена",IF(AND(ISNUMBER(E972),E972&gt;0,F972&gt;0),E972/F972-1,NA()),"")</x:f>
      </x:c>
      <x:c r="H972" s="14" t="str">
        <x:f>IF(AND(I972="Есть цена",I968="Есть цена"),IF(AND(E972&gt;0,E968&gt;0),E972/E968-1,NA()),"")</x:f>
      </x:c>
      <x:c r="I972" s="2" t="str">
        <x:v>RPC: данные не загружены</x:v>
      </x:c>
      <x:c r="J972" s="2"/>
      <x:c r="K972" s="9"/>
      <x:c r="L972" s="2"/>
      <x:c r="M972" s="2"/>
      <x:c r="N972" s="2"/>
      <x:c r="O972" s="2"/>
      <x:c r="P972" s="2" t="str">
        <x:v>not_cached:getSignaturesForAddress:history/c5e25174d883fad43adbaa77</x:v>
      </x:c>
      <x:c r="Q972" s="2" t="str"/>
      <x:c r="R972" s="14" t="str">
        <x:f>IF(AND(C972="Нулевой остаток",I972="Есть цена"),G972,"")</x:f>
      </x:c>
      <x:c r="S972" s="14" t="str">
        <x:f>IF(AND(C972="Докупка",I972="Есть цена"),G972,"")</x:f>
      </x:c>
    </x:row>
    <x:row r="973" ht="21" customHeight="1">
      <x:c r="A973" s="2" t="n">
        <x:v>97</x:v>
      </x:c>
      <x:c r="B973" s="2" t="n">
        <x:v>300</x:v>
      </x:c>
      <x:c r="C973" s="2" t="str">
        <x:f>'Покупки'!C104</x:f>
        <x:v>Докупка</x:v>
      </x:c>
      <x:c r="D973" s="9" t="n">
        <x:v>46281.15925925926</x:v>
      </x:c>
      <x:c r="E973" s="12"/>
      <x:c r="F973" s="12" t="n">
        <x:f>'Покупки'!H104</x:f>
        <x:v>0.0007175066209803049</x:v>
      </x:c>
      <x:c r="G973" s="14" t="str">
        <x:f>IF(I973="Есть цена",IF(AND(ISNUMBER(E973),E973&gt;0,F973&gt;0),E973/F973-1,NA()),"")</x:f>
      </x:c>
      <x:c r="H973" s="14" t="str">
        <x:f>IF(AND(I973="Есть цена",I968="Есть цена"),IF(AND(E973&gt;0,E968&gt;0),E973/E968-1,NA()),"")</x:f>
      </x:c>
      <x:c r="I973" s="2" t="str">
        <x:v>RPC: данные не загружены</x:v>
      </x:c>
      <x:c r="J973" s="2"/>
      <x:c r="K973" s="9"/>
      <x:c r="L973" s="2"/>
      <x:c r="M973" s="2"/>
      <x:c r="N973" s="2"/>
      <x:c r="O973" s="2"/>
      <x:c r="P973" s="2" t="str">
        <x:v>not_cached:getSignaturesForAddress:history/c5e25174d883fad43adbaa77</x:v>
      </x:c>
      <x:c r="Q973" s="2" t="str"/>
      <x:c r="R973" s="14" t="str">
        <x:f>IF(AND(C973="Нулевой остаток",I973="Есть цена"),G973,"")</x:f>
      </x:c>
      <x:c r="S973" s="14" t="str">
        <x:f>IF(AND(C973="Докупка",I973="Есть цена"),G973,"")</x:f>
      </x:c>
    </x:row>
    <x:row r="974" ht="21" customHeight="1">
      <x:c r="A974" s="2" t="n">
        <x:v>97</x:v>
      </x:c>
      <x:c r="B974" s="2" t="n">
        <x:v>900</x:v>
      </x:c>
      <x:c r="C974" s="2" t="str">
        <x:f>'Покупки'!C104</x:f>
        <x:v>Докупка</x:v>
      </x:c>
      <x:c r="D974" s="9" t="n">
        <x:v>46281.1662037037</x:v>
      </x:c>
      <x:c r="E974" s="12"/>
      <x:c r="F974" s="12" t="n">
        <x:f>'Покупки'!H104</x:f>
        <x:v>0.0007175066209803049</x:v>
      </x:c>
      <x:c r="G974" s="14" t="str">
        <x:f>IF(I974="Есть цена",IF(AND(ISNUMBER(E974),E974&gt;0,F974&gt;0),E974/F974-1,NA()),"")</x:f>
      </x:c>
      <x:c r="H974" s="14" t="str">
        <x:f>IF(AND(I974="Есть цена",I968="Есть цена"),IF(AND(E974&gt;0,E968&gt;0),E974/E968-1,NA()),"")</x:f>
      </x:c>
      <x:c r="I974" s="2" t="str">
        <x:v>RPC: данные не загружены</x:v>
      </x:c>
      <x:c r="J974" s="2"/>
      <x:c r="K974" s="9"/>
      <x:c r="L974" s="2"/>
      <x:c r="M974" s="2"/>
      <x:c r="N974" s="2"/>
      <x:c r="O974" s="2"/>
      <x:c r="P974" s="2" t="str">
        <x:v>not_cached:getSignaturesForAddress:history/5a92ca9984fdc820c4fcf72b</x:v>
      </x:c>
      <x:c r="Q974" s="2" t="str"/>
      <x:c r="R974" s="14" t="str">
        <x:f>IF(AND(C974="Нулевой остаток",I974="Есть цена"),G974,"")</x:f>
      </x:c>
      <x:c r="S974" s="14" t="str">
        <x:f>IF(AND(C974="Докупка",I974="Есть цена"),G974,"")</x:f>
      </x:c>
    </x:row>
    <x:row r="975" ht="21" customHeight="1">
      <x:c r="A975" s="2" t="n">
        <x:v>97</x:v>
      </x:c>
      <x:c r="B975" s="2" t="n">
        <x:v>3600</x:v>
      </x:c>
      <x:c r="C975" s="2" t="str">
        <x:f>'Покупки'!C104</x:f>
        <x:v>Докупка</x:v>
      </x:c>
      <x:c r="D975" s="9" t="n">
        <x:v>46281.1974537037</x:v>
      </x:c>
      <x:c r="E975" s="12"/>
      <x:c r="F975" s="12" t="n">
        <x:f>'Покупки'!H104</x:f>
        <x:v>0.0007175066209803049</x:v>
      </x:c>
      <x:c r="G975" s="14" t="str">
        <x:f>IF(I975="Есть цена",IF(AND(ISNUMBER(E975),E975&gt;0,F975&gt;0),E975/F975-1,NA()),"")</x:f>
      </x:c>
      <x:c r="H975" s="14" t="str">
        <x:f>IF(AND(I975="Есть цена",I968="Есть цена"),IF(AND(E975&gt;0,E968&gt;0),E975/E968-1,NA()),"")</x:f>
      </x:c>
      <x:c r="I975" s="2" t="str">
        <x:v>RPC: данные не загружены</x:v>
      </x:c>
      <x:c r="J975" s="2"/>
      <x:c r="K975" s="9"/>
      <x:c r="L975" s="2"/>
      <x:c r="M975" s="2"/>
      <x:c r="N975" s="2"/>
      <x:c r="O975" s="2"/>
      <x:c r="P975" s="2" t="str">
        <x:v>not_cached:getSignaturesForAddress:history/8e722aa79a60e05142e818cf</x:v>
      </x:c>
      <x:c r="Q975" s="2" t="str"/>
      <x:c r="R975" s="14" t="str">
        <x:f>IF(AND(C975="Нулевой остаток",I975="Есть цена"),G975,"")</x:f>
      </x:c>
      <x:c r="S975" s="14" t="str">
        <x:f>IF(AND(C975="Докупка",I975="Есть цена"),G975,"")</x:f>
      </x:c>
    </x:row>
    <x:row r="976" ht="21" customHeight="1">
      <x:c r="A976" s="2" t="n">
        <x:v>97</x:v>
      </x:c>
      <x:c r="B976" s="2" t="n">
        <x:v>21600</x:v>
      </x:c>
      <x:c r="C976" s="2" t="str">
        <x:f>'Покупки'!C104</x:f>
        <x:v>Докупка</x:v>
      </x:c>
      <x:c r="D976" s="9" t="n">
        <x:v>46281.40578703704</x:v>
      </x:c>
      <x:c r="E976" s="12"/>
      <x:c r="F976" s="12" t="n">
        <x:f>'Покупки'!H104</x:f>
        <x:v>0.0007175066209803049</x:v>
      </x:c>
      <x:c r="G976" s="14" t="str">
        <x:f>IF(I976="Есть цена",IF(AND(ISNUMBER(E976),E976&gt;0,F976&gt;0),E976/F976-1,NA()),"")</x:f>
      </x:c>
      <x:c r="H976" s="14" t="str">
        <x:f>IF(AND(I976="Есть цена",I968="Есть цена"),IF(AND(E976&gt;0,E968&gt;0),E976/E968-1,NA()),"")</x:f>
      </x:c>
      <x:c r="I976" s="2" t="str">
        <x:v>RPC: данные не загружены</x:v>
      </x:c>
      <x:c r="J976" s="2"/>
      <x:c r="K976" s="9"/>
      <x:c r="L976" s="2"/>
      <x:c r="M976" s="2"/>
      <x:c r="N976" s="2"/>
      <x:c r="O976" s="2"/>
      <x:c r="P976" s="2" t="str">
        <x:v>not_cached:getSignaturesForAddress:history/dff9ad0a527aef6d7a6ec4f3</x:v>
      </x:c>
      <x:c r="Q976" s="2" t="str"/>
      <x:c r="R976" s="14" t="str">
        <x:f>IF(AND(C976="Нулевой остаток",I976="Есть цена"),G976,"")</x:f>
      </x:c>
      <x:c r="S976" s="14" t="str">
        <x:f>IF(AND(C976="Докупка",I976="Есть цена"),G976,"")</x:f>
      </x:c>
    </x:row>
    <x:row r="977" ht="21" customHeight="1">
      <x:c r="A977" s="2" t="n">
        <x:v>97</x:v>
      </x:c>
      <x:c r="B977" s="2" t="n">
        <x:v>86400</x:v>
      </x:c>
      <x:c r="C977" s="2" t="str">
        <x:f>'Покупки'!C104</x:f>
        <x:v>Докупка</x:v>
      </x:c>
      <x:c r="D977" s="9" t="n">
        <x:v>46282.15578703704</x:v>
      </x:c>
      <x:c r="E977" s="12"/>
      <x:c r="F977" s="12" t="n">
        <x:f>'Покупки'!H104</x:f>
        <x:v>0.0007175066209803049</x:v>
      </x:c>
      <x:c r="G977" s="14" t="str">
        <x:f>IF(I977="Есть цена",IF(AND(ISNUMBER(E977),E977&gt;0,F977&gt;0),E977/F977-1,NA()),"")</x:f>
      </x:c>
      <x:c r="H977" s="14" t="str">
        <x:f>IF(AND(I977="Есть цена",I968="Есть цена"),IF(AND(E977&gt;0,E968&gt;0),E977/E968-1,NA()),"")</x:f>
      </x:c>
      <x:c r="I977" s="2" t="str">
        <x:v>RPC: данные не загружены</x:v>
      </x:c>
      <x:c r="J977" s="2"/>
      <x:c r="K977" s="9"/>
      <x:c r="L977" s="2"/>
      <x:c r="M977" s="2"/>
      <x:c r="N977" s="2"/>
      <x:c r="O977" s="2"/>
      <x:c r="P977" s="2" t="str">
        <x:v>not_cached:getSignaturesForAddress:history/e31fb4be95244b6cc0641b31</x:v>
      </x:c>
      <x:c r="Q977" s="2" t="str"/>
      <x:c r="R977" s="14" t="str">
        <x:f>IF(AND(C977="Нулевой остаток",I977="Есть цена"),G977,"")</x:f>
      </x:c>
      <x:c r="S977" s="14" t="str">
        <x:f>IF(AND(C977="Докупка",I977="Есть цена"),G977,"")</x:f>
      </x:c>
    </x:row>
    <x:row r="978" ht="21" customHeight="1">
      <x:c r="A978" s="2" t="n">
        <x:v>98</x:v>
      </x:c>
      <x:c r="B978" s="2" t="n">
        <x:v>5</x:v>
      </x:c>
      <x:c r="C978" s="2" t="str">
        <x:f>'Покупки'!C105</x:f>
        <x:v>Докупка</x:v>
      </x:c>
      <x:c r="D978" s="9" t="n">
        <x:v>46281.15576388889</x:v>
      </x:c>
      <x:c r="E978" s="12"/>
      <x:c r="F978" s="12" t="n">
        <x:f>'Покупки'!H105</x:f>
        <x:v>0.0007030411137870277</x:v>
      </x:c>
      <x:c r="G978" s="14" t="str">
        <x:f>IF(I978="Есть цена",IF(AND(ISNUMBER(E978),E978&gt;0,F978&gt;0),E978/F978-1,NA()),"")</x:f>
      </x:c>
      <x:c r="H978" s="14" t="str">
        <x:f>IF(AND(I978="Есть цена",I978="Есть цена"),IF(AND(E978&gt;0,E978&gt;0),E978/E978-1,NA()),"")</x:f>
      </x:c>
      <x:c r="I978" s="2" t="str">
        <x:v>RPC: данные не загружены</x:v>
      </x:c>
      <x:c r="J978" s="2"/>
      <x:c r="K978" s="9"/>
      <x:c r="L978" s="2"/>
      <x:c r="M978" s="2"/>
      <x:c r="N978" s="2"/>
      <x:c r="O978" s="2"/>
      <x:c r="P978" s="2" t="str">
        <x:v>not_cached:getSignaturesForAddress:history/d4e62719673edb7af6f8a05b</x:v>
      </x:c>
      <x:c r="Q978" s="2" t="str"/>
      <x:c r="R978" s="14" t="str">
        <x:f>IF(AND(C978="Нулевой остаток",I978="Есть цена"),G978,"")</x:f>
      </x:c>
      <x:c r="S978" s="14" t="str">
        <x:f>IF(AND(C978="Докупка",I978="Есть цена"),G978,"")</x:f>
      </x:c>
    </x:row>
    <x:row r="979" ht="21" customHeight="1">
      <x:c r="A979" s="2" t="n">
        <x:v>98</x:v>
      </x:c>
      <x:c r="B979" s="2" t="n">
        <x:v>15</x:v>
      </x:c>
      <x:c r="C979" s="2" t="str">
        <x:f>'Покупки'!C105</x:f>
        <x:v>Докупка</x:v>
      </x:c>
      <x:c r="D979" s="9" t="n">
        <x:v>46281.15587962963</x:v>
      </x:c>
      <x:c r="E979" s="12"/>
      <x:c r="F979" s="12" t="n">
        <x:f>'Покупки'!H105</x:f>
        <x:v>0.0007030411137870277</x:v>
      </x:c>
      <x:c r="G979" s="14" t="str">
        <x:f>IF(I979="Есть цена",IF(AND(ISNUMBER(E979),E979&gt;0,F979&gt;0),E979/F979-1,NA()),"")</x:f>
      </x:c>
      <x:c r="H979" s="14" t="str">
        <x:f>IF(AND(I979="Есть цена",I978="Есть цена"),IF(AND(E979&gt;0,E978&gt;0),E979/E978-1,NA()),"")</x:f>
      </x:c>
      <x:c r="I979" s="2" t="str">
        <x:v>RPC: данные не загружены</x:v>
      </x:c>
      <x:c r="J979" s="2"/>
      <x:c r="K979" s="9"/>
      <x:c r="L979" s="2"/>
      <x:c r="M979" s="2"/>
      <x:c r="N979" s="2"/>
      <x:c r="O979" s="2"/>
      <x:c r="P979" s="2" t="str">
        <x:v>not_cached:getSignaturesForAddress:history/8badb6ad4ebc58c0d35c5223</x:v>
      </x:c>
      <x:c r="Q979" s="2" t="str"/>
      <x:c r="R979" s="14" t="str">
        <x:f>IF(AND(C979="Нулевой остаток",I979="Есть цена"),G979,"")</x:f>
      </x:c>
      <x:c r="S979" s="14" t="str">
        <x:f>IF(AND(C979="Докупка",I979="Есть цена"),G979,"")</x:f>
      </x:c>
    </x:row>
    <x:row r="980" ht="21" customHeight="1">
      <x:c r="A980" s="2" t="n">
        <x:v>98</x:v>
      </x:c>
      <x:c r="B980" s="2" t="n">
        <x:v>30</x:v>
      </x:c>
      <x:c r="C980" s="2" t="str">
        <x:f>'Покупки'!C105</x:f>
        <x:v>Докупка</x:v>
      </x:c>
      <x:c r="D980" s="9" t="n">
        <x:v>46281.15605324074</x:v>
      </x:c>
      <x:c r="E980" s="12"/>
      <x:c r="F980" s="12" t="n">
        <x:f>'Покупки'!H105</x:f>
        <x:v>0.0007030411137870277</x:v>
      </x:c>
      <x:c r="G980" s="14" t="str">
        <x:f>IF(I980="Есть цена",IF(AND(ISNUMBER(E980),E980&gt;0,F980&gt;0),E980/F980-1,NA()),"")</x:f>
      </x:c>
      <x:c r="H980" s="14" t="str">
        <x:f>IF(AND(I980="Есть цена",I978="Есть цена"),IF(AND(E980&gt;0,E978&gt;0),E980/E978-1,NA()),"")</x:f>
      </x:c>
      <x:c r="I980" s="2" t="str">
        <x:v>RPC: данные не загружены</x:v>
      </x:c>
      <x:c r="J980" s="2"/>
      <x:c r="K980" s="9"/>
      <x:c r="L980" s="2"/>
      <x:c r="M980" s="2"/>
      <x:c r="N980" s="2"/>
      <x:c r="O980" s="2"/>
      <x:c r="P980" s="2" t="str">
        <x:v>not_cached:getSignaturesForAddress:history/c84c7aa79148934a82f83298</x:v>
      </x:c>
      <x:c r="Q980" s="2" t="str"/>
      <x:c r="R980" s="14" t="str">
        <x:f>IF(AND(C980="Нулевой остаток",I980="Есть цена"),G980,"")</x:f>
      </x:c>
      <x:c r="S980" s="14" t="str">
        <x:f>IF(AND(C980="Докупка",I980="Есть цена"),G980,"")</x:f>
      </x:c>
    </x:row>
    <x:row r="981" ht="21" customHeight="1">
      <x:c r="A981" s="2" t="n">
        <x:v>98</x:v>
      </x:c>
      <x:c r="B981" s="2" t="n">
        <x:v>60</x:v>
      </x:c>
      <x:c r="C981" s="2" t="str">
        <x:f>'Покупки'!C105</x:f>
        <x:v>Докупка</x:v>
      </x:c>
      <x:c r="D981" s="9" t="n">
        <x:v>46281.15640046296</x:v>
      </x:c>
      <x:c r="E981" s="12"/>
      <x:c r="F981" s="12" t="n">
        <x:f>'Покупки'!H105</x:f>
        <x:v>0.0007030411137870277</x:v>
      </x:c>
      <x:c r="G981" s="14" t="str">
        <x:f>IF(I981="Есть цена",IF(AND(ISNUMBER(E981),E981&gt;0,F981&gt;0),E981/F981-1,NA()),"")</x:f>
      </x:c>
      <x:c r="H981" s="14" t="str">
        <x:f>IF(AND(I981="Есть цена",I978="Есть цена"),IF(AND(E981&gt;0,E978&gt;0),E981/E978-1,NA()),"")</x:f>
      </x:c>
      <x:c r="I981" s="2" t="str">
        <x:v>RPC: данные не загружены</x:v>
      </x:c>
      <x:c r="J981" s="2"/>
      <x:c r="K981" s="9"/>
      <x:c r="L981" s="2"/>
      <x:c r="M981" s="2"/>
      <x:c r="N981" s="2"/>
      <x:c r="O981" s="2"/>
      <x:c r="P981" s="2" t="str">
        <x:v>not_cached:getSignaturesForAddress:history/c84c7aa79148934a82f83298</x:v>
      </x:c>
      <x:c r="Q981" s="2" t="str"/>
      <x:c r="R981" s="14" t="str">
        <x:f>IF(AND(C981="Нулевой остаток",I981="Есть цена"),G981,"")</x:f>
      </x:c>
      <x:c r="S981" s="14" t="str">
        <x:f>IF(AND(C981="Докупка",I981="Есть цена"),G981,"")</x:f>
      </x:c>
    </x:row>
    <x:row r="982" ht="21" customHeight="1">
      <x:c r="A982" s="2" t="n">
        <x:v>98</x:v>
      </x:c>
      <x:c r="B982" s="2" t="n">
        <x:v>180</x:v>
      </x:c>
      <x:c r="C982" s="2" t="str">
        <x:f>'Покупки'!C105</x:f>
        <x:v>Докупка</x:v>
      </x:c>
      <x:c r="D982" s="9" t="n">
        <x:v>46281.157789351855</x:v>
      </x:c>
      <x:c r="E982" s="12"/>
      <x:c r="F982" s="12" t="n">
        <x:f>'Покупки'!H105</x:f>
        <x:v>0.0007030411137870277</x:v>
      </x:c>
      <x:c r="G982" s="14" t="str">
        <x:f>IF(I982="Есть цена",IF(AND(ISNUMBER(E982),E982&gt;0,F982&gt;0),E982/F982-1,NA()),"")</x:f>
      </x:c>
      <x:c r="H982" s="14" t="str">
        <x:f>IF(AND(I982="Есть цена",I978="Есть цена"),IF(AND(E982&gt;0,E978&gt;0),E982/E978-1,NA()),"")</x:f>
      </x:c>
      <x:c r="I982" s="2" t="str">
        <x:v>RPC: данные не загружены</x:v>
      </x:c>
      <x:c r="J982" s="2"/>
      <x:c r="K982" s="9"/>
      <x:c r="L982" s="2"/>
      <x:c r="M982" s="2"/>
      <x:c r="N982" s="2"/>
      <x:c r="O982" s="2"/>
      <x:c r="P982" s="2" t="str">
        <x:v>not_cached:getSignaturesForAddress:history/f9513518b4b3fb26f2d1daac</x:v>
      </x:c>
      <x:c r="Q982" s="2" t="str"/>
      <x:c r="R982" s="14" t="str">
        <x:f>IF(AND(C982="Нулевой остаток",I982="Есть цена"),G982,"")</x:f>
      </x:c>
      <x:c r="S982" s="14" t="str">
        <x:f>IF(AND(C982="Докупка",I982="Есть цена"),G982,"")</x:f>
      </x:c>
    </x:row>
    <x:row r="983" ht="21" customHeight="1">
      <x:c r="A983" s="2" t="n">
        <x:v>98</x:v>
      </x:c>
      <x:c r="B983" s="2" t="n">
        <x:v>300</x:v>
      </x:c>
      <x:c r="C983" s="2" t="str">
        <x:f>'Покупки'!C105</x:f>
        <x:v>Докупка</x:v>
      </x:c>
      <x:c r="D983" s="9" t="n">
        <x:v>46281.15917824074</x:v>
      </x:c>
      <x:c r="E983" s="12"/>
      <x:c r="F983" s="12" t="n">
        <x:f>'Покупки'!H105</x:f>
        <x:v>0.0007030411137870277</x:v>
      </x:c>
      <x:c r="G983" s="14" t="str">
        <x:f>IF(I983="Есть цена",IF(AND(ISNUMBER(E983),E983&gt;0,F983&gt;0),E983/F983-1,NA()),"")</x:f>
      </x:c>
      <x:c r="H983" s="14" t="str">
        <x:f>IF(AND(I983="Есть цена",I978="Есть цена"),IF(AND(E983&gt;0,E978&gt;0),E983/E978-1,NA()),"")</x:f>
      </x:c>
      <x:c r="I983" s="2" t="str">
        <x:v>RPC: данные не загружены</x:v>
      </x:c>
      <x:c r="J983" s="2"/>
      <x:c r="K983" s="9"/>
      <x:c r="L983" s="2"/>
      <x:c r="M983" s="2"/>
      <x:c r="N983" s="2"/>
      <x:c r="O983" s="2"/>
      <x:c r="P983" s="2" t="str">
        <x:v>not_cached:getSignaturesForAddress:history/f9513518b4b3fb26f2d1daac</x:v>
      </x:c>
      <x:c r="Q983" s="2" t="str"/>
      <x:c r="R983" s="14" t="str">
        <x:f>IF(AND(C983="Нулевой остаток",I983="Есть цена"),G983,"")</x:f>
      </x:c>
      <x:c r="S983" s="14" t="str">
        <x:f>IF(AND(C983="Докупка",I983="Есть цена"),G983,"")</x:f>
      </x:c>
    </x:row>
    <x:row r="984" ht="21" customHeight="1">
      <x:c r="A984" s="2" t="n">
        <x:v>98</x:v>
      </x:c>
      <x:c r="B984" s="2" t="n">
        <x:v>900</x:v>
      </x:c>
      <x:c r="C984" s="2" t="str">
        <x:f>'Покупки'!C105</x:f>
        <x:v>Докупка</x:v>
      </x:c>
      <x:c r="D984" s="9" t="n">
        <x:v>46281.16612268519</x:v>
      </x:c>
      <x:c r="E984" s="12"/>
      <x:c r="F984" s="12" t="n">
        <x:f>'Покупки'!H105</x:f>
        <x:v>0.0007030411137870277</x:v>
      </x:c>
      <x:c r="G984" s="14" t="str">
        <x:f>IF(I984="Есть цена",IF(AND(ISNUMBER(E984),E984&gt;0,F984&gt;0),E984/F984-1,NA()),"")</x:f>
      </x:c>
      <x:c r="H984" s="14" t="str">
        <x:f>IF(AND(I984="Есть цена",I978="Есть цена"),IF(AND(E984&gt;0,E978&gt;0),E984/E978-1,NA()),"")</x:f>
      </x:c>
      <x:c r="I984" s="2" t="str">
        <x:v>RPC: данные не загружены</x:v>
      </x:c>
      <x:c r="J984" s="2"/>
      <x:c r="K984" s="9"/>
      <x:c r="L984" s="2"/>
      <x:c r="M984" s="2"/>
      <x:c r="N984" s="2"/>
      <x:c r="O984" s="2"/>
      <x:c r="P984" s="2" t="str">
        <x:v>not_cached:getSignaturesForAddress:history/460d1b73b64dc35ab7c46ea1</x:v>
      </x:c>
      <x:c r="Q984" s="2" t="str"/>
      <x:c r="R984" s="14" t="str">
        <x:f>IF(AND(C984="Нулевой остаток",I984="Есть цена"),G984,"")</x:f>
      </x:c>
      <x:c r="S984" s="14" t="str">
        <x:f>IF(AND(C984="Докупка",I984="Есть цена"),G984,"")</x:f>
      </x:c>
    </x:row>
    <x:row r="985" ht="21" customHeight="1">
      <x:c r="A985" s="2" t="n">
        <x:v>98</x:v>
      </x:c>
      <x:c r="B985" s="2" t="n">
        <x:v>3600</x:v>
      </x:c>
      <x:c r="C985" s="2" t="str">
        <x:f>'Покупки'!C105</x:f>
        <x:v>Докупка</x:v>
      </x:c>
      <x:c r="D985" s="9" t="n">
        <x:v>46281.19737268519</x:v>
      </x:c>
      <x:c r="E985" s="12"/>
      <x:c r="F985" s="12" t="n">
        <x:f>'Покупки'!H105</x:f>
        <x:v>0.0007030411137870277</x:v>
      </x:c>
      <x:c r="G985" s="14" t="str">
        <x:f>IF(I985="Есть цена",IF(AND(ISNUMBER(E985),E985&gt;0,F985&gt;0),E985/F985-1,NA()),"")</x:f>
      </x:c>
      <x:c r="H985" s="14" t="str">
        <x:f>IF(AND(I985="Есть цена",I978="Есть цена"),IF(AND(E985&gt;0,E978&gt;0),E985/E978-1,NA()),"")</x:f>
      </x:c>
      <x:c r="I985" s="2" t="str">
        <x:v>RPC: данные не загружены</x:v>
      </x:c>
      <x:c r="J985" s="2"/>
      <x:c r="K985" s="9"/>
      <x:c r="L985" s="2"/>
      <x:c r="M985" s="2"/>
      <x:c r="N985" s="2"/>
      <x:c r="O985" s="2"/>
      <x:c r="P985" s="2" t="str">
        <x:v>not_cached:getSignaturesForAddress:history/134878603c92f11942dc611f</x:v>
      </x:c>
      <x:c r="Q985" s="2" t="str"/>
      <x:c r="R985" s="14" t="str">
        <x:f>IF(AND(C985="Нулевой остаток",I985="Есть цена"),G985,"")</x:f>
      </x:c>
      <x:c r="S985" s="14" t="str">
        <x:f>IF(AND(C985="Докупка",I985="Есть цена"),G985,"")</x:f>
      </x:c>
    </x:row>
    <x:row r="986" ht="21" customHeight="1">
      <x:c r="A986" s="2" t="n">
        <x:v>98</x:v>
      </x:c>
      <x:c r="B986" s="2" t="n">
        <x:v>21600</x:v>
      </x:c>
      <x:c r="C986" s="2" t="str">
        <x:f>'Покупки'!C105</x:f>
        <x:v>Докупка</x:v>
      </x:c>
      <x:c r="D986" s="9" t="n">
        <x:v>46281.405706018515</x:v>
      </x:c>
      <x:c r="E986" s="12"/>
      <x:c r="F986" s="12" t="n">
        <x:f>'Покупки'!H105</x:f>
        <x:v>0.0007030411137870277</x:v>
      </x:c>
      <x:c r="G986" s="14" t="str">
        <x:f>IF(I986="Есть цена",IF(AND(ISNUMBER(E986),E986&gt;0,F986&gt;0),E986/F986-1,NA()),"")</x:f>
      </x:c>
      <x:c r="H986" s="14" t="str">
        <x:f>IF(AND(I986="Есть цена",I978="Есть цена"),IF(AND(E986&gt;0,E978&gt;0),E986/E978-1,NA()),"")</x:f>
      </x:c>
      <x:c r="I986" s="2" t="str">
        <x:v>RPC: данные не загружены</x:v>
      </x:c>
      <x:c r="J986" s="2"/>
      <x:c r="K986" s="9"/>
      <x:c r="L986" s="2"/>
      <x:c r="M986" s="2"/>
      <x:c r="N986" s="2"/>
      <x:c r="O986" s="2"/>
      <x:c r="P986" s="2" t="str">
        <x:v>not_cached:getSignaturesForAddress:history/9eb7e39e9dbf87d8bd7377f6</x:v>
      </x:c>
      <x:c r="Q986" s="2" t="str"/>
      <x:c r="R986" s="14" t="str">
        <x:f>IF(AND(C986="Нулевой остаток",I986="Есть цена"),G986,"")</x:f>
      </x:c>
      <x:c r="S986" s="14" t="str">
        <x:f>IF(AND(C986="Докупка",I986="Есть цена"),G986,"")</x:f>
      </x:c>
    </x:row>
    <x:row r="987" ht="21" customHeight="1">
      <x:c r="A987" s="2" t="n">
        <x:v>98</x:v>
      </x:c>
      <x:c r="B987" s="2" t="n">
        <x:v>86400</x:v>
      </x:c>
      <x:c r="C987" s="2" t="str">
        <x:f>'Покупки'!C105</x:f>
        <x:v>Докупка</x:v>
      </x:c>
      <x:c r="D987" s="9" t="n">
        <x:v>46282.155706018515</x:v>
      </x:c>
      <x:c r="E987" s="12"/>
      <x:c r="F987" s="12" t="n">
        <x:f>'Покупки'!H105</x:f>
        <x:v>0.0007030411137870277</x:v>
      </x:c>
      <x:c r="G987" s="14" t="str">
        <x:f>IF(I987="Есть цена",IF(AND(ISNUMBER(E987),E987&gt;0,F987&gt;0),E987/F987-1,NA()),"")</x:f>
      </x:c>
      <x:c r="H987" s="14" t="str">
        <x:f>IF(AND(I987="Есть цена",I978="Есть цена"),IF(AND(E987&gt;0,E978&gt;0),E987/E978-1,NA()),"")</x:f>
      </x:c>
      <x:c r="I987" s="2" t="str">
        <x:v>RPC: данные не загружены</x:v>
      </x:c>
      <x:c r="J987" s="2"/>
      <x:c r="K987" s="9"/>
      <x:c r="L987" s="2"/>
      <x:c r="M987" s="2"/>
      <x:c r="N987" s="2"/>
      <x:c r="O987" s="2"/>
      <x:c r="P987" s="2" t="str">
        <x:v>not_cached:getSignaturesForAddress:history/60aeea7ef3ee0019cabb51be</x:v>
      </x:c>
      <x:c r="Q987" s="2" t="str"/>
      <x:c r="R987" s="14" t="str">
        <x:f>IF(AND(C987="Нулевой остаток",I987="Есть цена"),G987,"")</x:f>
      </x:c>
      <x:c r="S987" s="14" t="str">
        <x:f>IF(AND(C987="Докупка",I987="Есть цена"),G987,"")</x:f>
      </x:c>
    </x:row>
    <x:row r="988" ht="21" customHeight="1">
      <x:c r="A988" s="2" t="n">
        <x:v>99</x:v>
      </x:c>
      <x:c r="B988" s="2" t="n">
        <x:v>5</x:v>
      </x:c>
      <x:c r="C988" s="2" t="str">
        <x:f>'Покупки'!C106</x:f>
        <x:v>Докупка</x:v>
      </x:c>
      <x:c r="D988" s="9" t="n">
        <x:v>46281.15553240741</x:v>
      </x:c>
      <x:c r="E988" s="12"/>
      <x:c r="F988" s="12" t="n">
        <x:f>'Покупки'!H106</x:f>
        <x:v>0.15326649466204229</x:v>
      </x:c>
      <x:c r="G988" s="14" t="str">
        <x:f>IF(I988="Есть цена",IF(AND(ISNUMBER(E988),E988&gt;0,F988&gt;0),E988/F988-1,NA()),"")</x:f>
      </x:c>
      <x:c r="H988" s="14" t="str">
        <x:f>IF(AND(I988="Есть цена",I988="Есть цена"),IF(AND(E988&gt;0,E988&gt;0),E988/E988-1,NA()),"")</x:f>
      </x:c>
      <x:c r="I988" s="2" t="str">
        <x:v>GatorSwap: нет модели цены</x:v>
      </x:c>
      <x:c r="J988" s="2"/>
      <x:c r="K988" s="9"/>
      <x:c r="L988" s="2"/>
      <x:c r="M988" s="2"/>
      <x:c r="N988" s="2"/>
      <x:c r="O988" s="2"/>
      <x:c r="P988" s="2" t="str">
        <x:v>route_decoder_missing</x:v>
      </x:c>
      <x:c r="Q988" s="2" t="str"/>
      <x:c r="R988" s="14" t="str">
        <x:f>IF(AND(C988="Нулевой остаток",I988="Есть цена"),G988,"")</x:f>
      </x:c>
      <x:c r="S988" s="14" t="str">
        <x:f>IF(AND(C988="Докупка",I988="Есть цена"),G988,"")</x:f>
      </x:c>
    </x:row>
    <x:row r="989" ht="21" customHeight="1">
      <x:c r="A989" s="2" t="n">
        <x:v>99</x:v>
      </x:c>
      <x:c r="B989" s="2" t="n">
        <x:v>15</x:v>
      </x:c>
      <x:c r="C989" s="2" t="str">
        <x:f>'Покупки'!C106</x:f>
        <x:v>Докупка</x:v>
      </x:c>
      <x:c r="D989" s="9" t="n">
        <x:v>46281.155648148146</x:v>
      </x:c>
      <x:c r="E989" s="12"/>
      <x:c r="F989" s="12" t="n">
        <x:f>'Покупки'!H106</x:f>
        <x:v>0.15326649466204229</x:v>
      </x:c>
      <x:c r="G989" s="14" t="str">
        <x:f>IF(I989="Есть цена",IF(AND(ISNUMBER(E989),E989&gt;0,F989&gt;0),E989/F989-1,NA()),"")</x:f>
      </x:c>
      <x:c r="H989" s="14" t="str">
        <x:f>IF(AND(I989="Есть цена",I988="Есть цена"),IF(AND(E989&gt;0,E988&gt;0),E989/E988-1,NA()),"")</x:f>
      </x:c>
      <x:c r="I989" s="2" t="str">
        <x:v>GatorSwap: нет модели цены</x:v>
      </x:c>
      <x:c r="J989" s="2"/>
      <x:c r="K989" s="9"/>
      <x:c r="L989" s="2"/>
      <x:c r="M989" s="2"/>
      <x:c r="N989" s="2"/>
      <x:c r="O989" s="2"/>
      <x:c r="P989" s="2" t="str">
        <x:v>route_decoder_missing</x:v>
      </x:c>
      <x:c r="Q989" s="2" t="str"/>
      <x:c r="R989" s="14" t="str">
        <x:f>IF(AND(C989="Нулевой остаток",I989="Есть цена"),G989,"")</x:f>
      </x:c>
      <x:c r="S989" s="14" t="str">
        <x:f>IF(AND(C989="Докупка",I989="Есть цена"),G989,"")</x:f>
      </x:c>
    </x:row>
    <x:row r="990" ht="21" customHeight="1">
      <x:c r="A990" s="2" t="n">
        <x:v>99</x:v>
      </x:c>
      <x:c r="B990" s="2" t="n">
        <x:v>30</x:v>
      </x:c>
      <x:c r="C990" s="2" t="str">
        <x:f>'Покупки'!C106</x:f>
        <x:v>Докупка</x:v>
      </x:c>
      <x:c r="D990" s="9" t="n">
        <x:v>46281.15582175926</x:v>
      </x:c>
      <x:c r="E990" s="12"/>
      <x:c r="F990" s="12" t="n">
        <x:f>'Покупки'!H106</x:f>
        <x:v>0.15326649466204229</x:v>
      </x:c>
      <x:c r="G990" s="14" t="str">
        <x:f>IF(I990="Есть цена",IF(AND(ISNUMBER(E990),E990&gt;0,F990&gt;0),E990/F990-1,NA()),"")</x:f>
      </x:c>
      <x:c r="H990" s="14" t="str">
        <x:f>IF(AND(I990="Есть цена",I988="Есть цена"),IF(AND(E990&gt;0,E988&gt;0),E990/E988-1,NA()),"")</x:f>
      </x:c>
      <x:c r="I990" s="2" t="str">
        <x:v>GatorSwap: нет модели цены</x:v>
      </x:c>
      <x:c r="J990" s="2"/>
      <x:c r="K990" s="9"/>
      <x:c r="L990" s="2"/>
      <x:c r="M990" s="2"/>
      <x:c r="N990" s="2"/>
      <x:c r="O990" s="2"/>
      <x:c r="P990" s="2" t="str">
        <x:v>route_decoder_missing</x:v>
      </x:c>
      <x:c r="Q990" s="2" t="str"/>
      <x:c r="R990" s="14" t="str">
        <x:f>IF(AND(C990="Нулевой остаток",I990="Есть цена"),G990,"")</x:f>
      </x:c>
      <x:c r="S990" s="14" t="str">
        <x:f>IF(AND(C990="Докупка",I990="Есть цена"),G990,"")</x:f>
      </x:c>
    </x:row>
    <x:row r="991" ht="21" customHeight="1">
      <x:c r="A991" s="2" t="n">
        <x:v>99</x:v>
      </x:c>
      <x:c r="B991" s="2" t="n">
        <x:v>60</x:v>
      </x:c>
      <x:c r="C991" s="2" t="str">
        <x:f>'Покупки'!C106</x:f>
        <x:v>Докупка</x:v>
      </x:c>
      <x:c r="D991" s="9" t="n">
        <x:v>46281.156168981484</x:v>
      </x:c>
      <x:c r="E991" s="12"/>
      <x:c r="F991" s="12" t="n">
        <x:f>'Покупки'!H106</x:f>
        <x:v>0.15326649466204229</x:v>
      </x:c>
      <x:c r="G991" s="14" t="str">
        <x:f>IF(I991="Есть цена",IF(AND(ISNUMBER(E991),E991&gt;0,F991&gt;0),E991/F991-1,NA()),"")</x:f>
      </x:c>
      <x:c r="H991" s="14" t="str">
        <x:f>IF(AND(I991="Есть цена",I988="Есть цена"),IF(AND(E991&gt;0,E988&gt;0),E991/E988-1,NA()),"")</x:f>
      </x:c>
      <x:c r="I991" s="2" t="str">
        <x:v>GatorSwap: нет модели цены</x:v>
      </x:c>
      <x:c r="J991" s="2"/>
      <x:c r="K991" s="9"/>
      <x:c r="L991" s="2"/>
      <x:c r="M991" s="2"/>
      <x:c r="N991" s="2"/>
      <x:c r="O991" s="2"/>
      <x:c r="P991" s="2" t="str">
        <x:v>route_decoder_missing</x:v>
      </x:c>
      <x:c r="Q991" s="2" t="str"/>
      <x:c r="R991" s="14" t="str">
        <x:f>IF(AND(C991="Нулевой остаток",I991="Есть цена"),G991,"")</x:f>
      </x:c>
      <x:c r="S991" s="14" t="str">
        <x:f>IF(AND(C991="Докупка",I991="Есть цена"),G991,"")</x:f>
      </x:c>
    </x:row>
    <x:row r="992" ht="21" customHeight="1">
      <x:c r="A992" s="2" t="n">
        <x:v>99</x:v>
      </x:c>
      <x:c r="B992" s="2" t="n">
        <x:v>180</x:v>
      </x:c>
      <x:c r="C992" s="2" t="str">
        <x:f>'Покупки'!C106</x:f>
        <x:v>Докупка</x:v>
      </x:c>
      <x:c r="D992" s="9" t="n">
        <x:v>46281.15755787037</x:v>
      </x:c>
      <x:c r="E992" s="12"/>
      <x:c r="F992" s="12" t="n">
        <x:f>'Покупки'!H106</x:f>
        <x:v>0.15326649466204229</x:v>
      </x:c>
      <x:c r="G992" s="14" t="str">
        <x:f>IF(I992="Есть цена",IF(AND(ISNUMBER(E992),E992&gt;0,F992&gt;0),E992/F992-1,NA()),"")</x:f>
      </x:c>
      <x:c r="H992" s="14" t="str">
        <x:f>IF(AND(I992="Есть цена",I988="Есть цена"),IF(AND(E992&gt;0,E988&gt;0),E992/E988-1,NA()),"")</x:f>
      </x:c>
      <x:c r="I992" s="2" t="str">
        <x:v>GatorSwap: нет модели цены</x:v>
      </x:c>
      <x:c r="J992" s="2"/>
      <x:c r="K992" s="9"/>
      <x:c r="L992" s="2"/>
      <x:c r="M992" s="2"/>
      <x:c r="N992" s="2"/>
      <x:c r="O992" s="2"/>
      <x:c r="P992" s="2" t="str">
        <x:v>route_decoder_missing</x:v>
      </x:c>
      <x:c r="Q992" s="2" t="str"/>
      <x:c r="R992" s="14" t="str">
        <x:f>IF(AND(C992="Нулевой остаток",I992="Есть цена"),G992,"")</x:f>
      </x:c>
      <x:c r="S992" s="14" t="str">
        <x:f>IF(AND(C992="Докупка",I992="Есть цена"),G992,"")</x:f>
      </x:c>
    </x:row>
    <x:row r="993" ht="21" customHeight="1">
      <x:c r="A993" s="2" t="n">
        <x:v>99</x:v>
      </x:c>
      <x:c r="B993" s="2" t="n">
        <x:v>300</x:v>
      </x:c>
      <x:c r="C993" s="2" t="str">
        <x:f>'Покупки'!C106</x:f>
        <x:v>Докупка</x:v>
      </x:c>
      <x:c r="D993" s="9" t="n">
        <x:v>46281.15894675926</x:v>
      </x:c>
      <x:c r="E993" s="12"/>
      <x:c r="F993" s="12" t="n">
        <x:f>'Покупки'!H106</x:f>
        <x:v>0.15326649466204229</x:v>
      </x:c>
      <x:c r="G993" s="14" t="str">
        <x:f>IF(I993="Есть цена",IF(AND(ISNUMBER(E993),E993&gt;0,F993&gt;0),E993/F993-1,NA()),"")</x:f>
      </x:c>
      <x:c r="H993" s="14" t="str">
        <x:f>IF(AND(I993="Есть цена",I988="Есть цена"),IF(AND(E993&gt;0,E988&gt;0),E993/E988-1,NA()),"")</x:f>
      </x:c>
      <x:c r="I993" s="2" t="str">
        <x:v>GatorSwap: нет модели цены</x:v>
      </x:c>
      <x:c r="J993" s="2"/>
      <x:c r="K993" s="9"/>
      <x:c r="L993" s="2"/>
      <x:c r="M993" s="2"/>
      <x:c r="N993" s="2"/>
      <x:c r="O993" s="2"/>
      <x:c r="P993" s="2" t="str">
        <x:v>route_decoder_missing</x:v>
      </x:c>
      <x:c r="Q993" s="2" t="str"/>
      <x:c r="R993" s="14" t="str">
        <x:f>IF(AND(C993="Нулевой остаток",I993="Есть цена"),G993,"")</x:f>
      </x:c>
      <x:c r="S993" s="14" t="str">
        <x:f>IF(AND(C993="Докупка",I993="Есть цена"),G993,"")</x:f>
      </x:c>
    </x:row>
    <x:row r="994" ht="21" customHeight="1">
      <x:c r="A994" s="2" t="n">
        <x:v>99</x:v>
      </x:c>
      <x:c r="B994" s="2" t="n">
        <x:v>900</x:v>
      </x:c>
      <x:c r="C994" s="2" t="str">
        <x:f>'Покупки'!C106</x:f>
        <x:v>Докупка</x:v>
      </x:c>
      <x:c r="D994" s="9" t="n">
        <x:v>46281.1658912037</x:v>
      </x:c>
      <x:c r="E994" s="12"/>
      <x:c r="F994" s="12" t="n">
        <x:f>'Покупки'!H106</x:f>
        <x:v>0.15326649466204229</x:v>
      </x:c>
      <x:c r="G994" s="14" t="str">
        <x:f>IF(I994="Есть цена",IF(AND(ISNUMBER(E994),E994&gt;0,F994&gt;0),E994/F994-1,NA()),"")</x:f>
      </x:c>
      <x:c r="H994" s="14" t="str">
        <x:f>IF(AND(I994="Есть цена",I988="Есть цена"),IF(AND(E994&gt;0,E988&gt;0),E994/E988-1,NA()),"")</x:f>
      </x:c>
      <x:c r="I994" s="2" t="str">
        <x:v>GatorSwap: нет модели цены</x:v>
      </x:c>
      <x:c r="J994" s="2"/>
      <x:c r="K994" s="9"/>
      <x:c r="L994" s="2"/>
      <x:c r="M994" s="2"/>
      <x:c r="N994" s="2"/>
      <x:c r="O994" s="2"/>
      <x:c r="P994" s="2" t="str">
        <x:v>route_decoder_missing</x:v>
      </x:c>
      <x:c r="Q994" s="2" t="str"/>
      <x:c r="R994" s="14" t="str">
        <x:f>IF(AND(C994="Нулевой остаток",I994="Есть цена"),G994,"")</x:f>
      </x:c>
      <x:c r="S994" s="14" t="str">
        <x:f>IF(AND(C994="Докупка",I994="Есть цена"),G994,"")</x:f>
      </x:c>
    </x:row>
    <x:row r="995" ht="21" customHeight="1">
      <x:c r="A995" s="2" t="n">
        <x:v>99</x:v>
      </x:c>
      <x:c r="B995" s="2" t="n">
        <x:v>3600</x:v>
      </x:c>
      <x:c r="C995" s="2" t="str">
        <x:f>'Покупки'!C106</x:f>
        <x:v>Докупка</x:v>
      </x:c>
      <x:c r="D995" s="9" t="n">
        <x:v>46281.1971412037</x:v>
      </x:c>
      <x:c r="E995" s="12"/>
      <x:c r="F995" s="12" t="n">
        <x:f>'Покупки'!H106</x:f>
        <x:v>0.15326649466204229</x:v>
      </x:c>
      <x:c r="G995" s="14" t="str">
        <x:f>IF(I995="Есть цена",IF(AND(ISNUMBER(E995),E995&gt;0,F995&gt;0),E995/F995-1,NA()),"")</x:f>
      </x:c>
      <x:c r="H995" s="14" t="str">
        <x:f>IF(AND(I995="Есть цена",I988="Есть цена"),IF(AND(E995&gt;0,E988&gt;0),E995/E988-1,NA()),"")</x:f>
      </x:c>
      <x:c r="I995" s="2" t="str">
        <x:v>GatorSwap: нет модели цены</x:v>
      </x:c>
      <x:c r="J995" s="2"/>
      <x:c r="K995" s="9"/>
      <x:c r="L995" s="2"/>
      <x:c r="M995" s="2"/>
      <x:c r="N995" s="2"/>
      <x:c r="O995" s="2"/>
      <x:c r="P995" s="2" t="str">
        <x:v>route_decoder_missing</x:v>
      </x:c>
      <x:c r="Q995" s="2" t="str"/>
      <x:c r="R995" s="14" t="str">
        <x:f>IF(AND(C995="Нулевой остаток",I995="Есть цена"),G995,"")</x:f>
      </x:c>
      <x:c r="S995" s="14" t="str">
        <x:f>IF(AND(C995="Докупка",I995="Есть цена"),G995,"")</x:f>
      </x:c>
    </x:row>
    <x:row r="996" ht="21" customHeight="1">
      <x:c r="A996" s="2" t="n">
        <x:v>99</x:v>
      </x:c>
      <x:c r="B996" s="2" t="n">
        <x:v>21600</x:v>
      </x:c>
      <x:c r="C996" s="2" t="str">
        <x:f>'Покупки'!C106</x:f>
        <x:v>Докупка</x:v>
      </x:c>
      <x:c r="D996" s="9" t="n">
        <x:v>46281.40547453704</x:v>
      </x:c>
      <x:c r="E996" s="12"/>
      <x:c r="F996" s="12" t="n">
        <x:f>'Покупки'!H106</x:f>
        <x:v>0.15326649466204229</x:v>
      </x:c>
      <x:c r="G996" s="14" t="str">
        <x:f>IF(I996="Есть цена",IF(AND(ISNUMBER(E996),E996&gt;0,F996&gt;0),E996/F996-1,NA()),"")</x:f>
      </x:c>
      <x:c r="H996" s="14" t="str">
        <x:f>IF(AND(I996="Есть цена",I988="Есть цена"),IF(AND(E996&gt;0,E988&gt;0),E996/E988-1,NA()),"")</x:f>
      </x:c>
      <x:c r="I996" s="2" t="str">
        <x:v>GatorSwap: нет модели цены</x:v>
      </x:c>
      <x:c r="J996" s="2"/>
      <x:c r="K996" s="9"/>
      <x:c r="L996" s="2"/>
      <x:c r="M996" s="2"/>
      <x:c r="N996" s="2"/>
      <x:c r="O996" s="2"/>
      <x:c r="P996" s="2" t="str">
        <x:v>route_decoder_missing</x:v>
      </x:c>
      <x:c r="Q996" s="2" t="str"/>
      <x:c r="R996" s="14" t="str">
        <x:f>IF(AND(C996="Нулевой остаток",I996="Есть цена"),G996,"")</x:f>
      </x:c>
      <x:c r="S996" s="14" t="str">
        <x:f>IF(AND(C996="Докупка",I996="Есть цена"),G996,"")</x:f>
      </x:c>
    </x:row>
    <x:row r="997" ht="21" customHeight="1">
      <x:c r="A997" s="2" t="n">
        <x:v>99</x:v>
      </x:c>
      <x:c r="B997" s="2" t="n">
        <x:v>86400</x:v>
      </x:c>
      <x:c r="C997" s="2" t="str">
        <x:f>'Покупки'!C106</x:f>
        <x:v>Докупка</x:v>
      </x:c>
      <x:c r="D997" s="9" t="n">
        <x:v>46282.15547453704</x:v>
      </x:c>
      <x:c r="E997" s="12"/>
      <x:c r="F997" s="12" t="n">
        <x:f>'Покупки'!H106</x:f>
        <x:v>0.15326649466204229</x:v>
      </x:c>
      <x:c r="G997" s="14" t="str">
        <x:f>IF(I997="Есть цена",IF(AND(ISNUMBER(E997),E997&gt;0,F997&gt;0),E997/F997-1,NA()),"")</x:f>
      </x:c>
      <x:c r="H997" s="14" t="str">
        <x:f>IF(AND(I997="Есть цена",I988="Есть цена"),IF(AND(E997&gt;0,E988&gt;0),E997/E988-1,NA()),"")</x:f>
      </x:c>
      <x:c r="I997" s="2" t="str">
        <x:v>GatorSwap: нет модели цены</x:v>
      </x:c>
      <x:c r="J997" s="2"/>
      <x:c r="K997" s="9"/>
      <x:c r="L997" s="2"/>
      <x:c r="M997" s="2"/>
      <x:c r="N997" s="2"/>
      <x:c r="O997" s="2"/>
      <x:c r="P997" s="2" t="str">
        <x:v>route_decoder_missing</x:v>
      </x:c>
      <x:c r="Q997" s="2" t="str"/>
      <x:c r="R997" s="14" t="str">
        <x:f>IF(AND(C997="Нулевой остаток",I997="Есть цена"),G997,"")</x:f>
      </x:c>
      <x:c r="S997" s="14" t="str">
        <x:f>IF(AND(C997="Докупка",I997="Есть цена"),G997,"")</x:f>
      </x:c>
    </x:row>
    <x:row r="998" ht="21" customHeight="1">
      <x:c r="A998" s="2" t="n">
        <x:v>100</x:v>
      </x:c>
      <x:c r="B998" s="2" t="n">
        <x:v>5</x:v>
      </x:c>
      <x:c r="C998" s="2" t="str">
        <x:f>'Покупки'!C107</x:f>
        <x:v>Докупка</x:v>
      </x:c>
      <x:c r="D998" s="9" t="n">
        <x:v>46281.141180555554</x:v>
      </x:c>
      <x:c r="E998" s="12"/>
      <x:c r="F998" s="12" t="n">
        <x:f>'Покупки'!H107</x:f>
        <x:v>0.15643389020291013</x:v>
      </x:c>
      <x:c r="G998" s="14" t="str">
        <x:f>IF(I998="Есть цена",IF(AND(ISNUMBER(E998),E998&gt;0,F998&gt;0),E998/F998-1,NA()),"")</x:f>
      </x:c>
      <x:c r="H998" s="14" t="str">
        <x:f>IF(AND(I998="Есть цена",I998="Есть цена"),IF(AND(E998&gt;0,E998&gt;0),E998/E998-1,NA()),"")</x:f>
      </x:c>
      <x:c r="I998" s="2" t="str">
        <x:v>RPC: данные не загружены</x:v>
      </x:c>
      <x:c r="J998" s="2"/>
      <x:c r="K998" s="9"/>
      <x:c r="L998" s="2"/>
      <x:c r="M998" s="2"/>
      <x:c r="N998" s="2"/>
      <x:c r="O998" s="2"/>
      <x:c r="P998" s="2" t="str">
        <x:v>not_cached:getSignaturesForAddress:history/cca833a1dc4c4d7830b93aa9</x:v>
      </x:c>
      <x:c r="Q998" s="2" t="str"/>
      <x:c r="R998" s="14" t="str">
        <x:f>IF(AND(C998="Нулевой остаток",I998="Есть цена"),G998,"")</x:f>
      </x:c>
      <x:c r="S998" s="14" t="str">
        <x:f>IF(AND(C998="Докупка",I998="Есть цена"),G998,"")</x:f>
      </x:c>
    </x:row>
    <x:row r="999" ht="21" customHeight="1">
      <x:c r="A999" s="2" t="n">
        <x:v>100</x:v>
      </x:c>
      <x:c r="B999" s="2" t="n">
        <x:v>15</x:v>
      </x:c>
      <x:c r="C999" s="2" t="str">
        <x:f>'Покупки'!C107</x:f>
        <x:v>Докупка</x:v>
      </x:c>
      <x:c r="D999" s="9" t="n">
        <x:v>46281.14129629629</x:v>
      </x:c>
      <x:c r="E999" s="12"/>
      <x:c r="F999" s="12" t="n">
        <x:f>'Покупки'!H107</x:f>
        <x:v>0.15643389020291013</x:v>
      </x:c>
      <x:c r="G999" s="14" t="str">
        <x:f>IF(I999="Есть цена",IF(AND(ISNUMBER(E999),E999&gt;0,F999&gt;0),E999/F999-1,NA()),"")</x:f>
      </x:c>
      <x:c r="H999" s="14" t="str">
        <x:f>IF(AND(I999="Есть цена",I998="Есть цена"),IF(AND(E999&gt;0,E998&gt;0),E999/E998-1,NA()),"")</x:f>
      </x:c>
      <x:c r="I999" s="2" t="str">
        <x:v>RPC: данные не загружены</x:v>
      </x:c>
      <x:c r="J999" s="2"/>
      <x:c r="K999" s="9"/>
      <x:c r="L999" s="2"/>
      <x:c r="M999" s="2"/>
      <x:c r="N999" s="2"/>
      <x:c r="O999" s="2"/>
      <x:c r="P999" s="2" t="str">
        <x:v>not_cached:getSignaturesForAddress:history/cca833a1dc4c4d7830b93aa9</x:v>
      </x:c>
      <x:c r="Q999" s="2" t="str"/>
      <x:c r="R999" s="14" t="str">
        <x:f>IF(AND(C999="Нулевой остаток",I999="Есть цена"),G999,"")</x:f>
      </x:c>
      <x:c r="S999" s="14" t="str">
        <x:f>IF(AND(C999="Докупка",I999="Есть цена"),G999,"")</x:f>
      </x:c>
    </x:row>
    <x:row r="1000" ht="21" customHeight="1">
      <x:c r="A1000" s="2" t="n">
        <x:v>100</x:v>
      </x:c>
      <x:c r="B1000" s="2" t="n">
        <x:v>30</x:v>
      </x:c>
      <x:c r="C1000" s="2" t="str">
        <x:f>'Покупки'!C107</x:f>
        <x:v>Докупка</x:v>
      </x:c>
      <x:c r="D1000" s="9" t="n">
        <x:v>46281.14146990741</x:v>
      </x:c>
      <x:c r="E1000" s="12"/>
      <x:c r="F1000" s="12" t="n">
        <x:f>'Покупки'!H107</x:f>
        <x:v>0.15643389020291013</x:v>
      </x:c>
      <x:c r="G1000" s="14" t="str">
        <x:f>IF(I1000="Есть цена",IF(AND(ISNUMBER(E1000),E1000&gt;0,F1000&gt;0),E1000/F1000-1,NA()),"")</x:f>
      </x:c>
      <x:c r="H1000" s="14" t="str">
        <x:f>IF(AND(I1000="Есть цена",I998="Есть цена"),IF(AND(E1000&gt;0,E998&gt;0),E1000/E998-1,NA()),"")</x:f>
      </x:c>
      <x:c r="I1000" s="2" t="str">
        <x:v>RPC: данные не загружены</x:v>
      </x:c>
      <x:c r="J1000" s="2"/>
      <x:c r="K1000" s="9"/>
      <x:c r="L1000" s="2"/>
      <x:c r="M1000" s="2"/>
      <x:c r="N1000" s="2"/>
      <x:c r="O1000" s="2"/>
      <x:c r="P1000" s="2" t="str">
        <x:v>not_cached:getSignaturesForAddress:history/cca833a1dc4c4d7830b93aa9</x:v>
      </x:c>
      <x:c r="Q1000" s="2" t="str"/>
      <x:c r="R1000" s="14" t="str">
        <x:f>IF(AND(C1000="Нулевой остаток",I1000="Есть цена"),G1000,"")</x:f>
      </x:c>
      <x:c r="S1000" s="14" t="str">
        <x:f>IF(AND(C1000="Докупка",I1000="Есть цена"),G1000,"")</x:f>
      </x:c>
    </x:row>
    <x:row r="1001" ht="21" customHeight="1">
      <x:c r="A1001" s="2" t="n">
        <x:v>100</x:v>
      </x:c>
      <x:c r="B1001" s="2" t="n">
        <x:v>60</x:v>
      </x:c>
      <x:c r="C1001" s="2" t="str">
        <x:f>'Покупки'!C107</x:f>
        <x:v>Докупка</x:v>
      </x:c>
      <x:c r="D1001" s="9" t="n">
        <x:v>46281.14181712963</x:v>
      </x:c>
      <x:c r="E1001" s="12"/>
      <x:c r="F1001" s="12" t="n">
        <x:f>'Покупки'!H107</x:f>
        <x:v>0.15643389020291013</x:v>
      </x:c>
      <x:c r="G1001" s="14" t="str">
        <x:f>IF(I1001="Есть цена",IF(AND(ISNUMBER(E1001),E1001&gt;0,F1001&gt;0),E1001/F1001-1,NA()),"")</x:f>
      </x:c>
      <x:c r="H1001" s="14" t="str">
        <x:f>IF(AND(I1001="Есть цена",I998="Есть цена"),IF(AND(E1001&gt;0,E998&gt;0),E1001/E998-1,NA()),"")</x:f>
      </x:c>
      <x:c r="I1001" s="2" t="str">
        <x:v>RPC: данные не загружены</x:v>
      </x:c>
      <x:c r="J1001" s="2"/>
      <x:c r="K1001" s="9"/>
      <x:c r="L1001" s="2"/>
      <x:c r="M1001" s="2"/>
      <x:c r="N1001" s="2"/>
      <x:c r="O1001" s="2"/>
      <x:c r="P1001" s="2" t="str">
        <x:v>not_cached:getSignaturesForAddress:history/cca833a1dc4c4d7830b93aa9</x:v>
      </x:c>
      <x:c r="Q1001" s="2" t="str"/>
      <x:c r="R1001" s="14" t="str">
        <x:f>IF(AND(C1001="Нулевой остаток",I1001="Есть цена"),G1001,"")</x:f>
      </x:c>
      <x:c r="S1001" s="14" t="str">
        <x:f>IF(AND(C1001="Докупка",I1001="Есть цена"),G1001,"")</x:f>
      </x:c>
    </x:row>
    <x:row r="1002" ht="21" customHeight="1">
      <x:c r="A1002" s="2" t="n">
        <x:v>100</x:v>
      </x:c>
      <x:c r="B1002" s="2" t="n">
        <x:v>180</x:v>
      </x:c>
      <x:c r="C1002" s="2" t="str">
        <x:f>'Покупки'!C107</x:f>
        <x:v>Докупка</x:v>
      </x:c>
      <x:c r="D1002" s="9" t="n">
        <x:v>46281.14320601852</x:v>
      </x:c>
      <x:c r="E1002" s="12"/>
      <x:c r="F1002" s="12" t="n">
        <x:f>'Покупки'!H107</x:f>
        <x:v>0.15643389020291013</x:v>
      </x:c>
      <x:c r="G1002" s="14" t="str">
        <x:f>IF(I1002="Есть цена",IF(AND(ISNUMBER(E1002),E1002&gt;0,F1002&gt;0),E1002/F1002-1,NA()),"")</x:f>
      </x:c>
      <x:c r="H1002" s="14" t="str">
        <x:f>IF(AND(I1002="Есть цена",I998="Есть цена"),IF(AND(E1002&gt;0,E998&gt;0),E1002/E998-1,NA()),"")</x:f>
      </x:c>
      <x:c r="I1002" s="2" t="str">
        <x:v>RPC: данные не загружены</x:v>
      </x:c>
      <x:c r="J1002" s="2"/>
      <x:c r="K1002" s="9"/>
      <x:c r="L1002" s="2"/>
      <x:c r="M1002" s="2"/>
      <x:c r="N1002" s="2"/>
      <x:c r="O1002" s="2"/>
      <x:c r="P1002" s="2" t="str">
        <x:v>not_cached:getSignaturesForAddress:history/cca833a1dc4c4d7830b93aa9</x:v>
      </x:c>
      <x:c r="Q1002" s="2" t="str"/>
      <x:c r="R1002" s="14" t="str">
        <x:f>IF(AND(C1002="Нулевой остаток",I1002="Есть цена"),G1002,"")</x:f>
      </x:c>
      <x:c r="S1002" s="14" t="str">
        <x:f>IF(AND(C1002="Докупка",I1002="Есть цена"),G1002,"")</x:f>
      </x:c>
    </x:row>
    <x:row r="1003" ht="21" customHeight="1">
      <x:c r="A1003" s="2" t="n">
        <x:v>100</x:v>
      </x:c>
      <x:c r="B1003" s="2" t="n">
        <x:v>300</x:v>
      </x:c>
      <x:c r="C1003" s="2" t="str">
        <x:f>'Покупки'!C107</x:f>
        <x:v>Докупка</x:v>
      </x:c>
      <x:c r="D1003" s="9" t="n">
        <x:v>46281.144594907404</x:v>
      </x:c>
      <x:c r="E1003" s="12"/>
      <x:c r="F1003" s="12" t="n">
        <x:f>'Покупки'!H107</x:f>
        <x:v>0.15643389020291013</x:v>
      </x:c>
      <x:c r="G1003" s="14" t="str">
        <x:f>IF(I1003="Есть цена",IF(AND(ISNUMBER(E1003),E1003&gt;0,F1003&gt;0),E1003/F1003-1,NA()),"")</x:f>
      </x:c>
      <x:c r="H1003" s="14" t="str">
        <x:f>IF(AND(I1003="Есть цена",I998="Есть цена"),IF(AND(E1003&gt;0,E998&gt;0),E1003/E998-1,NA()),"")</x:f>
      </x:c>
      <x:c r="I1003" s="2" t="str">
        <x:v>RPC: данные не загружены</x:v>
      </x:c>
      <x:c r="J1003" s="2"/>
      <x:c r="K1003" s="9"/>
      <x:c r="L1003" s="2"/>
      <x:c r="M1003" s="2"/>
      <x:c r="N1003" s="2"/>
      <x:c r="O1003" s="2"/>
      <x:c r="P1003" s="2" t="str">
        <x:v>not_cached:getSignaturesForAddress:history/cca833a1dc4c4d7830b93aa9</x:v>
      </x:c>
      <x:c r="Q1003" s="2" t="str"/>
      <x:c r="R1003" s="14" t="str">
        <x:f>IF(AND(C1003="Нулевой остаток",I1003="Есть цена"),G1003,"")</x:f>
      </x:c>
      <x:c r="S1003" s="14" t="str">
        <x:f>IF(AND(C1003="Докупка",I1003="Есть цена"),G1003,"")</x:f>
      </x:c>
    </x:row>
    <x:row r="1004" ht="21" customHeight="1">
      <x:c r="A1004" s="2" t="n">
        <x:v>100</x:v>
      </x:c>
      <x:c r="B1004" s="2" t="n">
        <x:v>900</x:v>
      </x:c>
      <x:c r="C1004" s="2" t="str">
        <x:f>'Покупки'!C107</x:f>
        <x:v>Докупка</x:v>
      </x:c>
      <x:c r="D1004" s="9" t="n">
        <x:v>46281.15153935185</x:v>
      </x:c>
      <x:c r="E1004" s="12"/>
      <x:c r="F1004" s="12" t="n">
        <x:f>'Покупки'!H107</x:f>
        <x:v>0.15643389020291013</x:v>
      </x:c>
      <x:c r="G1004" s="14" t="str">
        <x:f>IF(I1004="Есть цена",IF(AND(ISNUMBER(E1004),E1004&gt;0,F1004&gt;0),E1004/F1004-1,NA()),"")</x:f>
      </x:c>
      <x:c r="H1004" s="14" t="str">
        <x:f>IF(AND(I1004="Есть цена",I998="Есть цена"),IF(AND(E1004&gt;0,E998&gt;0),E1004/E998-1,NA()),"")</x:f>
      </x:c>
      <x:c r="I1004" s="2" t="str">
        <x:v>RPC: данные не загружены</x:v>
      </x:c>
      <x:c r="J1004" s="2"/>
      <x:c r="K1004" s="9"/>
      <x:c r="L1004" s="2"/>
      <x:c r="M1004" s="2"/>
      <x:c r="N1004" s="2"/>
      <x:c r="O1004" s="2"/>
      <x:c r="P1004" s="2" t="str">
        <x:v>not_cached:getSignaturesForAddress:history/cca833a1dc4c4d7830b93aa9</x:v>
      </x:c>
      <x:c r="Q1004" s="2" t="str"/>
      <x:c r="R1004" s="14" t="str">
        <x:f>IF(AND(C1004="Нулевой остаток",I1004="Есть цена"),G1004,"")</x:f>
      </x:c>
      <x:c r="S1004" s="14" t="str">
        <x:f>IF(AND(C1004="Докупка",I1004="Есть цена"),G1004,"")</x:f>
      </x:c>
    </x:row>
    <x:row r="1005" ht="21" customHeight="1">
      <x:c r="A1005" s="2" t="n">
        <x:v>100</x:v>
      </x:c>
      <x:c r="B1005" s="2" t="n">
        <x:v>3600</x:v>
      </x:c>
      <x:c r="C1005" s="2" t="str">
        <x:f>'Покупки'!C107</x:f>
        <x:v>Докупка</x:v>
      </x:c>
      <x:c r="D1005" s="9" t="n">
        <x:v>46281.18278935185</x:v>
      </x:c>
      <x:c r="E1005" s="12"/>
      <x:c r="F1005" s="12" t="n">
        <x:f>'Покупки'!H107</x:f>
        <x:v>0.15643389020291013</x:v>
      </x:c>
      <x:c r="G1005" s="14" t="str">
        <x:f>IF(I1005="Есть цена",IF(AND(ISNUMBER(E1005),E1005&gt;0,F1005&gt;0),E1005/F1005-1,NA()),"")</x:f>
      </x:c>
      <x:c r="H1005" s="14" t="str">
        <x:f>IF(AND(I1005="Есть цена",I998="Есть цена"),IF(AND(E1005&gt;0,E998&gt;0),E1005/E998-1,NA()),"")</x:f>
      </x:c>
      <x:c r="I1005" s="2" t="str">
        <x:v>RPC: данные не загружены</x:v>
      </x:c>
      <x:c r="J1005" s="2"/>
      <x:c r="K1005" s="9"/>
      <x:c r="L1005" s="2"/>
      <x:c r="M1005" s="2"/>
      <x:c r="N1005" s="2"/>
      <x:c r="O1005" s="2"/>
      <x:c r="P1005" s="2" t="str">
        <x:v>not_cached:getSignaturesForAddress:history/c3d23bdb515465b94693749c</x:v>
      </x:c>
      <x:c r="Q1005" s="2" t="str"/>
      <x:c r="R1005" s="14" t="str">
        <x:f>IF(AND(C1005="Нулевой остаток",I1005="Есть цена"),G1005,"")</x:f>
      </x:c>
      <x:c r="S1005" s="14" t="str">
        <x:f>IF(AND(C1005="Докупка",I1005="Есть цена"),G1005,"")</x:f>
      </x:c>
    </x:row>
    <x:row r="1006" ht="21" customHeight="1">
      <x:c r="A1006" s="2" t="n">
        <x:v>100</x:v>
      </x:c>
      <x:c r="B1006" s="2" t="n">
        <x:v>21600</x:v>
      </x:c>
      <x:c r="C1006" s="2" t="str">
        <x:f>'Покупки'!C107</x:f>
        <x:v>Докупка</x:v>
      </x:c>
      <x:c r="D1006" s="9" t="n">
        <x:v>46281.391122685185</x:v>
      </x:c>
      <x:c r="E1006" s="12"/>
      <x:c r="F1006" s="12" t="n">
        <x:f>'Покупки'!H107</x:f>
        <x:v>0.15643389020291013</x:v>
      </x:c>
      <x:c r="G1006" s="14" t="str">
        <x:f>IF(I1006="Есть цена",IF(AND(ISNUMBER(E1006),E1006&gt;0,F1006&gt;0),E1006/F1006-1,NA()),"")</x:f>
      </x:c>
      <x:c r="H1006" s="14" t="str">
        <x:f>IF(AND(I1006="Есть цена",I998="Есть цена"),IF(AND(E1006&gt;0,E998&gt;0),E1006/E998-1,NA()),"")</x:f>
      </x:c>
      <x:c r="I1006" s="2" t="str">
        <x:v>RPC: данные не загружены</x:v>
      </x:c>
      <x:c r="J1006" s="2"/>
      <x:c r="K1006" s="9"/>
      <x:c r="L1006" s="2"/>
      <x:c r="M1006" s="2"/>
      <x:c r="N1006" s="2"/>
      <x:c r="O1006" s="2"/>
      <x:c r="P1006" s="2" t="str">
        <x:v>not_cached:getSignaturesForAddress:history/096eba1ea95f00a7e91ee08d</x:v>
      </x:c>
      <x:c r="Q1006" s="2" t="str"/>
      <x:c r="R1006" s="14" t="str">
        <x:f>IF(AND(C1006="Нулевой остаток",I1006="Есть цена"),G1006,"")</x:f>
      </x:c>
      <x:c r="S1006" s="14" t="str">
        <x:f>IF(AND(C1006="Докупка",I1006="Есть цена"),G1006,"")</x:f>
      </x:c>
    </x:row>
    <x:row r="1007" ht="21" customHeight="1">
      <x:c r="A1007" s="2" t="n">
        <x:v>100</x:v>
      </x:c>
      <x:c r="B1007" s="2" t="n">
        <x:v>86400</x:v>
      </x:c>
      <x:c r="C1007" s="2" t="str">
        <x:f>'Покупки'!C107</x:f>
        <x:v>Докупка</x:v>
      </x:c>
      <x:c r="D1007" s="9" t="n">
        <x:v>46282.141122685185</x:v>
      </x:c>
      <x:c r="E1007" s="12"/>
      <x:c r="F1007" s="12" t="n">
        <x:f>'Покупки'!H107</x:f>
        <x:v>0.15643389020291013</x:v>
      </x:c>
      <x:c r="G1007" s="14" t="str">
        <x:f>IF(I1007="Есть цена",IF(AND(ISNUMBER(E1007),E1007&gt;0,F1007&gt;0),E1007/F1007-1,NA()),"")</x:f>
      </x:c>
      <x:c r="H1007" s="14" t="str">
        <x:f>IF(AND(I1007="Есть цена",I998="Есть цена"),IF(AND(E1007&gt;0,E998&gt;0),E1007/E998-1,NA()),"")</x:f>
      </x:c>
      <x:c r="I1007" s="2" t="str">
        <x:v>RPC: данные не загружены</x:v>
      </x:c>
      <x:c r="J1007" s="2"/>
      <x:c r="K1007" s="9"/>
      <x:c r="L1007" s="2"/>
      <x:c r="M1007" s="2"/>
      <x:c r="N1007" s="2"/>
      <x:c r="O1007" s="2"/>
      <x:c r="P1007" s="2" t="str">
        <x:v>not_cached:getSignaturesForAddress:history/220a4f2f2df70ce6c60e4063</x:v>
      </x:c>
      <x:c r="Q1007" s="2" t="str"/>
      <x:c r="R1007" s="14" t="str">
        <x:f>IF(AND(C1007="Нулевой остаток",I1007="Есть цена"),G1007,"")</x:f>
      </x:c>
      <x:c r="S1007" s="14" t="str">
        <x:f>IF(AND(C1007="Докупка",I1007="Есть цена"),G1007,"")</x:f>
      </x:c>
    </x:row>
  </x:sheetData>
  <x:conditionalFormatting sqref="G8:H1007">
    <x:cfRule type="cellIs" dxfId="1" priority="1" operator="lessThan">
      <x:formula>0</x:formula>
    </x:cfRule>
  </x:conditionalFormatting>
  <x:conditionalFormatting sqref="R8:S1007">
    <x:cfRule type="cellIs" dxfId="2" priority="2" operator="lessThan">
      <x:formula>0</x:formula>
    </x:cfRule>
  </x:conditionalFormatting>
  <x:conditionalFormatting sqref="I8:I1007">
    <x:cfRule type="notContainsText" dxfId="3" priority="3" text="Есть цена"/>
  </x:conditionalFormatting>
  <x:pageMargins left="0.7" right="0.7" top="0.75" bottom="0.75" header="0.3" footer="0.3"/>
  <x:tableParts count="1">
    <x:tablePart xmlns:r="http://schemas.openxmlformats.org/officeDocument/2006/relationships" r:id="R56cf6867eaa54bc7"/>
  </x:tableParts>
</x:worksheet>
</file>